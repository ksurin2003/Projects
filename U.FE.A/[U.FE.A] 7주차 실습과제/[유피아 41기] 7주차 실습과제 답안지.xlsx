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0261bea96bfc57/문서/중앙대학교/U.FE.A/[유피아] 41기 준회원/[유피아 41기] 실습과제/[유피아] 7주차 실습과제/"/>
    </mc:Choice>
  </mc:AlternateContent>
  <xr:revisionPtr revIDLastSave="1" documentId="13_ncr:1_{41474D18-2E47-42D4-B3C0-E08BA0A733F0}" xr6:coauthVersionLast="47" xr6:coauthVersionMax="47" xr10:uidLastSave="{AD55EFC3-2268-4F21-9483-DEB6832D1BF8}"/>
  <bookViews>
    <workbookView xWindow="1660" yWindow="3290" windowWidth="16910" windowHeight="10290" xr2:uid="{B30972F7-4D09-4A3F-B7DA-163E30ED5E17}"/>
  </bookViews>
  <sheets>
    <sheet name="Sheet1" sheetId="1" r:id="rId1"/>
    <sheet name="Bootstrap" sheetId="2" r:id="rId2"/>
    <sheet name="Duration" sheetId="4" r:id="rId3"/>
    <sheet name="1Y duration" sheetId="5" r:id="rId4"/>
    <sheet name="2Y duration" sheetId="6" r:id="rId5"/>
    <sheet name="3Y duration" sheetId="7" r:id="rId6"/>
    <sheet name="4Y duration" sheetId="8" r:id="rId7"/>
    <sheet name="5Y duration" sheetId="9" r:id="rId8"/>
    <sheet name="7Y duration" sheetId="10" r:id="rId9"/>
    <sheet name="10Y duration" sheetId="11" r:id="rId10"/>
    <sheet name="Sheet2" sheetId="12" r:id="rId11"/>
  </sheets>
  <definedNames>
    <definedName name="solver_eng" localSheetId="9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1" hidden="1">1</definedName>
    <definedName name="solver_eng" localSheetId="2" hidden="1">1</definedName>
    <definedName name="solver_neg" localSheetId="9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1" hidden="1">1</definedName>
    <definedName name="solver_neg" localSheetId="2" hidden="1">1</definedName>
    <definedName name="solver_num" localSheetId="9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1" hidden="1">0</definedName>
    <definedName name="solver_num" localSheetId="2" hidden="1">0</definedName>
    <definedName name="solver_opt" localSheetId="9" hidden="1">'10Y duration'!$F$6</definedName>
    <definedName name="solver_opt" localSheetId="3" hidden="1">'1Y duration'!$F$6</definedName>
    <definedName name="solver_opt" localSheetId="4" hidden="1">'2Y duration'!$F$6</definedName>
    <definedName name="solver_opt" localSheetId="5" hidden="1">'3Y duration'!$F$6</definedName>
    <definedName name="solver_opt" localSheetId="6" hidden="1">'4Y duration'!$F$6</definedName>
    <definedName name="solver_opt" localSheetId="7" hidden="1">'5Y duration'!$F$6</definedName>
    <definedName name="solver_opt" localSheetId="8" hidden="1">'7Y duration'!$F$6</definedName>
    <definedName name="solver_opt" localSheetId="1" hidden="1">Bootstrap!$F$6</definedName>
    <definedName name="solver_opt" localSheetId="2" hidden="1">Duration!$F$6</definedName>
    <definedName name="solver_typ" localSheetId="9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6" hidden="1">1</definedName>
    <definedName name="solver_typ" localSheetId="7" hidden="1">1</definedName>
    <definedName name="solver_typ" localSheetId="8" hidden="1">1</definedName>
    <definedName name="solver_typ" localSheetId="1" hidden="1">1</definedName>
    <definedName name="solver_typ" localSheetId="2" hidden="1">1</definedName>
    <definedName name="solver_val" localSheetId="9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1" hidden="1">0</definedName>
    <definedName name="solver_val" localSheetId="2" hidden="1">0</definedName>
    <definedName name="solver_ver" localSheetId="9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M10" i="2"/>
  <c r="M14" i="2"/>
  <c r="M18" i="2"/>
  <c r="M22" i="2"/>
  <c r="M30" i="2"/>
  <c r="M42" i="2"/>
  <c r="C81" i="1" a="1"/>
  <c r="C81" i="1" s="1"/>
  <c r="B3" i="11"/>
  <c r="B3" i="10"/>
  <c r="B3" i="9"/>
  <c r="B3" i="8"/>
  <c r="B3" i="7"/>
  <c r="B3" i="6"/>
  <c r="B3" i="5"/>
  <c r="A40" i="1" a="1"/>
  <c r="A40" i="1" s="1"/>
  <c r="C42" i="11"/>
  <c r="G42" i="11" s="1"/>
  <c r="C30" i="11"/>
  <c r="C22" i="11"/>
  <c r="C18" i="11"/>
  <c r="G18" i="11" s="1"/>
  <c r="C14" i="11"/>
  <c r="C10" i="11"/>
  <c r="G10" i="11" s="1"/>
  <c r="C6" i="11"/>
  <c r="A3" i="11" a="1"/>
  <c r="J18" i="11"/>
  <c r="W55" i="1" s="1"/>
  <c r="C42" i="10"/>
  <c r="G42" i="10" s="1"/>
  <c r="C30" i="10"/>
  <c r="C22" i="10"/>
  <c r="C18" i="10"/>
  <c r="G18" i="10" s="1"/>
  <c r="C14" i="10"/>
  <c r="C10" i="10"/>
  <c r="G10" i="10" s="1"/>
  <c r="C6" i="10"/>
  <c r="A3" i="10" a="1"/>
  <c r="J1" i="10"/>
  <c r="J14" i="10" s="1"/>
  <c r="T51" i="1" s="1"/>
  <c r="C42" i="9"/>
  <c r="G42" i="9" s="1"/>
  <c r="C30" i="9"/>
  <c r="C22" i="9"/>
  <c r="C18" i="9"/>
  <c r="C14" i="9"/>
  <c r="G14" i="9" s="1"/>
  <c r="C10" i="9"/>
  <c r="C6" i="9"/>
  <c r="A3" i="9" a="1"/>
  <c r="J1" i="9"/>
  <c r="J18" i="9" s="1"/>
  <c r="Q55" i="1" s="1"/>
  <c r="C42" i="8"/>
  <c r="G42" i="8" s="1"/>
  <c r="C30" i="8"/>
  <c r="C22" i="8"/>
  <c r="C18" i="8"/>
  <c r="C14" i="8"/>
  <c r="C10" i="8"/>
  <c r="C6" i="8"/>
  <c r="A3" i="8" a="1"/>
  <c r="J1" i="8"/>
  <c r="J14" i="8" s="1"/>
  <c r="N51" i="1" s="1"/>
  <c r="W22" i="1"/>
  <c r="E42" i="11" s="1"/>
  <c r="T21" i="1"/>
  <c r="E30" i="10" s="1"/>
  <c r="Q20" i="1"/>
  <c r="E22" i="9" s="1"/>
  <c r="N19" i="1"/>
  <c r="E18" i="8" s="1"/>
  <c r="K18" i="1"/>
  <c r="E14" i="7" s="1"/>
  <c r="W16" i="1"/>
  <c r="E6" i="11" s="1"/>
  <c r="W17" i="1"/>
  <c r="E10" i="11" s="1"/>
  <c r="W18" i="1"/>
  <c r="E14" i="11" s="1"/>
  <c r="W19" i="1"/>
  <c r="E18" i="11" s="1"/>
  <c r="W20" i="1"/>
  <c r="E22" i="11" s="1"/>
  <c r="W21" i="1"/>
  <c r="E30" i="11" s="1"/>
  <c r="W23" i="1"/>
  <c r="W24" i="1"/>
  <c r="W25" i="1"/>
  <c r="W15" i="1"/>
  <c r="T16" i="1"/>
  <c r="E6" i="10" s="1"/>
  <c r="T17" i="1"/>
  <c r="E10" i="10" s="1"/>
  <c r="T18" i="1"/>
  <c r="E14" i="10" s="1"/>
  <c r="T19" i="1"/>
  <c r="E18" i="10" s="1"/>
  <c r="T20" i="1"/>
  <c r="E22" i="10" s="1"/>
  <c r="T22" i="1"/>
  <c r="E42" i="10" s="1"/>
  <c r="T23" i="1"/>
  <c r="T24" i="1"/>
  <c r="T25" i="1"/>
  <c r="T15" i="1"/>
  <c r="Q16" i="1"/>
  <c r="E6" i="9" s="1"/>
  <c r="Q17" i="1"/>
  <c r="E10" i="9" s="1"/>
  <c r="Q18" i="1"/>
  <c r="E14" i="9" s="1"/>
  <c r="Q19" i="1"/>
  <c r="E18" i="9" s="1"/>
  <c r="Q21" i="1"/>
  <c r="E30" i="9" s="1"/>
  <c r="Q22" i="1"/>
  <c r="E42" i="9" s="1"/>
  <c r="Q23" i="1"/>
  <c r="Q24" i="1"/>
  <c r="Q25" i="1"/>
  <c r="Q15" i="1"/>
  <c r="N16" i="1"/>
  <c r="E6" i="8" s="1"/>
  <c r="N17" i="1"/>
  <c r="E10" i="8" s="1"/>
  <c r="N18" i="1"/>
  <c r="E14" i="8" s="1"/>
  <c r="N20" i="1"/>
  <c r="E22" i="8" s="1"/>
  <c r="N21" i="1"/>
  <c r="E30" i="8" s="1"/>
  <c r="N22" i="1"/>
  <c r="E42" i="8" s="1"/>
  <c r="N23" i="1"/>
  <c r="N24" i="1"/>
  <c r="N25" i="1"/>
  <c r="N15" i="1"/>
  <c r="K16" i="1"/>
  <c r="E6" i="7" s="1"/>
  <c r="K17" i="1"/>
  <c r="E10" i="7" s="1"/>
  <c r="K19" i="1"/>
  <c r="E18" i="7" s="1"/>
  <c r="K20" i="1"/>
  <c r="E22" i="7" s="1"/>
  <c r="K21" i="1"/>
  <c r="E30" i="7" s="1"/>
  <c r="K22" i="1"/>
  <c r="E42" i="7" s="1"/>
  <c r="K23" i="1"/>
  <c r="K24" i="1"/>
  <c r="K25" i="1"/>
  <c r="K15" i="1"/>
  <c r="C42" i="7"/>
  <c r="G42" i="7" s="1"/>
  <c r="C30" i="7"/>
  <c r="C22" i="7"/>
  <c r="C18" i="7"/>
  <c r="C14" i="7"/>
  <c r="C10" i="7"/>
  <c r="G10" i="7" s="1"/>
  <c r="C6" i="7"/>
  <c r="A3" i="7" a="1"/>
  <c r="J1" i="7"/>
  <c r="J14" i="7" s="1"/>
  <c r="K51" i="1" s="1"/>
  <c r="C42" i="6"/>
  <c r="G42" i="6" s="1"/>
  <c r="C30" i="6"/>
  <c r="C22" i="6"/>
  <c r="C18" i="6"/>
  <c r="G18" i="6" s="1"/>
  <c r="C14" i="6"/>
  <c r="G14" i="6" s="1"/>
  <c r="C10" i="6"/>
  <c r="G10" i="6" s="1"/>
  <c r="C6" i="6"/>
  <c r="A3" i="6" a="1"/>
  <c r="J1" i="6"/>
  <c r="J14" i="6" s="1"/>
  <c r="H51" i="1" s="1"/>
  <c r="C42" i="5"/>
  <c r="G42" i="5" s="1"/>
  <c r="C30" i="5"/>
  <c r="C22" i="5"/>
  <c r="C18" i="5"/>
  <c r="C14" i="5"/>
  <c r="C10" i="5"/>
  <c r="G10" i="5" s="1"/>
  <c r="C6" i="5"/>
  <c r="A3" i="5" a="1"/>
  <c r="J1" i="5"/>
  <c r="H17" i="1"/>
  <c r="E10" i="6" s="1"/>
  <c r="H16" i="1"/>
  <c r="E6" i="6" s="1"/>
  <c r="H18" i="1"/>
  <c r="E14" i="6" s="1"/>
  <c r="H19" i="1"/>
  <c r="E18" i="6" s="1"/>
  <c r="H20" i="1"/>
  <c r="E22" i="6" s="1"/>
  <c r="H21" i="1"/>
  <c r="E30" i="6" s="1"/>
  <c r="H22" i="1"/>
  <c r="E42" i="6" s="1"/>
  <c r="H23" i="1"/>
  <c r="H24" i="1"/>
  <c r="H25" i="1"/>
  <c r="H15" i="1"/>
  <c r="E16" i="1"/>
  <c r="E6" i="5" s="1"/>
  <c r="E15" i="1"/>
  <c r="E17" i="1"/>
  <c r="E10" i="5" s="1"/>
  <c r="E18" i="1"/>
  <c r="E14" i="5" s="1"/>
  <c r="E19" i="1"/>
  <c r="E18" i="5" s="1"/>
  <c r="E20" i="1"/>
  <c r="E22" i="5" s="1"/>
  <c r="E21" i="1"/>
  <c r="E30" i="5" s="1"/>
  <c r="E22" i="1"/>
  <c r="E42" i="5" s="1"/>
  <c r="E23" i="1"/>
  <c r="E24" i="1"/>
  <c r="E25" i="1"/>
  <c r="C42" i="4"/>
  <c r="G42" i="4" s="1"/>
  <c r="C30" i="4"/>
  <c r="C22" i="4"/>
  <c r="C18" i="4"/>
  <c r="G18" i="4" s="1"/>
  <c r="C14" i="4"/>
  <c r="C10" i="4"/>
  <c r="G10" i="4" s="1"/>
  <c r="C6" i="4"/>
  <c r="A3" i="4" a="1"/>
  <c r="J1" i="4"/>
  <c r="J14" i="4" s="1"/>
  <c r="B3" i="2"/>
  <c r="H3" i="2" s="1"/>
  <c r="R3" i="2" s="1"/>
  <c r="J1" i="2"/>
  <c r="B16" i="1"/>
  <c r="E6" i="4" s="1"/>
  <c r="B17" i="1"/>
  <c r="E10" i="4" s="1"/>
  <c r="B18" i="1"/>
  <c r="E14" i="4" s="1"/>
  <c r="B19" i="1"/>
  <c r="E18" i="4" s="1"/>
  <c r="B20" i="1"/>
  <c r="E22" i="4" s="1"/>
  <c r="B21" i="1"/>
  <c r="E30" i="4" s="1"/>
  <c r="B22" i="1"/>
  <c r="E42" i="4" s="1"/>
  <c r="B23" i="1"/>
  <c r="B24" i="1"/>
  <c r="B25" i="1"/>
  <c r="B15" i="1"/>
  <c r="J3" i="11" s="1"/>
  <c r="W40" i="1" s="1"/>
  <c r="A3" i="2" a="1"/>
  <c r="A3" i="2" s="1"/>
  <c r="C22" i="2"/>
  <c r="C42" i="2"/>
  <c r="C30" i="2"/>
  <c r="C18" i="2"/>
  <c r="C14" i="2"/>
  <c r="C10" i="2"/>
  <c r="C6" i="2"/>
  <c r="N3" i="2" l="1"/>
  <c r="M3" i="2"/>
  <c r="E30" i="2"/>
  <c r="E42" i="2"/>
  <c r="G10" i="2"/>
  <c r="G14" i="2"/>
  <c r="G18" i="2"/>
  <c r="G30" i="2"/>
  <c r="G42" i="2"/>
  <c r="G22" i="2"/>
  <c r="G6" i="2"/>
  <c r="E6" i="2"/>
  <c r="E10" i="2"/>
  <c r="E14" i="2"/>
  <c r="E18" i="2"/>
  <c r="E22" i="2"/>
  <c r="C20" i="4"/>
  <c r="B20" i="4" s="1"/>
  <c r="C20" i="11"/>
  <c r="B20" i="11" s="1"/>
  <c r="C9" i="11"/>
  <c r="B9" i="11" s="1"/>
  <c r="C32" i="2"/>
  <c r="B32" i="2" s="1"/>
  <c r="C24" i="2"/>
  <c r="G24" i="2" s="1"/>
  <c r="C29" i="7"/>
  <c r="J6" i="2"/>
  <c r="B43" i="1" s="1"/>
  <c r="J22" i="2"/>
  <c r="B59" i="1" s="1"/>
  <c r="J18" i="2"/>
  <c r="B55" i="1" s="1"/>
  <c r="Q96" i="1" s="1"/>
  <c r="B3" i="4"/>
  <c r="J30" i="2"/>
  <c r="B67" i="1" s="1"/>
  <c r="J6" i="9"/>
  <c r="Q43" i="1" s="1"/>
  <c r="J3" i="5"/>
  <c r="E40" i="1" s="1"/>
  <c r="J3" i="9"/>
  <c r="Q40" i="1" s="1"/>
  <c r="J14" i="11"/>
  <c r="W51" i="1" s="1"/>
  <c r="J3" i="8"/>
  <c r="N40" i="1" s="1"/>
  <c r="J3" i="10"/>
  <c r="T40" i="1" s="1"/>
  <c r="J14" i="2"/>
  <c r="J14" i="9"/>
  <c r="Q51" i="1" s="1"/>
  <c r="J42" i="2"/>
  <c r="J10" i="2"/>
  <c r="J3" i="2"/>
  <c r="J14" i="5"/>
  <c r="E51" i="1" s="1"/>
  <c r="J3" i="7"/>
  <c r="K40" i="1" s="1"/>
  <c r="C41" i="11"/>
  <c r="G41" i="11" s="1"/>
  <c r="C16" i="11"/>
  <c r="G16" i="11" s="1"/>
  <c r="C21" i="11"/>
  <c r="G21" i="11" s="1"/>
  <c r="C11" i="11"/>
  <c r="C13" i="11"/>
  <c r="C24" i="11"/>
  <c r="C26" i="11"/>
  <c r="C28" i="11"/>
  <c r="G22" i="11"/>
  <c r="C15" i="11"/>
  <c r="C17" i="11"/>
  <c r="C32" i="11"/>
  <c r="C34" i="11"/>
  <c r="C36" i="11"/>
  <c r="C38" i="11"/>
  <c r="C40" i="11"/>
  <c r="J22" i="11"/>
  <c r="W59" i="1" s="1"/>
  <c r="G30" i="11"/>
  <c r="C8" i="11"/>
  <c r="C19" i="11"/>
  <c r="G6" i="11"/>
  <c r="J30" i="11"/>
  <c r="W67" i="1" s="1"/>
  <c r="A3" i="11"/>
  <c r="C12" i="11"/>
  <c r="C23" i="11"/>
  <c r="C25" i="11"/>
  <c r="C27" i="11"/>
  <c r="C29" i="11"/>
  <c r="J6" i="11"/>
  <c r="W43" i="1" s="1"/>
  <c r="J42" i="11"/>
  <c r="W79" i="1" s="1"/>
  <c r="C3" i="11"/>
  <c r="C31" i="11"/>
  <c r="C33" i="11"/>
  <c r="C35" i="11"/>
  <c r="C37" i="11"/>
  <c r="C39" i="11"/>
  <c r="J10" i="11"/>
  <c r="W47" i="1" s="1"/>
  <c r="G14" i="11"/>
  <c r="H3" i="11"/>
  <c r="K3" i="11" s="1"/>
  <c r="X40" i="1" s="1"/>
  <c r="C7" i="11"/>
  <c r="C41" i="10"/>
  <c r="G41" i="10" s="1"/>
  <c r="C20" i="10"/>
  <c r="B20" i="10" s="1"/>
  <c r="C16" i="10"/>
  <c r="G16" i="10" s="1"/>
  <c r="C9" i="10"/>
  <c r="B9" i="10" s="1"/>
  <c r="C11" i="10"/>
  <c r="C13" i="10"/>
  <c r="C24" i="10"/>
  <c r="C26" i="10"/>
  <c r="C28" i="10"/>
  <c r="J18" i="10"/>
  <c r="T55" i="1" s="1"/>
  <c r="G22" i="10"/>
  <c r="C15" i="10"/>
  <c r="C17" i="10"/>
  <c r="C32" i="10"/>
  <c r="C34" i="10"/>
  <c r="C36" i="10"/>
  <c r="C38" i="10"/>
  <c r="C40" i="10"/>
  <c r="J22" i="10"/>
  <c r="T59" i="1" s="1"/>
  <c r="G30" i="10"/>
  <c r="C8" i="10"/>
  <c r="C19" i="10"/>
  <c r="C21" i="10"/>
  <c r="G6" i="10"/>
  <c r="J30" i="10"/>
  <c r="T67" i="1" s="1"/>
  <c r="A3" i="10"/>
  <c r="C12" i="10"/>
  <c r="C23" i="10"/>
  <c r="C25" i="10"/>
  <c r="C27" i="10"/>
  <c r="C29" i="10"/>
  <c r="J6" i="10"/>
  <c r="T43" i="1" s="1"/>
  <c r="J42" i="10"/>
  <c r="T79" i="1" s="1"/>
  <c r="C3" i="10"/>
  <c r="C31" i="10"/>
  <c r="C33" i="10"/>
  <c r="C35" i="10"/>
  <c r="C37" i="10"/>
  <c r="C39" i="10"/>
  <c r="J10" i="10"/>
  <c r="T47" i="1" s="1"/>
  <c r="G14" i="10"/>
  <c r="H3" i="10"/>
  <c r="K3" i="10" s="1"/>
  <c r="U40" i="1" s="1"/>
  <c r="C7" i="10"/>
  <c r="C38" i="9"/>
  <c r="B38" i="9" s="1"/>
  <c r="C20" i="9"/>
  <c r="G20" i="9" s="1"/>
  <c r="C15" i="9"/>
  <c r="G15" i="9" s="1"/>
  <c r="C17" i="9"/>
  <c r="G17" i="9" s="1"/>
  <c r="G18" i="9"/>
  <c r="C13" i="9"/>
  <c r="G13" i="9" s="1"/>
  <c r="C9" i="9"/>
  <c r="B9" i="9" s="1"/>
  <c r="C11" i="9"/>
  <c r="C41" i="8"/>
  <c r="G41" i="8" s="1"/>
  <c r="C29" i="8"/>
  <c r="B29" i="8" s="1"/>
  <c r="C20" i="8"/>
  <c r="B20" i="8" s="1"/>
  <c r="C17" i="8"/>
  <c r="G17" i="8" s="1"/>
  <c r="G18" i="8"/>
  <c r="C12" i="8"/>
  <c r="G12" i="8" s="1"/>
  <c r="C9" i="8"/>
  <c r="B9" i="8" s="1"/>
  <c r="C24" i="9"/>
  <c r="C26" i="9"/>
  <c r="C28" i="9"/>
  <c r="G22" i="9"/>
  <c r="J22" i="9"/>
  <c r="Q59" i="1" s="1"/>
  <c r="G30" i="9"/>
  <c r="C32" i="9"/>
  <c r="C40" i="9"/>
  <c r="C8" i="9"/>
  <c r="C19" i="9"/>
  <c r="C21" i="9"/>
  <c r="G6" i="9"/>
  <c r="J30" i="9"/>
  <c r="Q67" i="1" s="1"/>
  <c r="A3" i="9"/>
  <c r="C12" i="9"/>
  <c r="C23" i="9"/>
  <c r="C25" i="9"/>
  <c r="C27" i="9"/>
  <c r="C29" i="9"/>
  <c r="G10" i="9"/>
  <c r="J42" i="9"/>
  <c r="Q79" i="1" s="1"/>
  <c r="C34" i="9"/>
  <c r="C3" i="9"/>
  <c r="C16" i="9"/>
  <c r="C31" i="9"/>
  <c r="C33" i="9"/>
  <c r="C35" i="9"/>
  <c r="C37" i="9"/>
  <c r="C39" i="9"/>
  <c r="C41" i="9"/>
  <c r="C36" i="9"/>
  <c r="J10" i="9"/>
  <c r="Q47" i="1" s="1"/>
  <c r="H3" i="9"/>
  <c r="K3" i="9" s="1"/>
  <c r="R40" i="1" s="1"/>
  <c r="C7" i="9"/>
  <c r="C11" i="8"/>
  <c r="C13" i="8"/>
  <c r="C24" i="8"/>
  <c r="C26" i="8"/>
  <c r="C28" i="8"/>
  <c r="J18" i="8"/>
  <c r="N55" i="1" s="1"/>
  <c r="G22" i="8"/>
  <c r="C15" i="8"/>
  <c r="C32" i="8"/>
  <c r="C34" i="8"/>
  <c r="C36" i="8"/>
  <c r="C38" i="8"/>
  <c r="C40" i="8"/>
  <c r="J22" i="8"/>
  <c r="N59" i="1" s="1"/>
  <c r="G30" i="8"/>
  <c r="C8" i="8"/>
  <c r="C19" i="8"/>
  <c r="C21" i="8"/>
  <c r="G6" i="8"/>
  <c r="J30" i="8"/>
  <c r="N67" i="1" s="1"/>
  <c r="A3" i="8"/>
  <c r="C23" i="8"/>
  <c r="C25" i="8"/>
  <c r="C27" i="8"/>
  <c r="J6" i="8"/>
  <c r="N43" i="1" s="1"/>
  <c r="G10" i="8"/>
  <c r="J42" i="8"/>
  <c r="N79" i="1" s="1"/>
  <c r="C3" i="8"/>
  <c r="C16" i="8"/>
  <c r="C31" i="8"/>
  <c r="C33" i="8"/>
  <c r="C35" i="8"/>
  <c r="C37" i="8"/>
  <c r="C39" i="8"/>
  <c r="J10" i="8"/>
  <c r="N47" i="1" s="1"/>
  <c r="G14" i="8"/>
  <c r="H3" i="8"/>
  <c r="K3" i="8" s="1"/>
  <c r="O40" i="1" s="1"/>
  <c r="C7" i="8"/>
  <c r="C41" i="7"/>
  <c r="G41" i="7" s="1"/>
  <c r="C21" i="7"/>
  <c r="G21" i="7" s="1"/>
  <c r="C16" i="7"/>
  <c r="G16" i="7" s="1"/>
  <c r="G18" i="7"/>
  <c r="C20" i="7"/>
  <c r="B20" i="7" s="1"/>
  <c r="C9" i="7"/>
  <c r="B9" i="7" s="1"/>
  <c r="G29" i="7"/>
  <c r="B29" i="7"/>
  <c r="C11" i="7"/>
  <c r="C13" i="7"/>
  <c r="C24" i="7"/>
  <c r="C26" i="7"/>
  <c r="C28" i="7"/>
  <c r="J18" i="7"/>
  <c r="K55" i="1" s="1"/>
  <c r="G22" i="7"/>
  <c r="C15" i="7"/>
  <c r="C17" i="7"/>
  <c r="C32" i="7"/>
  <c r="C34" i="7"/>
  <c r="C36" i="7"/>
  <c r="C38" i="7"/>
  <c r="C40" i="7"/>
  <c r="J22" i="7"/>
  <c r="K59" i="1" s="1"/>
  <c r="G30" i="7"/>
  <c r="C8" i="7"/>
  <c r="C19" i="7"/>
  <c r="G6" i="7"/>
  <c r="J30" i="7"/>
  <c r="K67" i="1" s="1"/>
  <c r="A3" i="7"/>
  <c r="C12" i="7"/>
  <c r="C23" i="7"/>
  <c r="C25" i="7"/>
  <c r="C27" i="7"/>
  <c r="J6" i="7"/>
  <c r="K43" i="1" s="1"/>
  <c r="J42" i="7"/>
  <c r="K79" i="1" s="1"/>
  <c r="C3" i="7"/>
  <c r="C31" i="7"/>
  <c r="C33" i="7"/>
  <c r="C35" i="7"/>
  <c r="C37" i="7"/>
  <c r="C39" i="7"/>
  <c r="J10" i="7"/>
  <c r="K47" i="1" s="1"/>
  <c r="G14" i="7"/>
  <c r="H3" i="7"/>
  <c r="K3" i="7" s="1"/>
  <c r="L40" i="1" s="1"/>
  <c r="C7" i="7"/>
  <c r="C41" i="6"/>
  <c r="G41" i="6" s="1"/>
  <c r="C20" i="6"/>
  <c r="B20" i="6" s="1"/>
  <c r="C9" i="6"/>
  <c r="G9" i="6" s="1"/>
  <c r="C11" i="6"/>
  <c r="C13" i="6"/>
  <c r="C24" i="6"/>
  <c r="C26" i="6"/>
  <c r="C28" i="6"/>
  <c r="J18" i="6"/>
  <c r="H55" i="1" s="1"/>
  <c r="G22" i="6"/>
  <c r="C15" i="6"/>
  <c r="C17" i="6"/>
  <c r="C32" i="6"/>
  <c r="C34" i="6"/>
  <c r="C36" i="6"/>
  <c r="C38" i="6"/>
  <c r="C40" i="6"/>
  <c r="J22" i="6"/>
  <c r="H59" i="1" s="1"/>
  <c r="G30" i="6"/>
  <c r="C8" i="6"/>
  <c r="C19" i="6"/>
  <c r="C21" i="6"/>
  <c r="G6" i="6"/>
  <c r="J30" i="6"/>
  <c r="H67" i="1" s="1"/>
  <c r="A3" i="6"/>
  <c r="C12" i="6"/>
  <c r="C23" i="6"/>
  <c r="C25" i="6"/>
  <c r="C27" i="6"/>
  <c r="C29" i="6"/>
  <c r="J6" i="6"/>
  <c r="H43" i="1" s="1"/>
  <c r="J42" i="6"/>
  <c r="H79" i="1" s="1"/>
  <c r="C3" i="6"/>
  <c r="C16" i="6"/>
  <c r="C31" i="6"/>
  <c r="C33" i="6"/>
  <c r="C35" i="6"/>
  <c r="C37" i="6"/>
  <c r="C39" i="6"/>
  <c r="J10" i="6"/>
  <c r="H47" i="1" s="1"/>
  <c r="C7" i="6"/>
  <c r="C41" i="5"/>
  <c r="B41" i="5" s="1"/>
  <c r="C29" i="5"/>
  <c r="G29" i="5" s="1"/>
  <c r="C20" i="5"/>
  <c r="G20" i="5" s="1"/>
  <c r="G18" i="5"/>
  <c r="C16" i="5"/>
  <c r="G16" i="5" s="1"/>
  <c r="C9" i="5"/>
  <c r="G9" i="5" s="1"/>
  <c r="C11" i="5"/>
  <c r="C13" i="5"/>
  <c r="C24" i="5"/>
  <c r="C26" i="5"/>
  <c r="C28" i="5"/>
  <c r="J18" i="5"/>
  <c r="E55" i="1" s="1"/>
  <c r="G22" i="5"/>
  <c r="C15" i="5"/>
  <c r="C17" i="5"/>
  <c r="C32" i="5"/>
  <c r="C34" i="5"/>
  <c r="C36" i="5"/>
  <c r="C38" i="5"/>
  <c r="C40" i="5"/>
  <c r="J22" i="5"/>
  <c r="E59" i="1" s="1"/>
  <c r="G30" i="5"/>
  <c r="C8" i="5"/>
  <c r="C19" i="5"/>
  <c r="C21" i="5"/>
  <c r="G6" i="5"/>
  <c r="J30" i="5"/>
  <c r="E67" i="1" s="1"/>
  <c r="A3" i="5"/>
  <c r="C12" i="5"/>
  <c r="C23" i="5"/>
  <c r="C25" i="5"/>
  <c r="C27" i="5"/>
  <c r="J6" i="5"/>
  <c r="E43" i="1" s="1"/>
  <c r="J42" i="5"/>
  <c r="E79" i="1" s="1"/>
  <c r="C3" i="5"/>
  <c r="C31" i="5"/>
  <c r="C33" i="5"/>
  <c r="C35" i="5"/>
  <c r="C37" i="5"/>
  <c r="C39" i="5"/>
  <c r="J10" i="5"/>
  <c r="E47" i="1" s="1"/>
  <c r="G14" i="5"/>
  <c r="H3" i="5"/>
  <c r="C7" i="5"/>
  <c r="C41" i="4"/>
  <c r="G41" i="4" s="1"/>
  <c r="C21" i="4"/>
  <c r="G21" i="4" s="1"/>
  <c r="C16" i="4"/>
  <c r="G16" i="4" s="1"/>
  <c r="C9" i="4"/>
  <c r="B9" i="4" s="1"/>
  <c r="G20" i="4"/>
  <c r="C11" i="4"/>
  <c r="C13" i="4"/>
  <c r="C24" i="4"/>
  <c r="C26" i="4"/>
  <c r="C28" i="4"/>
  <c r="J18" i="4"/>
  <c r="G22" i="4"/>
  <c r="C15" i="4"/>
  <c r="C17" i="4"/>
  <c r="C32" i="4"/>
  <c r="C34" i="4"/>
  <c r="C36" i="4"/>
  <c r="C38" i="4"/>
  <c r="C40" i="4"/>
  <c r="J22" i="4"/>
  <c r="G30" i="4"/>
  <c r="C8" i="4"/>
  <c r="C19" i="4"/>
  <c r="G6" i="4"/>
  <c r="J30" i="4"/>
  <c r="A3" i="4"/>
  <c r="C12" i="4"/>
  <c r="C23" i="4"/>
  <c r="C25" i="4"/>
  <c r="C27" i="4"/>
  <c r="C29" i="4"/>
  <c r="J6" i="4"/>
  <c r="J42" i="4"/>
  <c r="C31" i="4"/>
  <c r="C33" i="4"/>
  <c r="C35" i="4"/>
  <c r="C37" i="4"/>
  <c r="C39" i="4"/>
  <c r="J10" i="4"/>
  <c r="G14" i="4"/>
  <c r="C7" i="4"/>
  <c r="C31" i="2"/>
  <c r="C41" i="2"/>
  <c r="C40" i="2"/>
  <c r="C39" i="2"/>
  <c r="C38" i="2"/>
  <c r="C37" i="2"/>
  <c r="C36" i="2"/>
  <c r="C35" i="2"/>
  <c r="C34" i="2"/>
  <c r="C33" i="2"/>
  <c r="C23" i="2"/>
  <c r="C29" i="2"/>
  <c r="C28" i="2"/>
  <c r="C27" i="2"/>
  <c r="C26" i="2"/>
  <c r="C25" i="2"/>
  <c r="C19" i="2"/>
  <c r="G19" i="2" s="1"/>
  <c r="C20" i="2"/>
  <c r="C21" i="2"/>
  <c r="C17" i="2"/>
  <c r="C15" i="2"/>
  <c r="C16" i="2"/>
  <c r="C9" i="2"/>
  <c r="C11" i="2"/>
  <c r="C12" i="2"/>
  <c r="C13" i="2"/>
  <c r="C7" i="2"/>
  <c r="C8" i="2"/>
  <c r="J32" i="2" l="1"/>
  <c r="M32" i="2"/>
  <c r="H84" i="1"/>
  <c r="G9" i="11"/>
  <c r="J20" i="10"/>
  <c r="T57" i="1" s="1"/>
  <c r="H30" i="8"/>
  <c r="J20" i="8"/>
  <c r="N57" i="1" s="1"/>
  <c r="H30" i="7"/>
  <c r="J20" i="6"/>
  <c r="H57" i="1" s="1"/>
  <c r="H10" i="4"/>
  <c r="Q100" i="1"/>
  <c r="B24" i="2"/>
  <c r="E100" i="1"/>
  <c r="K100" i="1"/>
  <c r="H96" i="1"/>
  <c r="E84" i="1"/>
  <c r="O3" i="11"/>
  <c r="O3" i="10"/>
  <c r="K3" i="5"/>
  <c r="F40" i="1" s="1"/>
  <c r="O3" i="5"/>
  <c r="O3" i="9"/>
  <c r="O3" i="8"/>
  <c r="O3" i="7"/>
  <c r="J3" i="4"/>
  <c r="E96" i="1"/>
  <c r="K96" i="1"/>
  <c r="H100" i="1"/>
  <c r="N100" i="1"/>
  <c r="W100" i="1"/>
  <c r="B41" i="4"/>
  <c r="J41" i="4" s="1"/>
  <c r="B16" i="4"/>
  <c r="B41" i="11"/>
  <c r="J41" i="11" s="1"/>
  <c r="W78" i="1" s="1"/>
  <c r="G20" i="11"/>
  <c r="B16" i="11"/>
  <c r="J16" i="11" s="1"/>
  <c r="W53" i="1" s="1"/>
  <c r="B41" i="10"/>
  <c r="H42" i="10" s="1"/>
  <c r="K42" i="10" s="1"/>
  <c r="U79" i="1" s="1"/>
  <c r="B16" i="10"/>
  <c r="J16" i="10" s="1"/>
  <c r="T53" i="1" s="1"/>
  <c r="G38" i="9"/>
  <c r="B17" i="9"/>
  <c r="J17" i="9" s="1"/>
  <c r="Q54" i="1" s="1"/>
  <c r="B15" i="9"/>
  <c r="H15" i="9" s="1"/>
  <c r="K15" i="9" s="1"/>
  <c r="R52" i="1" s="1"/>
  <c r="B13" i="9"/>
  <c r="G9" i="9"/>
  <c r="G32" i="2"/>
  <c r="B40" i="2"/>
  <c r="M40" i="2" s="1"/>
  <c r="G40" i="2"/>
  <c r="B41" i="2"/>
  <c r="M41" i="2" s="1"/>
  <c r="G41" i="2"/>
  <c r="B39" i="2"/>
  <c r="M39" i="2" s="1"/>
  <c r="G39" i="2"/>
  <c r="B31" i="2"/>
  <c r="M31" i="2" s="1"/>
  <c r="G31" i="2"/>
  <c r="B33" i="2"/>
  <c r="M33" i="2" s="1"/>
  <c r="G33" i="2"/>
  <c r="B34" i="2"/>
  <c r="M34" i="2" s="1"/>
  <c r="G34" i="2"/>
  <c r="B35" i="2"/>
  <c r="M35" i="2" s="1"/>
  <c r="G35" i="2"/>
  <c r="B36" i="2"/>
  <c r="M36" i="2" s="1"/>
  <c r="G36" i="2"/>
  <c r="B37" i="2"/>
  <c r="M37" i="2" s="1"/>
  <c r="G37" i="2"/>
  <c r="B38" i="2"/>
  <c r="M38" i="2" s="1"/>
  <c r="G38" i="2"/>
  <c r="T100" i="1"/>
  <c r="B28" i="2"/>
  <c r="M28" i="2" s="1"/>
  <c r="G28" i="2"/>
  <c r="B25" i="2"/>
  <c r="M25" i="2" s="1"/>
  <c r="G25" i="2"/>
  <c r="B29" i="2"/>
  <c r="M29" i="2" s="1"/>
  <c r="G29" i="2"/>
  <c r="B26" i="2"/>
  <c r="M26" i="2" s="1"/>
  <c r="G26" i="2"/>
  <c r="B23" i="2"/>
  <c r="M23" i="2" s="1"/>
  <c r="G23" i="2"/>
  <c r="B27" i="2"/>
  <c r="M27" i="2" s="1"/>
  <c r="G27" i="2"/>
  <c r="N96" i="1"/>
  <c r="W96" i="1"/>
  <c r="T96" i="1"/>
  <c r="B19" i="2"/>
  <c r="M19" i="2" s="1"/>
  <c r="B20" i="2"/>
  <c r="M20" i="2" s="1"/>
  <c r="G20" i="2"/>
  <c r="B21" i="2"/>
  <c r="M21" i="2" s="1"/>
  <c r="G21" i="2"/>
  <c r="B17" i="2"/>
  <c r="M17" i="2" s="1"/>
  <c r="G17" i="2"/>
  <c r="B15" i="2"/>
  <c r="M15" i="2" s="1"/>
  <c r="G15" i="2"/>
  <c r="B16" i="2"/>
  <c r="M16" i="2" s="1"/>
  <c r="G16" i="2"/>
  <c r="B13" i="2"/>
  <c r="M13" i="2" s="1"/>
  <c r="G13" i="2"/>
  <c r="B12" i="2"/>
  <c r="M12" i="2" s="1"/>
  <c r="G12" i="2"/>
  <c r="B11" i="2"/>
  <c r="M11" i="2" s="1"/>
  <c r="G11" i="2"/>
  <c r="N84" i="1"/>
  <c r="K84" i="1"/>
  <c r="W84" i="1"/>
  <c r="T84" i="1"/>
  <c r="Q84" i="1"/>
  <c r="B41" i="8"/>
  <c r="G29" i="8"/>
  <c r="G20" i="8"/>
  <c r="B17" i="8"/>
  <c r="J17" i="8" s="1"/>
  <c r="N54" i="1" s="1"/>
  <c r="B12" i="8"/>
  <c r="G9" i="8"/>
  <c r="H10" i="8"/>
  <c r="J9" i="8"/>
  <c r="N46" i="1" s="1"/>
  <c r="B41" i="7"/>
  <c r="H42" i="7" s="1"/>
  <c r="K42" i="7" s="1"/>
  <c r="L79" i="1" s="1"/>
  <c r="B21" i="7"/>
  <c r="B16" i="7"/>
  <c r="B41" i="6"/>
  <c r="J41" i="6" s="1"/>
  <c r="H78" i="1" s="1"/>
  <c r="G41" i="5"/>
  <c r="B20" i="5"/>
  <c r="B16" i="5"/>
  <c r="J16" i="5" s="1"/>
  <c r="E53" i="1" s="1"/>
  <c r="H3" i="4"/>
  <c r="K3" i="4" s="1"/>
  <c r="C3" i="4"/>
  <c r="G3" i="4" s="1"/>
  <c r="K108" i="1"/>
  <c r="N108" i="1"/>
  <c r="T108" i="1"/>
  <c r="W108" i="1"/>
  <c r="E108" i="1"/>
  <c r="H108" i="1"/>
  <c r="Q108" i="1"/>
  <c r="B47" i="1"/>
  <c r="J3" i="6"/>
  <c r="H40" i="1" s="1"/>
  <c r="H3" i="6"/>
  <c r="B79" i="1"/>
  <c r="B51" i="1"/>
  <c r="B40" i="1"/>
  <c r="B69" i="1"/>
  <c r="B21" i="11"/>
  <c r="J20" i="11"/>
  <c r="W57" i="1" s="1"/>
  <c r="H42" i="11"/>
  <c r="K42" i="11" s="1"/>
  <c r="X79" i="1" s="1"/>
  <c r="B7" i="11"/>
  <c r="G7" i="11"/>
  <c r="G31" i="11"/>
  <c r="B31" i="11"/>
  <c r="G23" i="11"/>
  <c r="B23" i="11"/>
  <c r="G3" i="11"/>
  <c r="C5" i="11"/>
  <c r="C4" i="11"/>
  <c r="G12" i="11"/>
  <c r="B12" i="11"/>
  <c r="G33" i="11"/>
  <c r="B33" i="11"/>
  <c r="G19" i="11"/>
  <c r="B19" i="11"/>
  <c r="G25" i="11"/>
  <c r="B25" i="11"/>
  <c r="G15" i="11"/>
  <c r="B15" i="11"/>
  <c r="G8" i="11"/>
  <c r="B8" i="11"/>
  <c r="G40" i="11"/>
  <c r="B40" i="11"/>
  <c r="B28" i="11"/>
  <c r="G28" i="11"/>
  <c r="G38" i="11"/>
  <c r="B38" i="11"/>
  <c r="B26" i="11"/>
  <c r="G26" i="11"/>
  <c r="G36" i="11"/>
  <c r="B36" i="11"/>
  <c r="B24" i="11"/>
  <c r="G24" i="11"/>
  <c r="G39" i="11"/>
  <c r="B39" i="11"/>
  <c r="G34" i="11"/>
  <c r="B34" i="11"/>
  <c r="G13" i="11"/>
  <c r="B13" i="11"/>
  <c r="G37" i="11"/>
  <c r="B37" i="11"/>
  <c r="G29" i="11"/>
  <c r="B29" i="11"/>
  <c r="G32" i="11"/>
  <c r="B32" i="11"/>
  <c r="B11" i="11"/>
  <c r="G11" i="11"/>
  <c r="G35" i="11"/>
  <c r="B35" i="11"/>
  <c r="G27" i="11"/>
  <c r="B27" i="11"/>
  <c r="G17" i="11"/>
  <c r="B17" i="11"/>
  <c r="H10" i="11"/>
  <c r="J9" i="11"/>
  <c r="W46" i="1" s="1"/>
  <c r="G20" i="10"/>
  <c r="H10" i="10"/>
  <c r="J9" i="10"/>
  <c r="T46" i="1" s="1"/>
  <c r="G9" i="10"/>
  <c r="G15" i="10"/>
  <c r="B15" i="10"/>
  <c r="B11" i="10"/>
  <c r="G11" i="10"/>
  <c r="G3" i="10"/>
  <c r="C5" i="10"/>
  <c r="C4" i="10"/>
  <c r="G12" i="10"/>
  <c r="B12" i="10"/>
  <c r="B7" i="10"/>
  <c r="G7" i="10"/>
  <c r="G21" i="10"/>
  <c r="B21" i="10"/>
  <c r="G31" i="10"/>
  <c r="B31" i="10"/>
  <c r="G19" i="10"/>
  <c r="B19" i="10"/>
  <c r="G23" i="10"/>
  <c r="B23" i="10"/>
  <c r="G8" i="10"/>
  <c r="B8" i="10"/>
  <c r="G40" i="10"/>
  <c r="B40" i="10"/>
  <c r="G38" i="10"/>
  <c r="B38" i="10"/>
  <c r="G39" i="10"/>
  <c r="B39" i="10"/>
  <c r="G36" i="10"/>
  <c r="B36" i="10"/>
  <c r="B28" i="10"/>
  <c r="G28" i="10"/>
  <c r="G37" i="10"/>
  <c r="B37" i="10"/>
  <c r="G29" i="10"/>
  <c r="B29" i="10"/>
  <c r="G34" i="10"/>
  <c r="B34" i="10"/>
  <c r="B26" i="10"/>
  <c r="G26" i="10"/>
  <c r="G35" i="10"/>
  <c r="B35" i="10"/>
  <c r="G27" i="10"/>
  <c r="B27" i="10"/>
  <c r="G32" i="10"/>
  <c r="B32" i="10"/>
  <c r="B24" i="10"/>
  <c r="G24" i="10"/>
  <c r="G33" i="10"/>
  <c r="B33" i="10"/>
  <c r="G25" i="10"/>
  <c r="B25" i="10"/>
  <c r="G17" i="10"/>
  <c r="B17" i="10"/>
  <c r="B13" i="10"/>
  <c r="G13" i="10"/>
  <c r="B20" i="9"/>
  <c r="G11" i="9"/>
  <c r="B11" i="9"/>
  <c r="G25" i="9"/>
  <c r="B25" i="9"/>
  <c r="B26" i="9"/>
  <c r="G26" i="9"/>
  <c r="G16" i="9"/>
  <c r="B16" i="9"/>
  <c r="G23" i="9"/>
  <c r="B23" i="9"/>
  <c r="B24" i="9"/>
  <c r="G24" i="9"/>
  <c r="G31" i="9"/>
  <c r="B31" i="9"/>
  <c r="G34" i="9"/>
  <c r="B34" i="9"/>
  <c r="G19" i="9"/>
  <c r="B19" i="9"/>
  <c r="G27" i="9"/>
  <c r="B27" i="9"/>
  <c r="G36" i="9"/>
  <c r="B36" i="9"/>
  <c r="G41" i="9"/>
  <c r="B41" i="9"/>
  <c r="J38" i="9"/>
  <c r="Q75" i="1" s="1"/>
  <c r="G8" i="9"/>
  <c r="B8" i="9"/>
  <c r="H10" i="9"/>
  <c r="J9" i="9"/>
  <c r="Q46" i="1" s="1"/>
  <c r="B28" i="9"/>
  <c r="G28" i="9"/>
  <c r="G21" i="9"/>
  <c r="B21" i="9"/>
  <c r="G39" i="9"/>
  <c r="B39" i="9"/>
  <c r="G3" i="9"/>
  <c r="C4" i="9"/>
  <c r="C5" i="9"/>
  <c r="G37" i="9"/>
  <c r="B37" i="9"/>
  <c r="G40" i="9"/>
  <c r="B40" i="9"/>
  <c r="G12" i="9"/>
  <c r="B12" i="9"/>
  <c r="G35" i="9"/>
  <c r="B35" i="9"/>
  <c r="G32" i="9"/>
  <c r="B32" i="9"/>
  <c r="B7" i="9"/>
  <c r="G7" i="9"/>
  <c r="G33" i="9"/>
  <c r="B33" i="9"/>
  <c r="G29" i="9"/>
  <c r="B29" i="9"/>
  <c r="G3" i="8"/>
  <c r="C5" i="8"/>
  <c r="C4" i="8"/>
  <c r="G21" i="8"/>
  <c r="B21" i="8"/>
  <c r="H21" i="8" s="1"/>
  <c r="K21" i="8" s="1"/>
  <c r="O58" i="1" s="1"/>
  <c r="G19" i="8"/>
  <c r="B19" i="8"/>
  <c r="G8" i="8"/>
  <c r="B8" i="8"/>
  <c r="G40" i="8"/>
  <c r="B40" i="8"/>
  <c r="G38" i="8"/>
  <c r="B38" i="8"/>
  <c r="B28" i="8"/>
  <c r="G28" i="8"/>
  <c r="G39" i="8"/>
  <c r="B39" i="8"/>
  <c r="G36" i="8"/>
  <c r="B36" i="8"/>
  <c r="B26" i="8"/>
  <c r="G26" i="8"/>
  <c r="G37" i="8"/>
  <c r="B37" i="8"/>
  <c r="G34" i="8"/>
  <c r="B34" i="8"/>
  <c r="B24" i="8"/>
  <c r="G24" i="8"/>
  <c r="G35" i="8"/>
  <c r="B35" i="8"/>
  <c r="G32" i="8"/>
  <c r="B32" i="8"/>
  <c r="B13" i="8"/>
  <c r="G13" i="8"/>
  <c r="G33" i="8"/>
  <c r="B33" i="8"/>
  <c r="G27" i="8"/>
  <c r="B27" i="8"/>
  <c r="G15" i="8"/>
  <c r="B15" i="8"/>
  <c r="G11" i="8"/>
  <c r="B11" i="8"/>
  <c r="B7" i="8"/>
  <c r="G7" i="8"/>
  <c r="G31" i="8"/>
  <c r="B31" i="8"/>
  <c r="G25" i="8"/>
  <c r="B25" i="8"/>
  <c r="H42" i="8"/>
  <c r="K42" i="8" s="1"/>
  <c r="O79" i="1" s="1"/>
  <c r="J41" i="8"/>
  <c r="N78" i="1" s="1"/>
  <c r="G23" i="8"/>
  <c r="B23" i="8"/>
  <c r="G16" i="8"/>
  <c r="B16" i="8"/>
  <c r="J29" i="8"/>
  <c r="N66" i="1" s="1"/>
  <c r="G20" i="7"/>
  <c r="G9" i="7"/>
  <c r="H10" i="7"/>
  <c r="J9" i="7"/>
  <c r="K46" i="1" s="1"/>
  <c r="J29" i="7"/>
  <c r="K66" i="1" s="1"/>
  <c r="G8" i="7"/>
  <c r="B8" i="7"/>
  <c r="G40" i="7"/>
  <c r="B40" i="7"/>
  <c r="G38" i="7"/>
  <c r="B38" i="7"/>
  <c r="G36" i="7"/>
  <c r="B36" i="7"/>
  <c r="B28" i="7"/>
  <c r="G28" i="7"/>
  <c r="G34" i="7"/>
  <c r="B34" i="7"/>
  <c r="B26" i="7"/>
  <c r="G26" i="7"/>
  <c r="G39" i="7"/>
  <c r="B39" i="7"/>
  <c r="G32" i="7"/>
  <c r="B32" i="7"/>
  <c r="B24" i="7"/>
  <c r="G24" i="7"/>
  <c r="G37" i="7"/>
  <c r="B37" i="7"/>
  <c r="G27" i="7"/>
  <c r="B27" i="7"/>
  <c r="G17" i="7"/>
  <c r="B17" i="7"/>
  <c r="B13" i="7"/>
  <c r="G13" i="7"/>
  <c r="G3" i="7"/>
  <c r="C5" i="7"/>
  <c r="C4" i="7"/>
  <c r="G35" i="7"/>
  <c r="B35" i="7"/>
  <c r="G25" i="7"/>
  <c r="B25" i="7"/>
  <c r="G15" i="7"/>
  <c r="B15" i="7"/>
  <c r="G11" i="7"/>
  <c r="B11" i="7"/>
  <c r="G7" i="7"/>
  <c r="B7" i="7"/>
  <c r="G33" i="7"/>
  <c r="B33" i="7"/>
  <c r="G23" i="7"/>
  <c r="B23" i="7"/>
  <c r="G19" i="7"/>
  <c r="B19" i="7"/>
  <c r="G31" i="7"/>
  <c r="B31" i="7"/>
  <c r="G12" i="7"/>
  <c r="B12" i="7"/>
  <c r="J20" i="7"/>
  <c r="K57" i="1" s="1"/>
  <c r="G20" i="6"/>
  <c r="B9" i="6"/>
  <c r="G31" i="6"/>
  <c r="B31" i="6"/>
  <c r="G25" i="6"/>
  <c r="B25" i="6"/>
  <c r="B11" i="6"/>
  <c r="G11" i="6"/>
  <c r="B13" i="6"/>
  <c r="G13" i="6"/>
  <c r="B7" i="6"/>
  <c r="G7" i="6"/>
  <c r="G23" i="6"/>
  <c r="B23" i="6"/>
  <c r="G15" i="6"/>
  <c r="B15" i="6"/>
  <c r="G16" i="6"/>
  <c r="B16" i="6"/>
  <c r="G12" i="6"/>
  <c r="B12" i="6"/>
  <c r="G21" i="6"/>
  <c r="B21" i="6"/>
  <c r="G33" i="6"/>
  <c r="B33" i="6"/>
  <c r="G19" i="6"/>
  <c r="B19" i="6"/>
  <c r="G40" i="6"/>
  <c r="B40" i="6"/>
  <c r="G8" i="6"/>
  <c r="B8" i="6"/>
  <c r="G38" i="6"/>
  <c r="B38" i="6"/>
  <c r="G36" i="6"/>
  <c r="B36" i="6"/>
  <c r="G39" i="6"/>
  <c r="B39" i="6"/>
  <c r="G34" i="6"/>
  <c r="B34" i="6"/>
  <c r="B28" i="6"/>
  <c r="G28" i="6"/>
  <c r="G37" i="6"/>
  <c r="B37" i="6"/>
  <c r="G32" i="6"/>
  <c r="B32" i="6"/>
  <c r="B26" i="6"/>
  <c r="G26" i="6"/>
  <c r="G27" i="6"/>
  <c r="B27" i="6"/>
  <c r="G3" i="6"/>
  <c r="C5" i="6"/>
  <c r="C4" i="6"/>
  <c r="G35" i="6"/>
  <c r="B35" i="6"/>
  <c r="G29" i="6"/>
  <c r="B29" i="6"/>
  <c r="G17" i="6"/>
  <c r="B17" i="6"/>
  <c r="B24" i="6"/>
  <c r="G24" i="6"/>
  <c r="B29" i="5"/>
  <c r="B9" i="5"/>
  <c r="B7" i="5"/>
  <c r="G7" i="5"/>
  <c r="G31" i="5"/>
  <c r="B31" i="5"/>
  <c r="G3" i="5"/>
  <c r="C5" i="5"/>
  <c r="C4" i="5"/>
  <c r="G21" i="5"/>
  <c r="B21" i="5"/>
  <c r="G19" i="5"/>
  <c r="B19" i="5"/>
  <c r="G8" i="5"/>
  <c r="B8" i="5"/>
  <c r="G40" i="5"/>
  <c r="B40" i="5"/>
  <c r="G38" i="5"/>
  <c r="B38" i="5"/>
  <c r="B28" i="5"/>
  <c r="G28" i="5"/>
  <c r="G36" i="5"/>
  <c r="B36" i="5"/>
  <c r="B26" i="5"/>
  <c r="G26" i="5"/>
  <c r="G39" i="5"/>
  <c r="B39" i="5"/>
  <c r="G34" i="5"/>
  <c r="B34" i="5"/>
  <c r="B24" i="5"/>
  <c r="G24" i="5"/>
  <c r="G37" i="5"/>
  <c r="B37" i="5"/>
  <c r="G27" i="5"/>
  <c r="B27" i="5"/>
  <c r="G32" i="5"/>
  <c r="B32" i="5"/>
  <c r="B13" i="5"/>
  <c r="G13" i="5"/>
  <c r="G12" i="5"/>
  <c r="B12" i="5"/>
  <c r="G35" i="5"/>
  <c r="B35" i="5"/>
  <c r="G25" i="5"/>
  <c r="B25" i="5"/>
  <c r="G17" i="5"/>
  <c r="B17" i="5"/>
  <c r="B11" i="5"/>
  <c r="G11" i="5"/>
  <c r="G33" i="5"/>
  <c r="B33" i="5"/>
  <c r="G23" i="5"/>
  <c r="B23" i="5"/>
  <c r="G15" i="5"/>
  <c r="B15" i="5"/>
  <c r="H42" i="5"/>
  <c r="K42" i="5" s="1"/>
  <c r="F79" i="1" s="1"/>
  <c r="J41" i="5"/>
  <c r="E78" i="1" s="1"/>
  <c r="B21" i="4"/>
  <c r="J20" i="4"/>
  <c r="G9" i="4"/>
  <c r="J9" i="4"/>
  <c r="G12" i="4"/>
  <c r="B12" i="4"/>
  <c r="G8" i="4"/>
  <c r="B8" i="4"/>
  <c r="G40" i="4"/>
  <c r="B40" i="4"/>
  <c r="G38" i="4"/>
  <c r="B38" i="4"/>
  <c r="G36" i="4"/>
  <c r="B36" i="4"/>
  <c r="G28" i="4"/>
  <c r="B28" i="4"/>
  <c r="J16" i="4"/>
  <c r="G39" i="4"/>
  <c r="B39" i="4"/>
  <c r="G34" i="4"/>
  <c r="B34" i="4"/>
  <c r="G26" i="4"/>
  <c r="B26" i="4"/>
  <c r="G37" i="4"/>
  <c r="B37" i="4"/>
  <c r="G29" i="4"/>
  <c r="B29" i="4"/>
  <c r="G32" i="4"/>
  <c r="B32" i="4"/>
  <c r="B24" i="4"/>
  <c r="G24" i="4"/>
  <c r="G35" i="4"/>
  <c r="B35" i="4"/>
  <c r="G17" i="4"/>
  <c r="B17" i="4"/>
  <c r="G13" i="4"/>
  <c r="B13" i="4"/>
  <c r="G19" i="4"/>
  <c r="B19" i="4"/>
  <c r="G27" i="4"/>
  <c r="B27" i="4"/>
  <c r="G33" i="4"/>
  <c r="B33" i="4"/>
  <c r="G25" i="4"/>
  <c r="B25" i="4"/>
  <c r="G15" i="4"/>
  <c r="B15" i="4"/>
  <c r="G11" i="4"/>
  <c r="B11" i="4"/>
  <c r="B7" i="4"/>
  <c r="G7" i="4"/>
  <c r="G31" i="4"/>
  <c r="B31" i="4"/>
  <c r="G23" i="4"/>
  <c r="B23" i="4"/>
  <c r="B7" i="2"/>
  <c r="M7" i="2" s="1"/>
  <c r="G7" i="2"/>
  <c r="B8" i="2"/>
  <c r="M8" i="2" s="1"/>
  <c r="G8" i="2"/>
  <c r="B9" i="2"/>
  <c r="M9" i="2" s="1"/>
  <c r="G9" i="2"/>
  <c r="J24" i="2" l="1"/>
  <c r="B61" i="1" s="1"/>
  <c r="M24" i="2"/>
  <c r="H25" i="2"/>
  <c r="N25" i="2" s="1"/>
  <c r="H22" i="11"/>
  <c r="J21" i="11"/>
  <c r="W58" i="1" s="1"/>
  <c r="K10" i="11"/>
  <c r="X47" i="1" s="1"/>
  <c r="O10" i="11"/>
  <c r="J41" i="10"/>
  <c r="T78" i="1" s="1"/>
  <c r="H21" i="10"/>
  <c r="K21" i="10" s="1"/>
  <c r="U58" i="1" s="1"/>
  <c r="K10" i="10"/>
  <c r="U47" i="1" s="1"/>
  <c r="O10" i="10"/>
  <c r="J20" i="9"/>
  <c r="Q57" i="1" s="1"/>
  <c r="H18" i="9"/>
  <c r="H16" i="9"/>
  <c r="K16" i="9" s="1"/>
  <c r="R53" i="1" s="1"/>
  <c r="J15" i="9"/>
  <c r="Q52" i="1" s="1"/>
  <c r="O15" i="9"/>
  <c r="K10" i="9"/>
  <c r="R47" i="1" s="1"/>
  <c r="O10" i="9"/>
  <c r="K30" i="8"/>
  <c r="O67" i="1" s="1"/>
  <c r="O30" i="8"/>
  <c r="O21" i="8"/>
  <c r="H18" i="8"/>
  <c r="J12" i="8"/>
  <c r="N49" i="1" s="1"/>
  <c r="K10" i="8"/>
  <c r="O47" i="1" s="1"/>
  <c r="O10" i="8"/>
  <c r="K30" i="7"/>
  <c r="L67" i="1" s="1"/>
  <c r="O30" i="7"/>
  <c r="H22" i="7"/>
  <c r="J16" i="7"/>
  <c r="K53" i="1" s="1"/>
  <c r="K10" i="7"/>
  <c r="L47" i="1" s="1"/>
  <c r="O10" i="7"/>
  <c r="H10" i="6"/>
  <c r="H30" i="5"/>
  <c r="J20" i="5"/>
  <c r="E57" i="1" s="1"/>
  <c r="H17" i="5"/>
  <c r="K17" i="5" s="1"/>
  <c r="F54" i="1" s="1"/>
  <c r="H10" i="5"/>
  <c r="H42" i="4"/>
  <c r="K42" i="4" s="1"/>
  <c r="H22" i="4"/>
  <c r="K10" i="4"/>
  <c r="O10" i="4"/>
  <c r="K25" i="2"/>
  <c r="C62" i="1" s="1"/>
  <c r="R25" i="2"/>
  <c r="C4" i="4"/>
  <c r="K3" i="6"/>
  <c r="I40" i="1" s="1"/>
  <c r="O3" i="6"/>
  <c r="O3" i="4"/>
  <c r="C5" i="4"/>
  <c r="G5" i="4" s="1"/>
  <c r="J21" i="4"/>
  <c r="H21" i="11"/>
  <c r="K21" i="11" s="1"/>
  <c r="X58" i="1" s="1"/>
  <c r="H21" i="9"/>
  <c r="K21" i="9" s="1"/>
  <c r="R58" i="1" s="1"/>
  <c r="H14" i="9"/>
  <c r="J13" i="9"/>
  <c r="Q50" i="1" s="1"/>
  <c r="H13" i="8"/>
  <c r="K13" i="8" s="1"/>
  <c r="O50" i="1" s="1"/>
  <c r="J41" i="7"/>
  <c r="K78" i="1" s="1"/>
  <c r="H21" i="7"/>
  <c r="K21" i="7" s="1"/>
  <c r="L58" i="1" s="1"/>
  <c r="J21" i="7"/>
  <c r="K58" i="1" s="1"/>
  <c r="H17" i="7"/>
  <c r="K17" i="7" s="1"/>
  <c r="L54" i="1" s="1"/>
  <c r="H42" i="6"/>
  <c r="K42" i="6" s="1"/>
  <c r="I79" i="1" s="1"/>
  <c r="H35" i="2"/>
  <c r="J34" i="2"/>
  <c r="B71" i="1" s="1"/>
  <c r="H34" i="2"/>
  <c r="N34" i="2" s="1"/>
  <c r="H33" i="2"/>
  <c r="N33" i="2" s="1"/>
  <c r="J33" i="2"/>
  <c r="B70" i="1" s="1"/>
  <c r="H39" i="2"/>
  <c r="J38" i="2"/>
  <c r="B75" i="1" s="1"/>
  <c r="Q116" i="1" s="1"/>
  <c r="H31" i="2"/>
  <c r="N31" i="2" s="1"/>
  <c r="H32" i="2"/>
  <c r="N32" i="2" s="1"/>
  <c r="J31" i="2"/>
  <c r="B68" i="1" s="1"/>
  <c r="H38" i="2"/>
  <c r="J37" i="2"/>
  <c r="B74" i="1" s="1"/>
  <c r="H40" i="2"/>
  <c r="J39" i="2"/>
  <c r="B76" i="1" s="1"/>
  <c r="H37" i="2"/>
  <c r="J36" i="2"/>
  <c r="B73" i="1" s="1"/>
  <c r="H42" i="2"/>
  <c r="J41" i="2"/>
  <c r="B78" i="1" s="1"/>
  <c r="N119" i="1" s="1"/>
  <c r="H36" i="2"/>
  <c r="J35" i="2"/>
  <c r="B72" i="1" s="1"/>
  <c r="H41" i="2"/>
  <c r="J40" i="2"/>
  <c r="B77" i="1" s="1"/>
  <c r="H27" i="2"/>
  <c r="N27" i="2" s="1"/>
  <c r="J26" i="2"/>
  <c r="B63" i="1" s="1"/>
  <c r="H30" i="2"/>
  <c r="N30" i="2" s="1"/>
  <c r="J29" i="2"/>
  <c r="B66" i="1" s="1"/>
  <c r="K107" i="1" s="1"/>
  <c r="H26" i="2"/>
  <c r="N26" i="2" s="1"/>
  <c r="J25" i="2"/>
  <c r="B62" i="1" s="1"/>
  <c r="H28" i="2"/>
  <c r="N28" i="2" s="1"/>
  <c r="J27" i="2"/>
  <c r="B64" i="1" s="1"/>
  <c r="H29" i="2"/>
  <c r="N29" i="2" s="1"/>
  <c r="J28" i="2"/>
  <c r="B65" i="1" s="1"/>
  <c r="H23" i="2"/>
  <c r="N23" i="2" s="1"/>
  <c r="H24" i="2"/>
  <c r="N24" i="2" s="1"/>
  <c r="J23" i="2"/>
  <c r="B60" i="1" s="1"/>
  <c r="H22" i="2"/>
  <c r="N22" i="2" s="1"/>
  <c r="J21" i="2"/>
  <c r="B58" i="1" s="1"/>
  <c r="H21" i="2"/>
  <c r="N21" i="2" s="1"/>
  <c r="J20" i="2"/>
  <c r="B57" i="1" s="1"/>
  <c r="H98" i="1" s="1"/>
  <c r="H19" i="2"/>
  <c r="N19" i="2" s="1"/>
  <c r="H20" i="2"/>
  <c r="N20" i="2" s="1"/>
  <c r="J19" i="2"/>
  <c r="B56" i="1" s="1"/>
  <c r="H17" i="2"/>
  <c r="N17" i="2" s="1"/>
  <c r="J16" i="2"/>
  <c r="B53" i="1" s="1"/>
  <c r="H15" i="2"/>
  <c r="N15" i="2" s="1"/>
  <c r="H16" i="2"/>
  <c r="N16" i="2" s="1"/>
  <c r="J15" i="2"/>
  <c r="B52" i="1" s="1"/>
  <c r="H18" i="2"/>
  <c r="N18" i="2" s="1"/>
  <c r="J17" i="2"/>
  <c r="B54" i="1" s="1"/>
  <c r="N95" i="1" s="1"/>
  <c r="H11" i="2"/>
  <c r="N11" i="2" s="1"/>
  <c r="H12" i="2"/>
  <c r="N12" i="2" s="1"/>
  <c r="J11" i="2"/>
  <c r="B48" i="1" s="1"/>
  <c r="H13" i="2"/>
  <c r="N13" i="2" s="1"/>
  <c r="J12" i="2"/>
  <c r="B49" i="1" s="1"/>
  <c r="H14" i="2"/>
  <c r="N14" i="2" s="1"/>
  <c r="J13" i="2"/>
  <c r="B50" i="1" s="1"/>
  <c r="J9" i="5"/>
  <c r="E46" i="1" s="1"/>
  <c r="Q81" i="1"/>
  <c r="K81" i="1"/>
  <c r="N81" i="1"/>
  <c r="E81" i="1"/>
  <c r="W81" i="1"/>
  <c r="T81" i="1"/>
  <c r="T92" i="1"/>
  <c r="W92" i="1"/>
  <c r="Q92" i="1"/>
  <c r="K92" i="1"/>
  <c r="H92" i="1"/>
  <c r="N92" i="1"/>
  <c r="E92" i="1"/>
  <c r="K120" i="1"/>
  <c r="H120" i="1"/>
  <c r="N120" i="1"/>
  <c r="T120" i="1"/>
  <c r="W120" i="1"/>
  <c r="E120" i="1"/>
  <c r="Q120" i="1"/>
  <c r="H81" i="1"/>
  <c r="E88" i="1"/>
  <c r="H88" i="1"/>
  <c r="Q88" i="1"/>
  <c r="K88" i="1"/>
  <c r="T88" i="1"/>
  <c r="W88" i="1"/>
  <c r="N88" i="1"/>
  <c r="H25" i="11"/>
  <c r="K25" i="11" s="1"/>
  <c r="X62" i="1" s="1"/>
  <c r="X103" i="1" s="1"/>
  <c r="J24" i="11"/>
  <c r="W61" i="1" s="1"/>
  <c r="W102" i="1" s="1"/>
  <c r="G5" i="11"/>
  <c r="B5" i="11"/>
  <c r="H18" i="11"/>
  <c r="J17" i="11"/>
  <c r="W54" i="1" s="1"/>
  <c r="J37" i="11"/>
  <c r="W74" i="1" s="1"/>
  <c r="H38" i="11"/>
  <c r="K38" i="11" s="1"/>
  <c r="X75" i="1" s="1"/>
  <c r="H37" i="11"/>
  <c r="K37" i="11" s="1"/>
  <c r="X74" i="1" s="1"/>
  <c r="J36" i="11"/>
  <c r="W73" i="1" s="1"/>
  <c r="H16" i="11"/>
  <c r="K16" i="11" s="1"/>
  <c r="X53" i="1" s="1"/>
  <c r="H15" i="11"/>
  <c r="K15" i="11" s="1"/>
  <c r="X52" i="1" s="1"/>
  <c r="J15" i="11"/>
  <c r="W52" i="1" s="1"/>
  <c r="H28" i="11"/>
  <c r="K28" i="11" s="1"/>
  <c r="X65" i="1" s="1"/>
  <c r="J27" i="11"/>
  <c r="W64" i="1" s="1"/>
  <c r="H14" i="11"/>
  <c r="J13" i="11"/>
  <c r="W50" i="1" s="1"/>
  <c r="H26" i="11"/>
  <c r="K26" i="11" s="1"/>
  <c r="X63" i="1" s="1"/>
  <c r="J25" i="11"/>
  <c r="W62" i="1" s="1"/>
  <c r="H23" i="11"/>
  <c r="K23" i="11" s="1"/>
  <c r="X60" i="1" s="1"/>
  <c r="H24" i="11"/>
  <c r="K24" i="11" s="1"/>
  <c r="X61" i="1" s="1"/>
  <c r="J23" i="11"/>
  <c r="W60" i="1" s="1"/>
  <c r="H27" i="11"/>
  <c r="K27" i="11" s="1"/>
  <c r="X64" i="1" s="1"/>
  <c r="J26" i="11"/>
  <c r="W63" i="1" s="1"/>
  <c r="H9" i="11"/>
  <c r="J8" i="11"/>
  <c r="W45" i="1" s="1"/>
  <c r="H36" i="11"/>
  <c r="K36" i="11" s="1"/>
  <c r="X73" i="1" s="1"/>
  <c r="J35" i="11"/>
  <c r="W72" i="1" s="1"/>
  <c r="H35" i="11"/>
  <c r="K35" i="11" s="1"/>
  <c r="X72" i="1" s="1"/>
  <c r="J34" i="11"/>
  <c r="W71" i="1" s="1"/>
  <c r="H39" i="11"/>
  <c r="K39" i="11" s="1"/>
  <c r="X76" i="1" s="1"/>
  <c r="J38" i="11"/>
  <c r="W75" i="1" s="1"/>
  <c r="H19" i="11"/>
  <c r="K19" i="11" s="1"/>
  <c r="X56" i="1" s="1"/>
  <c r="H20" i="11"/>
  <c r="J19" i="11"/>
  <c r="W56" i="1" s="1"/>
  <c r="H31" i="11"/>
  <c r="K31" i="11" s="1"/>
  <c r="X68" i="1" s="1"/>
  <c r="J31" i="11"/>
  <c r="W68" i="1" s="1"/>
  <c r="H32" i="11"/>
  <c r="K32" i="11" s="1"/>
  <c r="X69" i="1" s="1"/>
  <c r="H30" i="11"/>
  <c r="J29" i="11"/>
  <c r="W66" i="1" s="1"/>
  <c r="H40" i="11"/>
  <c r="K40" i="11" s="1"/>
  <c r="X77" i="1" s="1"/>
  <c r="J39" i="11"/>
  <c r="W76" i="1" s="1"/>
  <c r="H34" i="11"/>
  <c r="K34" i="11" s="1"/>
  <c r="X71" i="1" s="1"/>
  <c r="J33" i="11"/>
  <c r="W70" i="1" s="1"/>
  <c r="G4" i="11"/>
  <c r="B4" i="11"/>
  <c r="H12" i="11"/>
  <c r="K12" i="11" s="1"/>
  <c r="X49" i="1" s="1"/>
  <c r="H11" i="11"/>
  <c r="K11" i="11" s="1"/>
  <c r="X48" i="1" s="1"/>
  <c r="J11" i="11"/>
  <c r="W48" i="1" s="1"/>
  <c r="H29" i="11"/>
  <c r="K29" i="11" s="1"/>
  <c r="X66" i="1" s="1"/>
  <c r="J28" i="11"/>
  <c r="W65" i="1" s="1"/>
  <c r="H8" i="11"/>
  <c r="K8" i="11" s="1"/>
  <c r="X45" i="1" s="1"/>
  <c r="J7" i="11"/>
  <c r="W44" i="1" s="1"/>
  <c r="H7" i="11"/>
  <c r="K7" i="11" s="1"/>
  <c r="X44" i="1" s="1"/>
  <c r="H33" i="11"/>
  <c r="K33" i="11" s="1"/>
  <c r="X70" i="1" s="1"/>
  <c r="J32" i="11"/>
  <c r="W69" i="1" s="1"/>
  <c r="W110" i="1" s="1"/>
  <c r="H17" i="11"/>
  <c r="K17" i="11" s="1"/>
  <c r="X54" i="1" s="1"/>
  <c r="H41" i="11"/>
  <c r="K41" i="11" s="1"/>
  <c r="X78" i="1" s="1"/>
  <c r="J40" i="11"/>
  <c r="W77" i="1" s="1"/>
  <c r="H13" i="11"/>
  <c r="K13" i="11" s="1"/>
  <c r="X50" i="1" s="1"/>
  <c r="J12" i="11"/>
  <c r="W49" i="1" s="1"/>
  <c r="H14" i="10"/>
  <c r="J13" i="10"/>
  <c r="T50" i="1" s="1"/>
  <c r="H29" i="10"/>
  <c r="K29" i="10" s="1"/>
  <c r="U66" i="1" s="1"/>
  <c r="J28" i="10"/>
  <c r="T65" i="1" s="1"/>
  <c r="H13" i="10"/>
  <c r="K13" i="10" s="1"/>
  <c r="U50" i="1" s="1"/>
  <c r="J12" i="10"/>
  <c r="T49" i="1" s="1"/>
  <c r="H18" i="10"/>
  <c r="J17" i="10"/>
  <c r="T54" i="1" s="1"/>
  <c r="J35" i="10"/>
  <c r="T72" i="1" s="1"/>
  <c r="H36" i="10"/>
  <c r="K36" i="10" s="1"/>
  <c r="U73" i="1" s="1"/>
  <c r="H37" i="10"/>
  <c r="K37" i="10" s="1"/>
  <c r="U74" i="1" s="1"/>
  <c r="J36" i="10"/>
  <c r="T73" i="1" s="1"/>
  <c r="H23" i="10"/>
  <c r="K23" i="10" s="1"/>
  <c r="U60" i="1" s="1"/>
  <c r="H24" i="10"/>
  <c r="K24" i="10" s="1"/>
  <c r="U61" i="1" s="1"/>
  <c r="J23" i="10"/>
  <c r="T60" i="1" s="1"/>
  <c r="G4" i="10"/>
  <c r="B4" i="10"/>
  <c r="H40" i="10"/>
  <c r="K40" i="10" s="1"/>
  <c r="U77" i="1" s="1"/>
  <c r="J39" i="10"/>
  <c r="T76" i="1" s="1"/>
  <c r="G5" i="10"/>
  <c r="B5" i="10"/>
  <c r="H27" i="10"/>
  <c r="K27" i="10" s="1"/>
  <c r="U64" i="1" s="1"/>
  <c r="J26" i="10"/>
  <c r="T63" i="1" s="1"/>
  <c r="H19" i="10"/>
  <c r="K19" i="10" s="1"/>
  <c r="U56" i="1" s="1"/>
  <c r="H20" i="10"/>
  <c r="J19" i="10"/>
  <c r="T56" i="1" s="1"/>
  <c r="J33" i="10"/>
  <c r="T70" i="1" s="1"/>
  <c r="H34" i="10"/>
  <c r="K34" i="10" s="1"/>
  <c r="U71" i="1" s="1"/>
  <c r="H35" i="10"/>
  <c r="K35" i="10" s="1"/>
  <c r="U72" i="1" s="1"/>
  <c r="J34" i="10"/>
  <c r="T71" i="1" s="1"/>
  <c r="H39" i="10"/>
  <c r="K39" i="10" s="1"/>
  <c r="U76" i="1" s="1"/>
  <c r="J38" i="10"/>
  <c r="T75" i="1" s="1"/>
  <c r="H26" i="10"/>
  <c r="K26" i="10" s="1"/>
  <c r="U63" i="1" s="1"/>
  <c r="J25" i="10"/>
  <c r="T62" i="1" s="1"/>
  <c r="H31" i="10"/>
  <c r="K31" i="10" s="1"/>
  <c r="U68" i="1" s="1"/>
  <c r="J31" i="10"/>
  <c r="T68" i="1" s="1"/>
  <c r="H32" i="10"/>
  <c r="K32" i="10" s="1"/>
  <c r="U69" i="1" s="1"/>
  <c r="H30" i="10"/>
  <c r="J29" i="10"/>
  <c r="T66" i="1" s="1"/>
  <c r="H25" i="10"/>
  <c r="K25" i="10" s="1"/>
  <c r="U62" i="1" s="1"/>
  <c r="U103" i="1" s="1"/>
  <c r="J24" i="10"/>
  <c r="T61" i="1" s="1"/>
  <c r="T102" i="1" s="1"/>
  <c r="H17" i="10"/>
  <c r="K17" i="10" s="1"/>
  <c r="U54" i="1" s="1"/>
  <c r="H22" i="10"/>
  <c r="J21" i="10"/>
  <c r="T58" i="1" s="1"/>
  <c r="H33" i="10"/>
  <c r="K33" i="10" s="1"/>
  <c r="U70" i="1" s="1"/>
  <c r="J32" i="10"/>
  <c r="T69" i="1" s="1"/>
  <c r="T110" i="1" s="1"/>
  <c r="H38" i="10"/>
  <c r="K38" i="10" s="1"/>
  <c r="U75" i="1" s="1"/>
  <c r="J37" i="10"/>
  <c r="T74" i="1" s="1"/>
  <c r="H41" i="10"/>
  <c r="K41" i="10" s="1"/>
  <c r="U78" i="1" s="1"/>
  <c r="J40" i="10"/>
  <c r="T77" i="1" s="1"/>
  <c r="H12" i="10"/>
  <c r="K12" i="10" s="1"/>
  <c r="U49" i="1" s="1"/>
  <c r="H11" i="10"/>
  <c r="K11" i="10" s="1"/>
  <c r="U48" i="1" s="1"/>
  <c r="J11" i="10"/>
  <c r="T48" i="1" s="1"/>
  <c r="H16" i="10"/>
  <c r="K16" i="10" s="1"/>
  <c r="U53" i="1" s="1"/>
  <c r="H15" i="10"/>
  <c r="K15" i="10" s="1"/>
  <c r="U52" i="1" s="1"/>
  <c r="J15" i="10"/>
  <c r="T52" i="1" s="1"/>
  <c r="H28" i="10"/>
  <c r="K28" i="10" s="1"/>
  <c r="U65" i="1" s="1"/>
  <c r="J27" i="10"/>
  <c r="T64" i="1" s="1"/>
  <c r="H9" i="10"/>
  <c r="J8" i="10"/>
  <c r="T45" i="1" s="1"/>
  <c r="H8" i="10"/>
  <c r="K8" i="10" s="1"/>
  <c r="U45" i="1" s="1"/>
  <c r="H7" i="10"/>
  <c r="K7" i="10" s="1"/>
  <c r="U44" i="1" s="1"/>
  <c r="J7" i="10"/>
  <c r="T44" i="1" s="1"/>
  <c r="H11" i="9"/>
  <c r="K11" i="9" s="1"/>
  <c r="R48" i="1" s="1"/>
  <c r="J11" i="9"/>
  <c r="Q48" i="1" s="1"/>
  <c r="H36" i="9"/>
  <c r="K36" i="9" s="1"/>
  <c r="R73" i="1" s="1"/>
  <c r="J35" i="9"/>
  <c r="Q72" i="1" s="1"/>
  <c r="H13" i="9"/>
  <c r="K13" i="9" s="1"/>
  <c r="R50" i="1" s="1"/>
  <c r="J12" i="9"/>
  <c r="Q49" i="1" s="1"/>
  <c r="H12" i="9"/>
  <c r="K12" i="9" s="1"/>
  <c r="R49" i="1" s="1"/>
  <c r="J39" i="9"/>
  <c r="Q76" i="1" s="1"/>
  <c r="H40" i="9"/>
  <c r="K40" i="9" s="1"/>
  <c r="R77" i="1" s="1"/>
  <c r="H39" i="9"/>
  <c r="K39" i="9" s="1"/>
  <c r="R76" i="1" s="1"/>
  <c r="H37" i="9"/>
  <c r="K37" i="9" s="1"/>
  <c r="R74" i="1" s="1"/>
  <c r="J36" i="9"/>
  <c r="Q73" i="1" s="1"/>
  <c r="H41" i="9"/>
  <c r="K41" i="9" s="1"/>
  <c r="R78" i="1" s="1"/>
  <c r="J40" i="9"/>
  <c r="Q77" i="1" s="1"/>
  <c r="H42" i="9"/>
  <c r="K42" i="9" s="1"/>
  <c r="R79" i="1" s="1"/>
  <c r="J41" i="9"/>
  <c r="Q78" i="1" s="1"/>
  <c r="H23" i="9"/>
  <c r="K23" i="9" s="1"/>
  <c r="R60" i="1" s="1"/>
  <c r="H24" i="9"/>
  <c r="K24" i="9" s="1"/>
  <c r="R61" i="1" s="1"/>
  <c r="J23" i="9"/>
  <c r="Q60" i="1" s="1"/>
  <c r="J33" i="9"/>
  <c r="Q70" i="1" s="1"/>
  <c r="H34" i="9"/>
  <c r="K34" i="9" s="1"/>
  <c r="R71" i="1" s="1"/>
  <c r="H28" i="9"/>
  <c r="K28" i="9" s="1"/>
  <c r="R65" i="1" s="1"/>
  <c r="J27" i="9"/>
  <c r="Q64" i="1" s="1"/>
  <c r="J16" i="9"/>
  <c r="Q53" i="1" s="1"/>
  <c r="H17" i="9"/>
  <c r="K17" i="9" s="1"/>
  <c r="R54" i="1" s="1"/>
  <c r="H31" i="9"/>
  <c r="K31" i="9" s="1"/>
  <c r="R68" i="1" s="1"/>
  <c r="J31" i="9"/>
  <c r="Q68" i="1" s="1"/>
  <c r="H32" i="9"/>
  <c r="K32" i="9" s="1"/>
  <c r="R69" i="1" s="1"/>
  <c r="H30" i="9"/>
  <c r="J29" i="9"/>
  <c r="Q66" i="1" s="1"/>
  <c r="J37" i="9"/>
  <c r="Q74" i="1" s="1"/>
  <c r="H38" i="9"/>
  <c r="K38" i="9" s="1"/>
  <c r="R75" i="1" s="1"/>
  <c r="H29" i="9"/>
  <c r="K29" i="9" s="1"/>
  <c r="R66" i="1" s="1"/>
  <c r="J28" i="9"/>
  <c r="Q65" i="1" s="1"/>
  <c r="H19" i="9"/>
  <c r="K19" i="9" s="1"/>
  <c r="R56" i="1" s="1"/>
  <c r="H20" i="9"/>
  <c r="K20" i="9" s="1"/>
  <c r="R57" i="1" s="1"/>
  <c r="J19" i="9"/>
  <c r="Q56" i="1" s="1"/>
  <c r="H7" i="9"/>
  <c r="K7" i="9" s="1"/>
  <c r="R44" i="1" s="1"/>
  <c r="H8" i="9"/>
  <c r="K8" i="9" s="1"/>
  <c r="R45" i="1" s="1"/>
  <c r="J7" i="9"/>
  <c r="Q44" i="1" s="1"/>
  <c r="G5" i="9"/>
  <c r="B5" i="9"/>
  <c r="H27" i="9"/>
  <c r="K27" i="9" s="1"/>
  <c r="R64" i="1" s="1"/>
  <c r="J26" i="9"/>
  <c r="Q63" i="1" s="1"/>
  <c r="H25" i="9"/>
  <c r="K25" i="9" s="1"/>
  <c r="R62" i="1" s="1"/>
  <c r="R103" i="1" s="1"/>
  <c r="J24" i="9"/>
  <c r="Q61" i="1" s="1"/>
  <c r="Q102" i="1" s="1"/>
  <c r="H33" i="9"/>
  <c r="K33" i="9" s="1"/>
  <c r="R70" i="1" s="1"/>
  <c r="J32" i="9"/>
  <c r="Q69" i="1" s="1"/>
  <c r="Q110" i="1" s="1"/>
  <c r="G4" i="9"/>
  <c r="B4" i="9"/>
  <c r="H9" i="9"/>
  <c r="J8" i="9"/>
  <c r="Q45" i="1" s="1"/>
  <c r="H35" i="9"/>
  <c r="K35" i="9" s="1"/>
  <c r="R72" i="1" s="1"/>
  <c r="J34" i="9"/>
  <c r="Q71" i="1" s="1"/>
  <c r="H26" i="9"/>
  <c r="K26" i="9" s="1"/>
  <c r="R63" i="1" s="1"/>
  <c r="J25" i="9"/>
  <c r="Q62" i="1" s="1"/>
  <c r="H22" i="9"/>
  <c r="J21" i="9"/>
  <c r="Q58" i="1" s="1"/>
  <c r="H31" i="8"/>
  <c r="K31" i="8" s="1"/>
  <c r="O68" i="1" s="1"/>
  <c r="H32" i="8"/>
  <c r="K32" i="8" s="1"/>
  <c r="O69" i="1" s="1"/>
  <c r="J31" i="8"/>
  <c r="N68" i="1" s="1"/>
  <c r="H41" i="8"/>
  <c r="K41" i="8" s="1"/>
  <c r="O78" i="1" s="1"/>
  <c r="J40" i="8"/>
  <c r="N77" i="1" s="1"/>
  <c r="H14" i="8"/>
  <c r="J13" i="8"/>
  <c r="N50" i="1" s="1"/>
  <c r="H27" i="8"/>
  <c r="K27" i="8" s="1"/>
  <c r="O64" i="1" s="1"/>
  <c r="J26" i="8"/>
  <c r="N63" i="1" s="1"/>
  <c r="H9" i="8"/>
  <c r="J8" i="8"/>
  <c r="N45" i="1" s="1"/>
  <c r="J16" i="8"/>
  <c r="N53" i="1" s="1"/>
  <c r="H17" i="8"/>
  <c r="K17" i="8" s="1"/>
  <c r="O54" i="1" s="1"/>
  <c r="H8" i="8"/>
  <c r="K8" i="8" s="1"/>
  <c r="O45" i="1" s="1"/>
  <c r="J7" i="8"/>
  <c r="N44" i="1" s="1"/>
  <c r="H7" i="8"/>
  <c r="K7" i="8" s="1"/>
  <c r="O44" i="1" s="1"/>
  <c r="H33" i="8"/>
  <c r="K33" i="8" s="1"/>
  <c r="O70" i="1" s="1"/>
  <c r="J32" i="8"/>
  <c r="N69" i="1" s="1"/>
  <c r="N110" i="1" s="1"/>
  <c r="H37" i="8"/>
  <c r="K37" i="8" s="1"/>
  <c r="O74" i="1" s="1"/>
  <c r="J36" i="8"/>
  <c r="N73" i="1" s="1"/>
  <c r="H12" i="8"/>
  <c r="K12" i="8" s="1"/>
  <c r="O49" i="1" s="1"/>
  <c r="H11" i="8"/>
  <c r="K11" i="8" s="1"/>
  <c r="O48" i="1" s="1"/>
  <c r="J11" i="8"/>
  <c r="N48" i="1" s="1"/>
  <c r="H19" i="8"/>
  <c r="K19" i="8" s="1"/>
  <c r="O56" i="1" s="1"/>
  <c r="H20" i="8"/>
  <c r="J19" i="8"/>
  <c r="N56" i="1" s="1"/>
  <c r="H23" i="8"/>
  <c r="K23" i="8" s="1"/>
  <c r="O60" i="1" s="1"/>
  <c r="H24" i="8"/>
  <c r="K24" i="8" s="1"/>
  <c r="O61" i="1" s="1"/>
  <c r="J23" i="8"/>
  <c r="N60" i="1" s="1"/>
  <c r="H36" i="8"/>
  <c r="K36" i="8" s="1"/>
  <c r="O73" i="1" s="1"/>
  <c r="J35" i="8"/>
  <c r="N72" i="1" s="1"/>
  <c r="H40" i="8"/>
  <c r="K40" i="8" s="1"/>
  <c r="O77" i="1" s="1"/>
  <c r="J39" i="8"/>
  <c r="N76" i="1" s="1"/>
  <c r="H16" i="8"/>
  <c r="K16" i="8" s="1"/>
  <c r="O53" i="1" s="1"/>
  <c r="H15" i="8"/>
  <c r="K15" i="8" s="1"/>
  <c r="O52" i="1" s="1"/>
  <c r="J15" i="8"/>
  <c r="N52" i="1" s="1"/>
  <c r="H22" i="8"/>
  <c r="J21" i="8"/>
  <c r="N58" i="1" s="1"/>
  <c r="H38" i="8"/>
  <c r="K38" i="8" s="1"/>
  <c r="O75" i="1" s="1"/>
  <c r="J37" i="8"/>
  <c r="N74" i="1" s="1"/>
  <c r="H28" i="8"/>
  <c r="K28" i="8" s="1"/>
  <c r="O65" i="1" s="1"/>
  <c r="J27" i="8"/>
  <c r="N64" i="1" s="1"/>
  <c r="H25" i="8"/>
  <c r="K25" i="8" s="1"/>
  <c r="O62" i="1" s="1"/>
  <c r="O103" i="1" s="1"/>
  <c r="J24" i="8"/>
  <c r="N61" i="1" s="1"/>
  <c r="N102" i="1" s="1"/>
  <c r="H29" i="8"/>
  <c r="J28" i="8"/>
  <c r="N65" i="1" s="1"/>
  <c r="G4" i="8"/>
  <c r="B4" i="8"/>
  <c r="H35" i="8"/>
  <c r="K35" i="8" s="1"/>
  <c r="O72" i="1" s="1"/>
  <c r="J34" i="8"/>
  <c r="N71" i="1" s="1"/>
  <c r="H39" i="8"/>
  <c r="K39" i="8" s="1"/>
  <c r="O76" i="1" s="1"/>
  <c r="J38" i="8"/>
  <c r="N75" i="1" s="1"/>
  <c r="G5" i="8"/>
  <c r="B5" i="8"/>
  <c r="H26" i="8"/>
  <c r="K26" i="8" s="1"/>
  <c r="O63" i="1" s="1"/>
  <c r="J25" i="8"/>
  <c r="N62" i="1" s="1"/>
  <c r="J33" i="8"/>
  <c r="N70" i="1" s="1"/>
  <c r="H34" i="8"/>
  <c r="K34" i="8" s="1"/>
  <c r="O71" i="1" s="1"/>
  <c r="J9" i="6"/>
  <c r="H46" i="1" s="1"/>
  <c r="H34" i="7"/>
  <c r="K34" i="7" s="1"/>
  <c r="L71" i="1" s="1"/>
  <c r="J33" i="7"/>
  <c r="K70" i="1" s="1"/>
  <c r="G4" i="7"/>
  <c r="B4" i="7"/>
  <c r="H29" i="7"/>
  <c r="J28" i="7"/>
  <c r="K65" i="1" s="1"/>
  <c r="G5" i="7"/>
  <c r="B5" i="7"/>
  <c r="H37" i="7"/>
  <c r="K37" i="7" s="1"/>
  <c r="L74" i="1" s="1"/>
  <c r="J36" i="7"/>
  <c r="K73" i="1" s="1"/>
  <c r="H13" i="7"/>
  <c r="K13" i="7" s="1"/>
  <c r="L50" i="1" s="1"/>
  <c r="J12" i="7"/>
  <c r="K49" i="1" s="1"/>
  <c r="H8" i="7"/>
  <c r="K8" i="7" s="1"/>
  <c r="L45" i="1" s="1"/>
  <c r="H7" i="7"/>
  <c r="K7" i="7" s="1"/>
  <c r="L44" i="1" s="1"/>
  <c r="J7" i="7"/>
  <c r="K44" i="1" s="1"/>
  <c r="H25" i="7"/>
  <c r="K25" i="7" s="1"/>
  <c r="L62" i="1" s="1"/>
  <c r="L103" i="1" s="1"/>
  <c r="J24" i="7"/>
  <c r="K61" i="1" s="1"/>
  <c r="K102" i="1" s="1"/>
  <c r="H23" i="7"/>
  <c r="K23" i="7" s="1"/>
  <c r="L60" i="1" s="1"/>
  <c r="H24" i="7"/>
  <c r="K24" i="7" s="1"/>
  <c r="L61" i="1" s="1"/>
  <c r="J23" i="7"/>
  <c r="K60" i="1" s="1"/>
  <c r="H33" i="7"/>
  <c r="K33" i="7" s="1"/>
  <c r="L70" i="1" s="1"/>
  <c r="J32" i="7"/>
  <c r="K69" i="1" s="1"/>
  <c r="K110" i="1" s="1"/>
  <c r="H39" i="7"/>
  <c r="K39" i="7" s="1"/>
  <c r="L76" i="1" s="1"/>
  <c r="J38" i="7"/>
  <c r="K75" i="1" s="1"/>
  <c r="K116" i="1" s="1"/>
  <c r="H12" i="7"/>
  <c r="K12" i="7" s="1"/>
  <c r="L49" i="1" s="1"/>
  <c r="H11" i="7"/>
  <c r="K11" i="7" s="1"/>
  <c r="L48" i="1" s="1"/>
  <c r="J11" i="7"/>
  <c r="K48" i="1" s="1"/>
  <c r="H14" i="7"/>
  <c r="J13" i="7"/>
  <c r="K50" i="1" s="1"/>
  <c r="H31" i="7"/>
  <c r="K31" i="7" s="1"/>
  <c r="L68" i="1" s="1"/>
  <c r="J31" i="7"/>
  <c r="K68" i="1" s="1"/>
  <c r="H32" i="7"/>
  <c r="K32" i="7" s="1"/>
  <c r="L69" i="1" s="1"/>
  <c r="H18" i="7"/>
  <c r="J17" i="7"/>
  <c r="K54" i="1" s="1"/>
  <c r="H40" i="7"/>
  <c r="K40" i="7" s="1"/>
  <c r="L77" i="1" s="1"/>
  <c r="J39" i="7"/>
  <c r="K76" i="1" s="1"/>
  <c r="H41" i="7"/>
  <c r="K41" i="7" s="1"/>
  <c r="L78" i="1" s="1"/>
  <c r="J40" i="7"/>
  <c r="K77" i="1" s="1"/>
  <c r="H16" i="7"/>
  <c r="K16" i="7" s="1"/>
  <c r="L53" i="1" s="1"/>
  <c r="H15" i="7"/>
  <c r="K15" i="7" s="1"/>
  <c r="L52" i="1" s="1"/>
  <c r="J15" i="7"/>
  <c r="K52" i="1" s="1"/>
  <c r="J35" i="7"/>
  <c r="K72" i="1" s="1"/>
  <c r="H36" i="7"/>
  <c r="K36" i="7" s="1"/>
  <c r="L73" i="1" s="1"/>
  <c r="H28" i="7"/>
  <c r="K28" i="7" s="1"/>
  <c r="L65" i="1" s="1"/>
  <c r="J27" i="7"/>
  <c r="K64" i="1" s="1"/>
  <c r="H9" i="7"/>
  <c r="J8" i="7"/>
  <c r="K45" i="1" s="1"/>
  <c r="H19" i="7"/>
  <c r="K19" i="7" s="1"/>
  <c r="L56" i="1" s="1"/>
  <c r="H20" i="7"/>
  <c r="J19" i="7"/>
  <c r="K56" i="1" s="1"/>
  <c r="H26" i="7"/>
  <c r="K26" i="7" s="1"/>
  <c r="L63" i="1" s="1"/>
  <c r="J25" i="7"/>
  <c r="K62" i="1" s="1"/>
  <c r="H27" i="7"/>
  <c r="K27" i="7" s="1"/>
  <c r="L64" i="1" s="1"/>
  <c r="J26" i="7"/>
  <c r="K63" i="1" s="1"/>
  <c r="H38" i="7"/>
  <c r="K38" i="7" s="1"/>
  <c r="L75" i="1" s="1"/>
  <c r="J37" i="7"/>
  <c r="K74" i="1" s="1"/>
  <c r="H35" i="7"/>
  <c r="K35" i="7" s="1"/>
  <c r="L72" i="1" s="1"/>
  <c r="J34" i="7"/>
  <c r="K71" i="1" s="1"/>
  <c r="H37" i="6"/>
  <c r="K37" i="6" s="1"/>
  <c r="I74" i="1" s="1"/>
  <c r="J36" i="6"/>
  <c r="H73" i="1" s="1"/>
  <c r="H27" i="6"/>
  <c r="K27" i="6" s="1"/>
  <c r="I64" i="1" s="1"/>
  <c r="J26" i="6"/>
  <c r="H63" i="1" s="1"/>
  <c r="H22" i="6"/>
  <c r="J21" i="6"/>
  <c r="H58" i="1" s="1"/>
  <c r="H23" i="6"/>
  <c r="K23" i="6" s="1"/>
  <c r="I60" i="1" s="1"/>
  <c r="H24" i="6"/>
  <c r="K24" i="6" s="1"/>
  <c r="I61" i="1" s="1"/>
  <c r="J23" i="6"/>
  <c r="H60" i="1" s="1"/>
  <c r="H8" i="6"/>
  <c r="K8" i="6" s="1"/>
  <c r="I45" i="1" s="1"/>
  <c r="H7" i="6"/>
  <c r="K7" i="6" s="1"/>
  <c r="I44" i="1" s="1"/>
  <c r="J7" i="6"/>
  <c r="H44" i="1" s="1"/>
  <c r="H18" i="6"/>
  <c r="J17" i="6"/>
  <c r="H54" i="1" s="1"/>
  <c r="H30" i="6"/>
  <c r="J29" i="6"/>
  <c r="H66" i="1" s="1"/>
  <c r="H13" i="6"/>
  <c r="K13" i="6" s="1"/>
  <c r="I50" i="1" s="1"/>
  <c r="J12" i="6"/>
  <c r="H49" i="1" s="1"/>
  <c r="H38" i="6"/>
  <c r="K38" i="6" s="1"/>
  <c r="I75" i="1" s="1"/>
  <c r="J37" i="6"/>
  <c r="H74" i="1" s="1"/>
  <c r="H9" i="6"/>
  <c r="K9" i="6" s="1"/>
  <c r="I46" i="1" s="1"/>
  <c r="J8" i="6"/>
  <c r="H45" i="1" s="1"/>
  <c r="H14" i="6"/>
  <c r="J13" i="6"/>
  <c r="H50" i="1" s="1"/>
  <c r="H39" i="6"/>
  <c r="K39" i="6" s="1"/>
  <c r="I76" i="1" s="1"/>
  <c r="J38" i="6"/>
  <c r="H75" i="1" s="1"/>
  <c r="H116" i="1" s="1"/>
  <c r="J35" i="6"/>
  <c r="H72" i="1" s="1"/>
  <c r="H36" i="6"/>
  <c r="K36" i="6" s="1"/>
  <c r="I73" i="1" s="1"/>
  <c r="H17" i="6"/>
  <c r="K17" i="6" s="1"/>
  <c r="I54" i="1" s="1"/>
  <c r="J16" i="6"/>
  <c r="H53" i="1" s="1"/>
  <c r="H21" i="6"/>
  <c r="K21" i="6" s="1"/>
  <c r="I58" i="1" s="1"/>
  <c r="H12" i="6"/>
  <c r="K12" i="6" s="1"/>
  <c r="I49" i="1" s="1"/>
  <c r="H11" i="6"/>
  <c r="K11" i="6" s="1"/>
  <c r="I48" i="1" s="1"/>
  <c r="J11" i="6"/>
  <c r="H48" i="1" s="1"/>
  <c r="J33" i="6"/>
  <c r="H70" i="1" s="1"/>
  <c r="H34" i="6"/>
  <c r="K34" i="6" s="1"/>
  <c r="I71" i="1" s="1"/>
  <c r="G4" i="6"/>
  <c r="B4" i="6"/>
  <c r="H29" i="6"/>
  <c r="K29" i="6" s="1"/>
  <c r="I66" i="1" s="1"/>
  <c r="J28" i="6"/>
  <c r="H65" i="1" s="1"/>
  <c r="H41" i="6"/>
  <c r="K41" i="6" s="1"/>
  <c r="I78" i="1" s="1"/>
  <c r="J40" i="6"/>
  <c r="H77" i="1" s="1"/>
  <c r="H16" i="6"/>
  <c r="K16" i="6" s="1"/>
  <c r="I53" i="1" s="1"/>
  <c r="H15" i="6"/>
  <c r="K15" i="6" s="1"/>
  <c r="I52" i="1" s="1"/>
  <c r="J15" i="6"/>
  <c r="H52" i="1" s="1"/>
  <c r="H26" i="6"/>
  <c r="K26" i="6" s="1"/>
  <c r="I63" i="1" s="1"/>
  <c r="J25" i="6"/>
  <c r="H62" i="1" s="1"/>
  <c r="H33" i="6"/>
  <c r="K33" i="6" s="1"/>
  <c r="I70" i="1" s="1"/>
  <c r="J32" i="6"/>
  <c r="H69" i="1" s="1"/>
  <c r="H110" i="1" s="1"/>
  <c r="G5" i="6"/>
  <c r="B5" i="6"/>
  <c r="H35" i="6"/>
  <c r="K35" i="6" s="1"/>
  <c r="I72" i="1" s="1"/>
  <c r="J34" i="6"/>
  <c r="H71" i="1" s="1"/>
  <c r="H19" i="6"/>
  <c r="K19" i="6" s="1"/>
  <c r="I56" i="1" s="1"/>
  <c r="H20" i="6"/>
  <c r="J19" i="6"/>
  <c r="H56" i="1" s="1"/>
  <c r="H31" i="6"/>
  <c r="K31" i="6" s="1"/>
  <c r="I68" i="1" s="1"/>
  <c r="J31" i="6"/>
  <c r="H68" i="1" s="1"/>
  <c r="H32" i="6"/>
  <c r="K32" i="6" s="1"/>
  <c r="I69" i="1" s="1"/>
  <c r="H25" i="6"/>
  <c r="K25" i="6" s="1"/>
  <c r="I62" i="1" s="1"/>
  <c r="I103" i="1" s="1"/>
  <c r="J24" i="6"/>
  <c r="H61" i="1" s="1"/>
  <c r="H102" i="1" s="1"/>
  <c r="H28" i="6"/>
  <c r="K28" i="6" s="1"/>
  <c r="I65" i="1" s="1"/>
  <c r="J27" i="6"/>
  <c r="H64" i="1" s="1"/>
  <c r="H40" i="6"/>
  <c r="K40" i="6" s="1"/>
  <c r="I77" i="1" s="1"/>
  <c r="J39" i="6"/>
  <c r="H76" i="1" s="1"/>
  <c r="J29" i="5"/>
  <c r="E66" i="1" s="1"/>
  <c r="H22" i="5"/>
  <c r="J21" i="5"/>
  <c r="E58" i="1" s="1"/>
  <c r="H25" i="5"/>
  <c r="K25" i="5" s="1"/>
  <c r="F62" i="1" s="1"/>
  <c r="F103" i="1" s="1"/>
  <c r="J24" i="5"/>
  <c r="E61" i="1" s="1"/>
  <c r="E102" i="1" s="1"/>
  <c r="H29" i="5"/>
  <c r="K29" i="5" s="1"/>
  <c r="F66" i="1" s="1"/>
  <c r="J28" i="5"/>
  <c r="E65" i="1" s="1"/>
  <c r="H37" i="5"/>
  <c r="K37" i="5" s="1"/>
  <c r="F74" i="1" s="1"/>
  <c r="J36" i="5"/>
  <c r="E73" i="1" s="1"/>
  <c r="H34" i="5"/>
  <c r="K34" i="5" s="1"/>
  <c r="F71" i="1" s="1"/>
  <c r="J33" i="5"/>
  <c r="E70" i="1" s="1"/>
  <c r="H13" i="5"/>
  <c r="K13" i="5" s="1"/>
  <c r="F50" i="1" s="1"/>
  <c r="J12" i="5"/>
  <c r="E49" i="1" s="1"/>
  <c r="H35" i="5"/>
  <c r="K35" i="5" s="1"/>
  <c r="F72" i="1" s="1"/>
  <c r="J34" i="5"/>
  <c r="E71" i="1" s="1"/>
  <c r="H39" i="5"/>
  <c r="K39" i="5" s="1"/>
  <c r="F76" i="1" s="1"/>
  <c r="J38" i="5"/>
  <c r="E75" i="1" s="1"/>
  <c r="G4" i="5"/>
  <c r="B4" i="5"/>
  <c r="H26" i="5"/>
  <c r="K26" i="5" s="1"/>
  <c r="F63" i="1" s="1"/>
  <c r="J25" i="5"/>
  <c r="E62" i="1" s="1"/>
  <c r="G5" i="5"/>
  <c r="B5" i="5"/>
  <c r="H19" i="5"/>
  <c r="K19" i="5" s="1"/>
  <c r="F56" i="1" s="1"/>
  <c r="H20" i="5"/>
  <c r="K20" i="5" s="1"/>
  <c r="F57" i="1" s="1"/>
  <c r="J19" i="5"/>
  <c r="E56" i="1" s="1"/>
  <c r="H36" i="5"/>
  <c r="K36" i="5" s="1"/>
  <c r="F73" i="1" s="1"/>
  <c r="J35" i="5"/>
  <c r="E72" i="1" s="1"/>
  <c r="H21" i="5"/>
  <c r="K21" i="5" s="1"/>
  <c r="F58" i="1" s="1"/>
  <c r="H27" i="5"/>
  <c r="K27" i="5" s="1"/>
  <c r="F64" i="1" s="1"/>
  <c r="J26" i="5"/>
  <c r="E63" i="1" s="1"/>
  <c r="H23" i="5"/>
  <c r="K23" i="5" s="1"/>
  <c r="F60" i="1" s="1"/>
  <c r="H24" i="5"/>
  <c r="K24" i="5" s="1"/>
  <c r="F61" i="1" s="1"/>
  <c r="J23" i="5"/>
  <c r="E60" i="1" s="1"/>
  <c r="H14" i="5"/>
  <c r="J13" i="5"/>
  <c r="E50" i="1" s="1"/>
  <c r="H41" i="5"/>
  <c r="K41" i="5" s="1"/>
  <c r="F78" i="1" s="1"/>
  <c r="J40" i="5"/>
  <c r="E77" i="1" s="1"/>
  <c r="H31" i="5"/>
  <c r="K31" i="5" s="1"/>
  <c r="F68" i="1" s="1"/>
  <c r="J31" i="5"/>
  <c r="E68" i="1" s="1"/>
  <c r="H32" i="5"/>
  <c r="K32" i="5" s="1"/>
  <c r="F69" i="1" s="1"/>
  <c r="H16" i="5"/>
  <c r="K16" i="5" s="1"/>
  <c r="F53" i="1" s="1"/>
  <c r="H15" i="5"/>
  <c r="K15" i="5" s="1"/>
  <c r="F52" i="1" s="1"/>
  <c r="J15" i="5"/>
  <c r="E52" i="1" s="1"/>
  <c r="H33" i="5"/>
  <c r="K33" i="5" s="1"/>
  <c r="F70" i="1" s="1"/>
  <c r="J32" i="5"/>
  <c r="E69" i="1" s="1"/>
  <c r="E110" i="1" s="1"/>
  <c r="H9" i="5"/>
  <c r="K9" i="5" s="1"/>
  <c r="F46" i="1" s="1"/>
  <c r="J8" i="5"/>
  <c r="E45" i="1" s="1"/>
  <c r="H38" i="5"/>
  <c r="K38" i="5" s="1"/>
  <c r="F75" i="1" s="1"/>
  <c r="J37" i="5"/>
  <c r="E74" i="1" s="1"/>
  <c r="H40" i="5"/>
  <c r="K40" i="5" s="1"/>
  <c r="F77" i="1" s="1"/>
  <c r="J39" i="5"/>
  <c r="E76" i="1" s="1"/>
  <c r="H12" i="5"/>
  <c r="K12" i="5" s="1"/>
  <c r="F49" i="1" s="1"/>
  <c r="H11" i="5"/>
  <c r="K11" i="5" s="1"/>
  <c r="F48" i="1" s="1"/>
  <c r="J11" i="5"/>
  <c r="E48" i="1" s="1"/>
  <c r="H18" i="5"/>
  <c r="J17" i="5"/>
  <c r="E54" i="1" s="1"/>
  <c r="H28" i="5"/>
  <c r="K28" i="5" s="1"/>
  <c r="F65" i="1" s="1"/>
  <c r="J27" i="5"/>
  <c r="E64" i="1" s="1"/>
  <c r="H8" i="5"/>
  <c r="K8" i="5" s="1"/>
  <c r="F45" i="1" s="1"/>
  <c r="J7" i="5"/>
  <c r="E44" i="1" s="1"/>
  <c r="H7" i="5"/>
  <c r="K7" i="5" s="1"/>
  <c r="F44" i="1" s="1"/>
  <c r="H21" i="4"/>
  <c r="K21" i="4" s="1"/>
  <c r="H38" i="4"/>
  <c r="K38" i="4" s="1"/>
  <c r="J37" i="4"/>
  <c r="H37" i="4"/>
  <c r="K37" i="4" s="1"/>
  <c r="J36" i="4"/>
  <c r="H27" i="4"/>
  <c r="K27" i="4" s="1"/>
  <c r="J26" i="4"/>
  <c r="H39" i="4"/>
  <c r="K39" i="4" s="1"/>
  <c r="J38" i="4"/>
  <c r="H18" i="4"/>
  <c r="J17" i="4"/>
  <c r="H35" i="4"/>
  <c r="K35" i="4" s="1"/>
  <c r="J34" i="4"/>
  <c r="H41" i="4"/>
  <c r="K41" i="4" s="1"/>
  <c r="J40" i="4"/>
  <c r="H28" i="4"/>
  <c r="K28" i="4" s="1"/>
  <c r="J27" i="4"/>
  <c r="H16" i="4"/>
  <c r="K16" i="4" s="1"/>
  <c r="H15" i="4"/>
  <c r="K15" i="4" s="1"/>
  <c r="J15" i="4"/>
  <c r="H36" i="4"/>
  <c r="K36" i="4" s="1"/>
  <c r="J35" i="4"/>
  <c r="H40" i="4"/>
  <c r="K40" i="4" s="1"/>
  <c r="J39" i="4"/>
  <c r="H9" i="4"/>
  <c r="J8" i="4"/>
  <c r="G4" i="4"/>
  <c r="B4" i="4"/>
  <c r="H31" i="4"/>
  <c r="K31" i="4" s="1"/>
  <c r="J31" i="4"/>
  <c r="H32" i="4"/>
  <c r="K32" i="4" s="1"/>
  <c r="H19" i="4"/>
  <c r="K19" i="4" s="1"/>
  <c r="H20" i="4"/>
  <c r="J19" i="4"/>
  <c r="H25" i="4"/>
  <c r="K25" i="4" s="1"/>
  <c r="J24" i="4"/>
  <c r="H23" i="4"/>
  <c r="K23" i="4" s="1"/>
  <c r="H24" i="4"/>
  <c r="K24" i="4" s="1"/>
  <c r="J23" i="4"/>
  <c r="H33" i="4"/>
  <c r="K33" i="4" s="1"/>
  <c r="J32" i="4"/>
  <c r="H26" i="4"/>
  <c r="K26" i="4" s="1"/>
  <c r="J25" i="4"/>
  <c r="H8" i="4"/>
  <c r="K8" i="4" s="1"/>
  <c r="H7" i="4"/>
  <c r="K7" i="4" s="1"/>
  <c r="J7" i="4"/>
  <c r="H12" i="4"/>
  <c r="K12" i="4" s="1"/>
  <c r="H11" i="4"/>
  <c r="K11" i="4" s="1"/>
  <c r="J11" i="4"/>
  <c r="H14" i="4"/>
  <c r="J13" i="4"/>
  <c r="H17" i="4"/>
  <c r="K17" i="4" s="1"/>
  <c r="H13" i="4"/>
  <c r="K13" i="4" s="1"/>
  <c r="J12" i="4"/>
  <c r="H34" i="4"/>
  <c r="K34" i="4" s="1"/>
  <c r="J33" i="4"/>
  <c r="H30" i="4"/>
  <c r="J29" i="4"/>
  <c r="H29" i="4"/>
  <c r="K29" i="4" s="1"/>
  <c r="J28" i="4"/>
  <c r="J9" i="2"/>
  <c r="H10" i="2"/>
  <c r="N10" i="2" s="1"/>
  <c r="J8" i="2"/>
  <c r="H9" i="2"/>
  <c r="N9" i="2" s="1"/>
  <c r="J7" i="2"/>
  <c r="H7" i="2"/>
  <c r="N7" i="2" s="1"/>
  <c r="H8" i="2"/>
  <c r="N8" i="2" s="1"/>
  <c r="H113" i="1" l="1"/>
  <c r="K40" i="2"/>
  <c r="C77" i="1" s="1"/>
  <c r="N40" i="2"/>
  <c r="K38" i="2"/>
  <c r="C75" i="1" s="1"/>
  <c r="F116" i="1" s="1"/>
  <c r="N38" i="2"/>
  <c r="K35" i="2"/>
  <c r="C72" i="1" s="1"/>
  <c r="O113" i="1" s="1"/>
  <c r="N35" i="2"/>
  <c r="K41" i="2"/>
  <c r="C78" i="1" s="1"/>
  <c r="N41" i="2"/>
  <c r="K36" i="2"/>
  <c r="C73" i="1" s="1"/>
  <c r="N36" i="2"/>
  <c r="K39" i="2"/>
  <c r="C76" i="1" s="1"/>
  <c r="I117" i="1" s="1"/>
  <c r="N39" i="2"/>
  <c r="K42" i="2"/>
  <c r="C79" i="1" s="1"/>
  <c r="N42" i="2"/>
  <c r="K37" i="2"/>
  <c r="C74" i="1" s="1"/>
  <c r="N37" i="2"/>
  <c r="N90" i="1"/>
  <c r="E90" i="1"/>
  <c r="E115" i="1"/>
  <c r="K89" i="1"/>
  <c r="O33" i="11"/>
  <c r="O34" i="11"/>
  <c r="O31" i="11"/>
  <c r="O32" i="11"/>
  <c r="O28" i="11"/>
  <c r="K30" i="11"/>
  <c r="X67" i="1" s="1"/>
  <c r="O30" i="11"/>
  <c r="O27" i="11"/>
  <c r="O26" i="11"/>
  <c r="O25" i="11"/>
  <c r="W99" i="1"/>
  <c r="O23" i="11"/>
  <c r="O29" i="11"/>
  <c r="O24" i="11"/>
  <c r="K20" i="11"/>
  <c r="X57" i="1" s="1"/>
  <c r="O20" i="11"/>
  <c r="O21" i="11"/>
  <c r="K22" i="11"/>
  <c r="X59" i="1" s="1"/>
  <c r="O22" i="11"/>
  <c r="O19" i="11"/>
  <c r="O16" i="11"/>
  <c r="K18" i="11"/>
  <c r="X55" i="1" s="1"/>
  <c r="O18" i="11"/>
  <c r="O17" i="11"/>
  <c r="O15" i="11"/>
  <c r="O12" i="11"/>
  <c r="O11" i="11"/>
  <c r="K14" i="11"/>
  <c r="X51" i="1" s="1"/>
  <c r="O14" i="11"/>
  <c r="O13" i="11"/>
  <c r="K9" i="11"/>
  <c r="X46" i="1" s="1"/>
  <c r="O9" i="11"/>
  <c r="O7" i="11"/>
  <c r="O8" i="11"/>
  <c r="O34" i="10"/>
  <c r="O33" i="10"/>
  <c r="O31" i="10"/>
  <c r="O32" i="10"/>
  <c r="O24" i="10"/>
  <c r="O21" i="10"/>
  <c r="O29" i="10"/>
  <c r="O26" i="10"/>
  <c r="O25" i="10"/>
  <c r="O28" i="10"/>
  <c r="K30" i="10"/>
  <c r="U67" i="1" s="1"/>
  <c r="O30" i="10"/>
  <c r="O23" i="10"/>
  <c r="O27" i="10"/>
  <c r="K20" i="10"/>
  <c r="U57" i="1" s="1"/>
  <c r="O20" i="10"/>
  <c r="K22" i="10"/>
  <c r="U59" i="1" s="1"/>
  <c r="O22" i="10"/>
  <c r="O19" i="10"/>
  <c r="O15" i="10"/>
  <c r="O16" i="10"/>
  <c r="K18" i="10"/>
  <c r="U55" i="1" s="1"/>
  <c r="O18" i="10"/>
  <c r="O17" i="10"/>
  <c r="K14" i="10"/>
  <c r="U51" i="1" s="1"/>
  <c r="O14" i="10"/>
  <c r="O11" i="10"/>
  <c r="O12" i="10"/>
  <c r="O13" i="10"/>
  <c r="K9" i="10"/>
  <c r="U46" i="1" s="1"/>
  <c r="O9" i="10"/>
  <c r="O7" i="10"/>
  <c r="O8" i="10"/>
  <c r="O31" i="9"/>
  <c r="O34" i="9"/>
  <c r="O33" i="9"/>
  <c r="O32" i="9"/>
  <c r="O25" i="9"/>
  <c r="O26" i="9"/>
  <c r="O28" i="9"/>
  <c r="O29" i="9"/>
  <c r="O27" i="9"/>
  <c r="K30" i="9"/>
  <c r="R67" i="1" s="1"/>
  <c r="O30" i="9"/>
  <c r="O23" i="9"/>
  <c r="O24" i="9"/>
  <c r="K22" i="9"/>
  <c r="R59" i="1" s="1"/>
  <c r="O22" i="9"/>
  <c r="O19" i="9"/>
  <c r="O20" i="9"/>
  <c r="Q93" i="1"/>
  <c r="O21" i="9"/>
  <c r="O16" i="9"/>
  <c r="O17" i="9"/>
  <c r="K18" i="9"/>
  <c r="R55" i="1" s="1"/>
  <c r="O18" i="9"/>
  <c r="O13" i="9"/>
  <c r="K14" i="9"/>
  <c r="R51" i="1" s="1"/>
  <c r="O14" i="9"/>
  <c r="O11" i="9"/>
  <c r="O12" i="9"/>
  <c r="K9" i="9"/>
  <c r="R46" i="1" s="1"/>
  <c r="O9" i="9"/>
  <c r="O7" i="9"/>
  <c r="O8" i="9"/>
  <c r="O32" i="8"/>
  <c r="O31" i="8"/>
  <c r="O33" i="8"/>
  <c r="O34" i="8"/>
  <c r="K29" i="8"/>
  <c r="O66" i="1" s="1"/>
  <c r="O29" i="8"/>
  <c r="O26" i="8"/>
  <c r="O25" i="8"/>
  <c r="O27" i="8"/>
  <c r="O28" i="8"/>
  <c r="O24" i="8"/>
  <c r="O23" i="8"/>
  <c r="K22" i="8"/>
  <c r="O59" i="1" s="1"/>
  <c r="O22" i="8"/>
  <c r="K20" i="8"/>
  <c r="O57" i="1" s="1"/>
  <c r="O20" i="8"/>
  <c r="O19" i="8"/>
  <c r="O17" i="8"/>
  <c r="K18" i="8"/>
  <c r="O55" i="1" s="1"/>
  <c r="O18" i="8"/>
  <c r="O15" i="8"/>
  <c r="O16" i="8"/>
  <c r="K14" i="8"/>
  <c r="O51" i="1" s="1"/>
  <c r="O14" i="8"/>
  <c r="O12" i="8"/>
  <c r="O13" i="8"/>
  <c r="O11" i="8"/>
  <c r="O7" i="8"/>
  <c r="O8" i="8"/>
  <c r="K9" i="8"/>
  <c r="O46" i="1" s="1"/>
  <c r="O9" i="8"/>
  <c r="O33" i="7"/>
  <c r="O32" i="7"/>
  <c r="O34" i="7"/>
  <c r="O31" i="7"/>
  <c r="K29" i="7"/>
  <c r="L66" i="1" s="1"/>
  <c r="O29" i="7"/>
  <c r="O24" i="7"/>
  <c r="O28" i="7"/>
  <c r="O23" i="7"/>
  <c r="O25" i="7"/>
  <c r="O27" i="7"/>
  <c r="O26" i="7"/>
  <c r="K94" i="1"/>
  <c r="K20" i="7"/>
  <c r="L57" i="1" s="1"/>
  <c r="O20" i="7"/>
  <c r="O19" i="7"/>
  <c r="O21" i="7"/>
  <c r="K22" i="7"/>
  <c r="L59" i="1" s="1"/>
  <c r="O22" i="7"/>
  <c r="K18" i="7"/>
  <c r="L55" i="1" s="1"/>
  <c r="O18" i="7"/>
  <c r="O15" i="7"/>
  <c r="O17" i="7"/>
  <c r="O16" i="7"/>
  <c r="O13" i="7"/>
  <c r="K14" i="7"/>
  <c r="L51" i="1" s="1"/>
  <c r="O14" i="7"/>
  <c r="O11" i="7"/>
  <c r="O12" i="7"/>
  <c r="K9" i="7"/>
  <c r="L46" i="1" s="1"/>
  <c r="O9" i="7"/>
  <c r="O7" i="7"/>
  <c r="O8" i="7"/>
  <c r="O31" i="6"/>
  <c r="O32" i="6"/>
  <c r="O33" i="6"/>
  <c r="O34" i="6"/>
  <c r="O25" i="6"/>
  <c r="O29" i="6"/>
  <c r="O26" i="6"/>
  <c r="O24" i="6"/>
  <c r="O27" i="6"/>
  <c r="O28" i="6"/>
  <c r="K30" i="6"/>
  <c r="I67" i="1" s="1"/>
  <c r="O30" i="6"/>
  <c r="O23" i="6"/>
  <c r="K20" i="6"/>
  <c r="I57" i="1" s="1"/>
  <c r="O20" i="6"/>
  <c r="K22" i="6"/>
  <c r="I59" i="1" s="1"/>
  <c r="O22" i="6"/>
  <c r="O19" i="6"/>
  <c r="O21" i="6"/>
  <c r="K18" i="6"/>
  <c r="I55" i="1" s="1"/>
  <c r="O18" i="6"/>
  <c r="O16" i="6"/>
  <c r="O17" i="6"/>
  <c r="O15" i="6"/>
  <c r="K14" i="6"/>
  <c r="I51" i="1" s="1"/>
  <c r="O14" i="6"/>
  <c r="O12" i="6"/>
  <c r="O11" i="6"/>
  <c r="O13" i="6"/>
  <c r="O8" i="6"/>
  <c r="O7" i="6"/>
  <c r="O9" i="6"/>
  <c r="K10" i="6"/>
  <c r="I47" i="1" s="1"/>
  <c r="O10" i="6"/>
  <c r="O31" i="5"/>
  <c r="O34" i="5"/>
  <c r="O32" i="5"/>
  <c r="O33" i="5"/>
  <c r="O24" i="5"/>
  <c r="O28" i="5"/>
  <c r="O25" i="5"/>
  <c r="O27" i="5"/>
  <c r="O26" i="5"/>
  <c r="O23" i="5"/>
  <c r="O29" i="5"/>
  <c r="K30" i="5"/>
  <c r="F67" i="1" s="1"/>
  <c r="O30" i="5"/>
  <c r="K22" i="5"/>
  <c r="F59" i="1" s="1"/>
  <c r="O22" i="5"/>
  <c r="O21" i="5"/>
  <c r="O19" i="5"/>
  <c r="O20" i="5"/>
  <c r="O17" i="5"/>
  <c r="O15" i="5"/>
  <c r="K18" i="5"/>
  <c r="F55" i="1" s="1"/>
  <c r="O18" i="5"/>
  <c r="O16" i="5"/>
  <c r="K14" i="5"/>
  <c r="F51" i="1" s="1"/>
  <c r="O14" i="5"/>
  <c r="O12" i="5"/>
  <c r="O13" i="5"/>
  <c r="O11" i="5"/>
  <c r="O8" i="5"/>
  <c r="O9" i="5"/>
  <c r="K10" i="5"/>
  <c r="F47" i="1" s="1"/>
  <c r="O10" i="5"/>
  <c r="O7" i="5"/>
  <c r="O34" i="4"/>
  <c r="O32" i="4"/>
  <c r="O31" i="4"/>
  <c r="O33" i="4"/>
  <c r="K30" i="4"/>
  <c r="O30" i="4"/>
  <c r="O25" i="4"/>
  <c r="O26" i="4"/>
  <c r="O29" i="4"/>
  <c r="O23" i="4"/>
  <c r="O28" i="4"/>
  <c r="O27" i="4"/>
  <c r="O24" i="4"/>
  <c r="K20" i="4"/>
  <c r="O20" i="4"/>
  <c r="O21" i="4"/>
  <c r="K22" i="4"/>
  <c r="O22" i="4"/>
  <c r="O19" i="4"/>
  <c r="O15" i="4"/>
  <c r="K18" i="4"/>
  <c r="O18" i="4"/>
  <c r="O16" i="4"/>
  <c r="O17" i="4"/>
  <c r="K14" i="4"/>
  <c r="O14" i="4"/>
  <c r="O11" i="4"/>
  <c r="O13" i="4"/>
  <c r="O12" i="4"/>
  <c r="K9" i="4"/>
  <c r="O9" i="4"/>
  <c r="B5" i="4"/>
  <c r="O8" i="4"/>
  <c r="O7" i="4"/>
  <c r="K111" i="1"/>
  <c r="E111" i="1"/>
  <c r="I118" i="1"/>
  <c r="N112" i="1"/>
  <c r="L118" i="1"/>
  <c r="K112" i="1"/>
  <c r="H112" i="1"/>
  <c r="H104" i="1"/>
  <c r="H107" i="1"/>
  <c r="N107" i="1"/>
  <c r="L113" i="1"/>
  <c r="O118" i="1"/>
  <c r="F118" i="1"/>
  <c r="F113" i="1"/>
  <c r="T111" i="1"/>
  <c r="K33" i="2"/>
  <c r="C70" i="1" s="1"/>
  <c r="I111" i="1" s="1"/>
  <c r="R33" i="2"/>
  <c r="K34" i="2"/>
  <c r="C71" i="1" s="1"/>
  <c r="F112" i="1" s="1"/>
  <c r="R34" i="2"/>
  <c r="Q112" i="1"/>
  <c r="Q111" i="1"/>
  <c r="H111" i="1"/>
  <c r="W111" i="1"/>
  <c r="T112" i="1"/>
  <c r="K32" i="2"/>
  <c r="C69" i="1" s="1"/>
  <c r="F110" i="1" s="1"/>
  <c r="R32" i="2"/>
  <c r="N111" i="1"/>
  <c r="E112" i="1"/>
  <c r="W112" i="1"/>
  <c r="K31" i="2"/>
  <c r="C68" i="1" s="1"/>
  <c r="X109" i="1" s="1"/>
  <c r="R31" i="2"/>
  <c r="H101" i="1"/>
  <c r="E99" i="1"/>
  <c r="K104" i="1"/>
  <c r="K26" i="2"/>
  <c r="C63" i="1" s="1"/>
  <c r="I104" i="1" s="1"/>
  <c r="R26" i="2"/>
  <c r="K30" i="2"/>
  <c r="C67" i="1" s="1"/>
  <c r="R30" i="2"/>
  <c r="K28" i="2"/>
  <c r="C65" i="1" s="1"/>
  <c r="L106" i="1" s="1"/>
  <c r="R28" i="2"/>
  <c r="K27" i="2"/>
  <c r="C64" i="1" s="1"/>
  <c r="F105" i="1" s="1"/>
  <c r="R27" i="2"/>
  <c r="K24" i="2"/>
  <c r="C61" i="1" s="1"/>
  <c r="O102" i="1" s="1"/>
  <c r="R24" i="2"/>
  <c r="K23" i="2"/>
  <c r="C60" i="1" s="1"/>
  <c r="X101" i="1" s="1"/>
  <c r="R23" i="2"/>
  <c r="E107" i="1"/>
  <c r="K29" i="2"/>
  <c r="C66" i="1" s="1"/>
  <c r="O107" i="1" s="1"/>
  <c r="R29" i="2"/>
  <c r="K20" i="2"/>
  <c r="C57" i="1" s="1"/>
  <c r="R20" i="2"/>
  <c r="K19" i="2"/>
  <c r="C56" i="1" s="1"/>
  <c r="I97" i="1" s="1"/>
  <c r="R19" i="2"/>
  <c r="K21" i="2"/>
  <c r="C58" i="1" s="1"/>
  <c r="U99" i="1" s="1"/>
  <c r="R21" i="2"/>
  <c r="K22" i="2"/>
  <c r="C59" i="1" s="1"/>
  <c r="R22" i="2"/>
  <c r="H94" i="1"/>
  <c r="K17" i="2"/>
  <c r="C54" i="1" s="1"/>
  <c r="F95" i="1" s="1"/>
  <c r="R17" i="2"/>
  <c r="K18" i="2"/>
  <c r="C55" i="1" s="1"/>
  <c r="L96" i="1" s="1"/>
  <c r="R18" i="2"/>
  <c r="K16" i="2"/>
  <c r="C53" i="1" s="1"/>
  <c r="L94" i="1" s="1"/>
  <c r="R16" i="2"/>
  <c r="K15" i="2"/>
  <c r="C52" i="1" s="1"/>
  <c r="L93" i="1" s="1"/>
  <c r="R15" i="2"/>
  <c r="K14" i="2"/>
  <c r="C51" i="1" s="1"/>
  <c r="R14" i="2"/>
  <c r="K91" i="1"/>
  <c r="E91" i="1"/>
  <c r="K13" i="2"/>
  <c r="C50" i="1" s="1"/>
  <c r="I91" i="1" s="1"/>
  <c r="R13" i="2"/>
  <c r="K12" i="2"/>
  <c r="C49" i="1" s="1"/>
  <c r="F90" i="1" s="1"/>
  <c r="R12" i="2"/>
  <c r="K11" i="2"/>
  <c r="C48" i="1" s="1"/>
  <c r="F89" i="1" s="1"/>
  <c r="R11" i="2"/>
  <c r="N91" i="1"/>
  <c r="K8" i="2"/>
  <c r="C45" i="1" s="1"/>
  <c r="R8" i="2"/>
  <c r="K7" i="2"/>
  <c r="C44" i="1" s="1"/>
  <c r="R7" i="2"/>
  <c r="K9" i="2"/>
  <c r="R9" i="2"/>
  <c r="K10" i="2"/>
  <c r="C47" i="1" s="1"/>
  <c r="R10" i="2"/>
  <c r="Q89" i="1"/>
  <c r="T89" i="1"/>
  <c r="E101" i="1"/>
  <c r="N94" i="1"/>
  <c r="Q91" i="1"/>
  <c r="H90" i="1"/>
  <c r="T99" i="1"/>
  <c r="I120" i="1"/>
  <c r="N116" i="1"/>
  <c r="H117" i="1"/>
  <c r="W117" i="1"/>
  <c r="K117" i="1"/>
  <c r="Q117" i="1"/>
  <c r="E117" i="1"/>
  <c r="T117" i="1"/>
  <c r="W109" i="1"/>
  <c r="T109" i="1"/>
  <c r="I114" i="1"/>
  <c r="H106" i="1"/>
  <c r="W106" i="1"/>
  <c r="E103" i="1"/>
  <c r="T106" i="1"/>
  <c r="H109" i="1"/>
  <c r="N106" i="1"/>
  <c r="H118" i="1"/>
  <c r="K118" i="1"/>
  <c r="T118" i="1"/>
  <c r="O120" i="1"/>
  <c r="N113" i="1"/>
  <c r="Q119" i="1"/>
  <c r="K106" i="1"/>
  <c r="N118" i="1"/>
  <c r="E118" i="1"/>
  <c r="Q118" i="1"/>
  <c r="L119" i="1"/>
  <c r="T115" i="1"/>
  <c r="E114" i="1"/>
  <c r="T113" i="1"/>
  <c r="K115" i="1"/>
  <c r="E109" i="1"/>
  <c r="E113" i="1"/>
  <c r="L114" i="1"/>
  <c r="K109" i="1"/>
  <c r="O114" i="1"/>
  <c r="Q113" i="1"/>
  <c r="F114" i="1"/>
  <c r="H115" i="1"/>
  <c r="K113" i="1"/>
  <c r="Q109" i="1"/>
  <c r="W115" i="1"/>
  <c r="K119" i="1"/>
  <c r="W119" i="1"/>
  <c r="O119" i="1"/>
  <c r="F119" i="1"/>
  <c r="O116" i="1"/>
  <c r="N109" i="1"/>
  <c r="N115" i="1"/>
  <c r="I119" i="1"/>
  <c r="W113" i="1"/>
  <c r="R115" i="1"/>
  <c r="U115" i="1"/>
  <c r="X115" i="1"/>
  <c r="K103" i="1"/>
  <c r="F120" i="1"/>
  <c r="Q114" i="1"/>
  <c r="E119" i="1"/>
  <c r="U119" i="1"/>
  <c r="X119" i="1"/>
  <c r="R119" i="1"/>
  <c r="L120" i="1"/>
  <c r="U118" i="1"/>
  <c r="R118" i="1"/>
  <c r="X118" i="1"/>
  <c r="T114" i="1"/>
  <c r="R114" i="1"/>
  <c r="U114" i="1"/>
  <c r="X114" i="1"/>
  <c r="U116" i="1"/>
  <c r="R116" i="1"/>
  <c r="X116" i="1"/>
  <c r="Q104" i="1"/>
  <c r="T104" i="1"/>
  <c r="E104" i="1"/>
  <c r="E106" i="1"/>
  <c r="K114" i="1"/>
  <c r="N117" i="1"/>
  <c r="N104" i="1"/>
  <c r="Q115" i="1"/>
  <c r="T103" i="1"/>
  <c r="W118" i="1"/>
  <c r="H119" i="1"/>
  <c r="T119" i="1"/>
  <c r="F115" i="1"/>
  <c r="Q103" i="1"/>
  <c r="W104" i="1"/>
  <c r="H103" i="1"/>
  <c r="L115" i="1"/>
  <c r="N103" i="1"/>
  <c r="N114" i="1"/>
  <c r="Q107" i="1"/>
  <c r="W114" i="1"/>
  <c r="H114" i="1"/>
  <c r="I115" i="1"/>
  <c r="E116" i="1"/>
  <c r="K101" i="1"/>
  <c r="O115" i="1"/>
  <c r="T116" i="1"/>
  <c r="W116" i="1"/>
  <c r="X120" i="1"/>
  <c r="R120" i="1"/>
  <c r="U120" i="1"/>
  <c r="U113" i="1"/>
  <c r="R113" i="1"/>
  <c r="X113" i="1"/>
  <c r="T107" i="1"/>
  <c r="Q101" i="1"/>
  <c r="W101" i="1"/>
  <c r="N101" i="1"/>
  <c r="H99" i="1"/>
  <c r="T101" i="1"/>
  <c r="I107" i="1"/>
  <c r="L107" i="1"/>
  <c r="N99" i="1"/>
  <c r="W107" i="1"/>
  <c r="T105" i="1"/>
  <c r="K105" i="1"/>
  <c r="N105" i="1"/>
  <c r="W103" i="1"/>
  <c r="H97" i="1"/>
  <c r="E97" i="1"/>
  <c r="W98" i="1"/>
  <c r="Q97" i="1"/>
  <c r="N97" i="1"/>
  <c r="W105" i="1"/>
  <c r="E105" i="1"/>
  <c r="K97" i="1"/>
  <c r="Q105" i="1"/>
  <c r="H105" i="1"/>
  <c r="Q99" i="1"/>
  <c r="Q106" i="1"/>
  <c r="E98" i="1"/>
  <c r="N98" i="1"/>
  <c r="Q98" i="1"/>
  <c r="N93" i="1"/>
  <c r="E93" i="1"/>
  <c r="E94" i="1"/>
  <c r="T97" i="1"/>
  <c r="T94" i="1"/>
  <c r="K99" i="1"/>
  <c r="T98" i="1"/>
  <c r="W97" i="1"/>
  <c r="K98" i="1"/>
  <c r="T93" i="1"/>
  <c r="H93" i="1"/>
  <c r="K93" i="1"/>
  <c r="Q90" i="1"/>
  <c r="H89" i="1"/>
  <c r="N89" i="1"/>
  <c r="E89" i="1"/>
  <c r="K95" i="1"/>
  <c r="T95" i="1"/>
  <c r="X94" i="1"/>
  <c r="W95" i="1"/>
  <c r="Q94" i="1"/>
  <c r="Q95" i="1"/>
  <c r="W94" i="1"/>
  <c r="E95" i="1"/>
  <c r="H95" i="1"/>
  <c r="W93" i="1"/>
  <c r="W91" i="1"/>
  <c r="W89" i="1"/>
  <c r="T90" i="1"/>
  <c r="T91" i="1"/>
  <c r="K90" i="1"/>
  <c r="W90" i="1"/>
  <c r="H91" i="1"/>
  <c r="B44" i="1"/>
  <c r="B46" i="1"/>
  <c r="B45" i="1"/>
  <c r="C46" i="1"/>
  <c r="H5" i="11"/>
  <c r="K5" i="11" s="1"/>
  <c r="X42" i="1" s="1"/>
  <c r="D22" i="11"/>
  <c r="F22" i="11" s="1"/>
  <c r="H4" i="11"/>
  <c r="K4" i="11" s="1"/>
  <c r="X41" i="1" s="1"/>
  <c r="D30" i="11"/>
  <c r="F30" i="11" s="1"/>
  <c r="D42" i="11"/>
  <c r="F42" i="11" s="1"/>
  <c r="D10" i="11"/>
  <c r="F10" i="11" s="1"/>
  <c r="J4" i="11"/>
  <c r="W41" i="1" s="1"/>
  <c r="D14" i="11"/>
  <c r="F14" i="11" s="1"/>
  <c r="D18" i="11"/>
  <c r="F18" i="11" s="1"/>
  <c r="D6" i="11"/>
  <c r="F6" i="11" s="1"/>
  <c r="J5" i="11"/>
  <c r="W42" i="1" s="1"/>
  <c r="H6" i="11"/>
  <c r="H6" i="10"/>
  <c r="J5" i="10"/>
  <c r="T42" i="1" s="1"/>
  <c r="H5" i="10"/>
  <c r="K5" i="10" s="1"/>
  <c r="U42" i="1" s="1"/>
  <c r="D6" i="10"/>
  <c r="F6" i="10" s="1"/>
  <c r="D22" i="10"/>
  <c r="F22" i="10" s="1"/>
  <c r="D30" i="10"/>
  <c r="F30" i="10" s="1"/>
  <c r="H4" i="10"/>
  <c r="K4" i="10" s="1"/>
  <c r="D42" i="10"/>
  <c r="F42" i="10" s="1"/>
  <c r="D10" i="10"/>
  <c r="F10" i="10" s="1"/>
  <c r="J4" i="10"/>
  <c r="T41" i="1" s="1"/>
  <c r="D14" i="10"/>
  <c r="F14" i="10" s="1"/>
  <c r="D18" i="10"/>
  <c r="F18" i="10" s="1"/>
  <c r="H5" i="9"/>
  <c r="K5" i="9" s="1"/>
  <c r="R42" i="1" s="1"/>
  <c r="D6" i="9"/>
  <c r="F6" i="9" s="1"/>
  <c r="J4" i="9"/>
  <c r="Q41" i="1" s="1"/>
  <c r="D42" i="9"/>
  <c r="F42" i="9" s="1"/>
  <c r="D30" i="9"/>
  <c r="F30" i="9" s="1"/>
  <c r="H4" i="9"/>
  <c r="K4" i="9" s="1"/>
  <c r="R41" i="1" s="1"/>
  <c r="D10" i="9"/>
  <c r="F10" i="9" s="1"/>
  <c r="D22" i="9"/>
  <c r="F22" i="9" s="1"/>
  <c r="D14" i="9"/>
  <c r="F14" i="9" s="1"/>
  <c r="D18" i="9"/>
  <c r="F18" i="9" s="1"/>
  <c r="J5" i="9"/>
  <c r="Q42" i="1" s="1"/>
  <c r="H6" i="9"/>
  <c r="H5" i="8"/>
  <c r="K5" i="8" s="1"/>
  <c r="O42" i="1" s="1"/>
  <c r="J4" i="8"/>
  <c r="N41" i="1" s="1"/>
  <c r="D14" i="8"/>
  <c r="F14" i="8" s="1"/>
  <c r="D18" i="8"/>
  <c r="F18" i="8" s="1"/>
  <c r="D6" i="8"/>
  <c r="F6" i="8" s="1"/>
  <c r="D22" i="8"/>
  <c r="F22" i="8" s="1"/>
  <c r="H4" i="8"/>
  <c r="K4" i="8" s="1"/>
  <c r="O41" i="1" s="1"/>
  <c r="D30" i="8"/>
  <c r="F30" i="8" s="1"/>
  <c r="D42" i="8"/>
  <c r="F42" i="8" s="1"/>
  <c r="D10" i="8"/>
  <c r="F10" i="8" s="1"/>
  <c r="H6" i="8"/>
  <c r="J5" i="8"/>
  <c r="N42" i="1" s="1"/>
  <c r="H6" i="7"/>
  <c r="J5" i="7"/>
  <c r="K42" i="1" s="1"/>
  <c r="H5" i="7"/>
  <c r="K5" i="7" s="1"/>
  <c r="L42" i="1" s="1"/>
  <c r="D6" i="7"/>
  <c r="F6" i="7" s="1"/>
  <c r="J4" i="7"/>
  <c r="K41" i="1" s="1"/>
  <c r="D18" i="7"/>
  <c r="F18" i="7" s="1"/>
  <c r="D14" i="7"/>
  <c r="F14" i="7" s="1"/>
  <c r="D22" i="7"/>
  <c r="F22" i="7" s="1"/>
  <c r="D30" i="7"/>
  <c r="F30" i="7" s="1"/>
  <c r="H4" i="7"/>
  <c r="K4" i="7" s="1"/>
  <c r="L41" i="1" s="1"/>
  <c r="D42" i="7"/>
  <c r="F42" i="7" s="1"/>
  <c r="D10" i="7"/>
  <c r="F10" i="7" s="1"/>
  <c r="J5" i="6"/>
  <c r="H42" i="1" s="1"/>
  <c r="H6" i="6"/>
  <c r="H5" i="6"/>
  <c r="K5" i="6" s="1"/>
  <c r="I42" i="1" s="1"/>
  <c r="D10" i="6"/>
  <c r="F10" i="6" s="1"/>
  <c r="H4" i="6"/>
  <c r="K4" i="6" s="1"/>
  <c r="I41" i="1" s="1"/>
  <c r="D30" i="6"/>
  <c r="F30" i="6" s="1"/>
  <c r="D42" i="6"/>
  <c r="F42" i="6" s="1"/>
  <c r="J4" i="6"/>
  <c r="D22" i="6"/>
  <c r="F22" i="6" s="1"/>
  <c r="D14" i="6"/>
  <c r="F14" i="6" s="1"/>
  <c r="D18" i="6"/>
  <c r="F18" i="6" s="1"/>
  <c r="D6" i="6"/>
  <c r="F6" i="6" s="1"/>
  <c r="H6" i="5"/>
  <c r="J5" i="5"/>
  <c r="E42" i="1" s="1"/>
  <c r="H5" i="5"/>
  <c r="K5" i="5" s="1"/>
  <c r="F42" i="1" s="1"/>
  <c r="J4" i="5"/>
  <c r="D22" i="5"/>
  <c r="F22" i="5" s="1"/>
  <c r="H4" i="5"/>
  <c r="K4" i="5" s="1"/>
  <c r="D18" i="5"/>
  <c r="F18" i="5" s="1"/>
  <c r="D30" i="5"/>
  <c r="F30" i="5" s="1"/>
  <c r="D42" i="5"/>
  <c r="F42" i="5" s="1"/>
  <c r="D10" i="5"/>
  <c r="F10" i="5" s="1"/>
  <c r="D6" i="5"/>
  <c r="F6" i="5" s="1"/>
  <c r="D14" i="5"/>
  <c r="F14" i="5" s="1"/>
  <c r="H5" i="4"/>
  <c r="K5" i="4" s="1"/>
  <c r="D6" i="4"/>
  <c r="F6" i="4" s="1"/>
  <c r="D22" i="4"/>
  <c r="F22" i="4" s="1"/>
  <c r="D14" i="4"/>
  <c r="F14" i="4" s="1"/>
  <c r="D30" i="4"/>
  <c r="F30" i="4" s="1"/>
  <c r="H4" i="4"/>
  <c r="K4" i="4" s="1"/>
  <c r="D18" i="4"/>
  <c r="F18" i="4" s="1"/>
  <c r="D42" i="4"/>
  <c r="F42" i="4" s="1"/>
  <c r="D10" i="4"/>
  <c r="F10" i="4" s="1"/>
  <c r="J4" i="4"/>
  <c r="H6" i="4"/>
  <c r="J5" i="4"/>
  <c r="I113" i="1" l="1"/>
  <c r="L116" i="1"/>
  <c r="I116" i="1"/>
  <c r="O117" i="1"/>
  <c r="R117" i="1"/>
  <c r="F94" i="1"/>
  <c r="X117" i="1"/>
  <c r="F117" i="1"/>
  <c r="U90" i="1"/>
  <c r="U117" i="1"/>
  <c r="R107" i="1"/>
  <c r="L117" i="1"/>
  <c r="O90" i="1"/>
  <c r="X90" i="1"/>
  <c r="X91" i="1"/>
  <c r="F91" i="1"/>
  <c r="O111" i="1"/>
  <c r="R90" i="1"/>
  <c r="O97" i="1"/>
  <c r="R94" i="1"/>
  <c r="I90" i="1"/>
  <c r="X97" i="1"/>
  <c r="O96" i="1"/>
  <c r="R91" i="1"/>
  <c r="U104" i="1"/>
  <c r="R104" i="1"/>
  <c r="O91" i="1"/>
  <c r="F104" i="1"/>
  <c r="O104" i="1"/>
  <c r="L91" i="1"/>
  <c r="R97" i="1"/>
  <c r="U91" i="1"/>
  <c r="X98" i="1"/>
  <c r="U100" i="1"/>
  <c r="L92" i="1"/>
  <c r="I108" i="1"/>
  <c r="F96" i="1"/>
  <c r="L108" i="1"/>
  <c r="L101" i="1"/>
  <c r="X107" i="1"/>
  <c r="R110" i="1"/>
  <c r="X110" i="1"/>
  <c r="U110" i="1"/>
  <c r="L110" i="1"/>
  <c r="F107" i="1"/>
  <c r="O106" i="1"/>
  <c r="X112" i="1"/>
  <c r="R112" i="1"/>
  <c r="R111" i="1"/>
  <c r="U111" i="1"/>
  <c r="F108" i="1"/>
  <c r="X104" i="1"/>
  <c r="X111" i="1"/>
  <c r="F111" i="1"/>
  <c r="U107" i="1"/>
  <c r="O108" i="1"/>
  <c r="I110" i="1"/>
  <c r="R108" i="1"/>
  <c r="L111" i="1"/>
  <c r="F106" i="1"/>
  <c r="L104" i="1"/>
  <c r="I112" i="1"/>
  <c r="O110" i="1"/>
  <c r="O112" i="1"/>
  <c r="L109" i="1"/>
  <c r="F109" i="1"/>
  <c r="U109" i="1"/>
  <c r="R109" i="1"/>
  <c r="I109" i="1"/>
  <c r="O109" i="1"/>
  <c r="L112" i="1"/>
  <c r="X108" i="1"/>
  <c r="U112" i="1"/>
  <c r="U108" i="1"/>
  <c r="R106" i="1"/>
  <c r="I102" i="1"/>
  <c r="X102" i="1"/>
  <c r="O98" i="1"/>
  <c r="U106" i="1"/>
  <c r="R102" i="1"/>
  <c r="U97" i="1"/>
  <c r="X106" i="1"/>
  <c r="I98" i="1"/>
  <c r="F98" i="1"/>
  <c r="R98" i="1"/>
  <c r="I106" i="1"/>
  <c r="U98" i="1"/>
  <c r="L98" i="1"/>
  <c r="L97" i="1"/>
  <c r="F97" i="1"/>
  <c r="U102" i="1"/>
  <c r="L105" i="1"/>
  <c r="O99" i="1"/>
  <c r="F102" i="1"/>
  <c r="O100" i="1"/>
  <c r="F100" i="1"/>
  <c r="L99" i="1"/>
  <c r="X105" i="1"/>
  <c r="L102" i="1"/>
  <c r="O105" i="1"/>
  <c r="R105" i="1"/>
  <c r="R99" i="1"/>
  <c r="U105" i="1"/>
  <c r="L100" i="1"/>
  <c r="R100" i="1"/>
  <c r="I99" i="1"/>
  <c r="X99" i="1"/>
  <c r="I105" i="1"/>
  <c r="F99" i="1"/>
  <c r="R101" i="1"/>
  <c r="F101" i="1"/>
  <c r="I101" i="1"/>
  <c r="U101" i="1"/>
  <c r="O101" i="1"/>
  <c r="X100" i="1"/>
  <c r="I100" i="1"/>
  <c r="O95" i="1"/>
  <c r="R95" i="1"/>
  <c r="I95" i="1"/>
  <c r="X95" i="1"/>
  <c r="L95" i="1"/>
  <c r="U95" i="1"/>
  <c r="X96" i="1"/>
  <c r="U96" i="1"/>
  <c r="R96" i="1"/>
  <c r="I94" i="1"/>
  <c r="I93" i="1"/>
  <c r="F93" i="1"/>
  <c r="O93" i="1"/>
  <c r="X93" i="1"/>
  <c r="R93" i="1"/>
  <c r="O94" i="1"/>
  <c r="U93" i="1"/>
  <c r="O92" i="1"/>
  <c r="I92" i="1"/>
  <c r="F92" i="1"/>
  <c r="I96" i="1"/>
  <c r="U92" i="1"/>
  <c r="U94" i="1"/>
  <c r="X92" i="1"/>
  <c r="R92" i="1"/>
  <c r="R89" i="1"/>
  <c r="X89" i="1"/>
  <c r="U89" i="1"/>
  <c r="L90" i="1"/>
  <c r="O89" i="1"/>
  <c r="I89" i="1"/>
  <c r="L89" i="1"/>
  <c r="O4" i="10"/>
  <c r="K6" i="8"/>
  <c r="O43" i="1" s="1"/>
  <c r="O6" i="8"/>
  <c r="O5" i="11"/>
  <c r="O4" i="7"/>
  <c r="O4" i="9"/>
  <c r="O5" i="7"/>
  <c r="O5" i="8"/>
  <c r="O4" i="11"/>
  <c r="K6" i="5"/>
  <c r="F43" i="1" s="1"/>
  <c r="O6" i="5"/>
  <c r="O5" i="10"/>
  <c r="O5" i="6"/>
  <c r="O5" i="9"/>
  <c r="K6" i="6"/>
  <c r="I43" i="1" s="1"/>
  <c r="O6" i="6"/>
  <c r="O4" i="6"/>
  <c r="K6" i="10"/>
  <c r="U43" i="1" s="1"/>
  <c r="O6" i="10"/>
  <c r="O4" i="8"/>
  <c r="K6" i="7"/>
  <c r="L43" i="1" s="1"/>
  <c r="O6" i="7"/>
  <c r="K6" i="9"/>
  <c r="R43" i="1" s="1"/>
  <c r="O6" i="9"/>
  <c r="K6" i="11"/>
  <c r="X43" i="1" s="1"/>
  <c r="O6" i="11"/>
  <c r="O5" i="5"/>
  <c r="O4" i="5"/>
  <c r="K6" i="4"/>
  <c r="K43" i="4" s="1"/>
  <c r="O6" i="4"/>
  <c r="O4" i="4"/>
  <c r="O5" i="4"/>
  <c r="Q85" i="1"/>
  <c r="K85" i="1"/>
  <c r="N85" i="1"/>
  <c r="H85" i="1"/>
  <c r="T85" i="1"/>
  <c r="E85" i="1"/>
  <c r="W85" i="1"/>
  <c r="F41" i="1"/>
  <c r="O88" i="1"/>
  <c r="F88" i="1"/>
  <c r="I88" i="1"/>
  <c r="R88" i="1"/>
  <c r="L88" i="1"/>
  <c r="U88" i="1"/>
  <c r="X88" i="1"/>
  <c r="E87" i="1"/>
  <c r="H87" i="1"/>
  <c r="T87" i="1"/>
  <c r="Q87" i="1"/>
  <c r="K87" i="1"/>
  <c r="W87" i="1"/>
  <c r="N87" i="1"/>
  <c r="U41" i="1"/>
  <c r="J43" i="6"/>
  <c r="H41" i="1"/>
  <c r="R85" i="1"/>
  <c r="L85" i="1"/>
  <c r="O85" i="1"/>
  <c r="I85" i="1"/>
  <c r="U85" i="1"/>
  <c r="F85" i="1"/>
  <c r="X85" i="1"/>
  <c r="U86" i="1"/>
  <c r="X86" i="1"/>
  <c r="R86" i="1"/>
  <c r="L86" i="1"/>
  <c r="O86" i="1"/>
  <c r="I86" i="1"/>
  <c r="F86" i="1"/>
  <c r="F87" i="1"/>
  <c r="U87" i="1"/>
  <c r="R87" i="1"/>
  <c r="L87" i="1"/>
  <c r="X87" i="1"/>
  <c r="O87" i="1"/>
  <c r="I87" i="1"/>
  <c r="T86" i="1"/>
  <c r="W86" i="1"/>
  <c r="Q86" i="1"/>
  <c r="K86" i="1"/>
  <c r="N86" i="1"/>
  <c r="H86" i="1"/>
  <c r="E86" i="1"/>
  <c r="J43" i="7"/>
  <c r="K43" i="6"/>
  <c r="J43" i="5"/>
  <c r="E41" i="1"/>
  <c r="J43" i="10"/>
  <c r="J43" i="11"/>
  <c r="J43" i="9"/>
  <c r="J43" i="8"/>
  <c r="J43" i="4"/>
  <c r="O35" i="11" l="1"/>
  <c r="K43" i="11"/>
  <c r="W27" i="1" s="1"/>
  <c r="O35" i="10"/>
  <c r="K43" i="10"/>
  <c r="T27" i="1" s="1"/>
  <c r="O35" i="8"/>
  <c r="K43" i="8"/>
  <c r="N27" i="1" s="1"/>
  <c r="O35" i="6"/>
  <c r="K43" i="7"/>
  <c r="K27" i="1" s="1"/>
  <c r="K43" i="9"/>
  <c r="Q27" i="1" s="1"/>
  <c r="O35" i="9"/>
  <c r="O35" i="5"/>
  <c r="O35" i="7"/>
  <c r="K43" i="5"/>
  <c r="E27" i="1" s="1"/>
  <c r="O35" i="4"/>
  <c r="H27" i="1"/>
  <c r="B27" i="1"/>
  <c r="B28" i="1" s="1"/>
  <c r="C3" i="2" l="1"/>
  <c r="G3" i="2" s="1"/>
  <c r="K3" i="2" s="1"/>
  <c r="C40" i="1" l="1"/>
  <c r="C5" i="2"/>
  <c r="C4" i="2"/>
  <c r="R81" i="1" l="1"/>
  <c r="O81" i="1"/>
  <c r="F81" i="1"/>
  <c r="L81" i="1"/>
  <c r="X81" i="1"/>
  <c r="U81" i="1"/>
  <c r="I81" i="1"/>
  <c r="B4" i="2"/>
  <c r="G4" i="2"/>
  <c r="B5" i="2"/>
  <c r="M5" i="2" s="1"/>
  <c r="G5" i="2"/>
  <c r="C33" i="1" l="1"/>
  <c r="N1" i="10" s="1"/>
  <c r="M4" i="2"/>
  <c r="M43" i="2" s="1"/>
  <c r="N1" i="7"/>
  <c r="N1" i="4"/>
  <c r="N1" i="11"/>
  <c r="N1" i="5"/>
  <c r="N1" i="8"/>
  <c r="N1" i="6"/>
  <c r="Q1" i="2"/>
  <c r="D14" i="2"/>
  <c r="F14" i="2" s="1"/>
  <c r="D6" i="2"/>
  <c r="F6" i="2" s="1"/>
  <c r="D22" i="2"/>
  <c r="F22" i="2" s="1"/>
  <c r="D42" i="2"/>
  <c r="F42" i="2" s="1"/>
  <c r="D10" i="2"/>
  <c r="F10" i="2" s="1"/>
  <c r="D30" i="2"/>
  <c r="F30" i="2" s="1"/>
  <c r="D18" i="2"/>
  <c r="F18" i="2" s="1"/>
  <c r="H6" i="2"/>
  <c r="N6" i="2" s="1"/>
  <c r="J5" i="2"/>
  <c r="H5" i="2"/>
  <c r="N5" i="2" s="1"/>
  <c r="H4" i="2"/>
  <c r="N4" i="2" s="1"/>
  <c r="J4" i="2"/>
  <c r="N1" i="9" l="1"/>
  <c r="N43" i="2"/>
  <c r="E8" i="1" s="1"/>
  <c r="Q13" i="2"/>
  <c r="Q25" i="2"/>
  <c r="Q14" i="2"/>
  <c r="Q26" i="2"/>
  <c r="Q15" i="2"/>
  <c r="Q27" i="2"/>
  <c r="Q4" i="2"/>
  <c r="Q16" i="2"/>
  <c r="Q28" i="2"/>
  <c r="Q5" i="2"/>
  <c r="Q17" i="2"/>
  <c r="Q29" i="2"/>
  <c r="Q6" i="2"/>
  <c r="Q18" i="2"/>
  <c r="Q30" i="2"/>
  <c r="Q7" i="2"/>
  <c r="Q19" i="2"/>
  <c r="Q31" i="2"/>
  <c r="Q8" i="2"/>
  <c r="Q20" i="2"/>
  <c r="Q32" i="2"/>
  <c r="Q9" i="2"/>
  <c r="Q21" i="2"/>
  <c r="Q33" i="2"/>
  <c r="Q10" i="2"/>
  <c r="Q22" i="2"/>
  <c r="Q34" i="2"/>
  <c r="Q11" i="2"/>
  <c r="Q23" i="2"/>
  <c r="Q3" i="2"/>
  <c r="Q12" i="2"/>
  <c r="Q24" i="2"/>
  <c r="N29" i="6"/>
  <c r="N16" i="6"/>
  <c r="N9" i="6"/>
  <c r="N30" i="6"/>
  <c r="N22" i="6"/>
  <c r="N15" i="6"/>
  <c r="N7" i="6"/>
  <c r="N28" i="6"/>
  <c r="N21" i="6"/>
  <c r="N13" i="6"/>
  <c r="N6" i="6"/>
  <c r="N34" i="6"/>
  <c r="N27" i="6"/>
  <c r="N19" i="6"/>
  <c r="N12" i="6"/>
  <c r="N33" i="6"/>
  <c r="N4" i="6"/>
  <c r="N25" i="6"/>
  <c r="N18" i="6"/>
  <c r="N10" i="6"/>
  <c r="N3" i="6"/>
  <c r="N31" i="6"/>
  <c r="N24" i="6"/>
  <c r="N8" i="6"/>
  <c r="N14" i="6"/>
  <c r="N20" i="6"/>
  <c r="N26" i="6"/>
  <c r="N32" i="6"/>
  <c r="N5" i="6"/>
  <c r="N11" i="6"/>
  <c r="N17" i="6"/>
  <c r="N23" i="6"/>
  <c r="N29" i="8"/>
  <c r="N18" i="8"/>
  <c r="N25" i="8"/>
  <c r="N7" i="8"/>
  <c r="N24" i="8"/>
  <c r="N6" i="8"/>
  <c r="N13" i="8"/>
  <c r="N30" i="8"/>
  <c r="N12" i="8"/>
  <c r="N19" i="8"/>
  <c r="N32" i="8"/>
  <c r="N34" i="8"/>
  <c r="N3" i="8"/>
  <c r="N5" i="8"/>
  <c r="N11" i="8"/>
  <c r="N9" i="8"/>
  <c r="N15" i="8"/>
  <c r="N17" i="8"/>
  <c r="N21" i="8"/>
  <c r="N23" i="8"/>
  <c r="N27" i="8"/>
  <c r="N33" i="8"/>
  <c r="N31" i="8"/>
  <c r="N4" i="8"/>
  <c r="N8" i="8"/>
  <c r="N10" i="8"/>
  <c r="N14" i="8"/>
  <c r="N16" i="8"/>
  <c r="N20" i="8"/>
  <c r="N22" i="8"/>
  <c r="N26" i="8"/>
  <c r="N28" i="8"/>
  <c r="K5" i="2"/>
  <c r="R5" i="2"/>
  <c r="N29" i="5"/>
  <c r="N25" i="5"/>
  <c r="N7" i="5"/>
  <c r="N24" i="5"/>
  <c r="N6" i="5"/>
  <c r="N31" i="5"/>
  <c r="N13" i="5"/>
  <c r="N30" i="5"/>
  <c r="N12" i="5"/>
  <c r="N19" i="5"/>
  <c r="N18" i="5"/>
  <c r="N14" i="5"/>
  <c r="N16" i="5"/>
  <c r="N20" i="5"/>
  <c r="N22" i="5"/>
  <c r="N26" i="5"/>
  <c r="N28" i="5"/>
  <c r="N32" i="5"/>
  <c r="N34" i="5"/>
  <c r="N21" i="5"/>
  <c r="N3" i="5"/>
  <c r="N5" i="5"/>
  <c r="N9" i="5"/>
  <c r="N11" i="5"/>
  <c r="N15" i="5"/>
  <c r="N17" i="5"/>
  <c r="N23" i="5"/>
  <c r="N27" i="5"/>
  <c r="N33" i="5"/>
  <c r="N4" i="5"/>
  <c r="N10" i="5"/>
  <c r="N8" i="5"/>
  <c r="N29" i="11"/>
  <c r="N6" i="11"/>
  <c r="N24" i="11"/>
  <c r="N12" i="11"/>
  <c r="N30" i="11"/>
  <c r="N18" i="11"/>
  <c r="N7" i="11"/>
  <c r="N8" i="11"/>
  <c r="N10" i="11"/>
  <c r="N14" i="11"/>
  <c r="N16" i="11"/>
  <c r="N22" i="11"/>
  <c r="N20" i="11"/>
  <c r="N26" i="11"/>
  <c r="N28" i="11"/>
  <c r="N32" i="11"/>
  <c r="N34" i="11"/>
  <c r="N3" i="11"/>
  <c r="N5" i="11"/>
  <c r="N9" i="11"/>
  <c r="N11" i="11"/>
  <c r="N15" i="11"/>
  <c r="N17" i="11"/>
  <c r="N13" i="11"/>
  <c r="N21" i="11"/>
  <c r="N23" i="11"/>
  <c r="N19" i="11"/>
  <c r="N27" i="11"/>
  <c r="N25" i="11"/>
  <c r="N33" i="11"/>
  <c r="N31" i="11"/>
  <c r="N4" i="11"/>
  <c r="N7" i="4"/>
  <c r="N19" i="4"/>
  <c r="N31" i="4"/>
  <c r="N8" i="4"/>
  <c r="N20" i="4"/>
  <c r="N32" i="4"/>
  <c r="N9" i="4"/>
  <c r="N21" i="4"/>
  <c r="N33" i="4"/>
  <c r="N10" i="4"/>
  <c r="N22" i="4"/>
  <c r="N34" i="4"/>
  <c r="N11" i="4"/>
  <c r="N23" i="4"/>
  <c r="N12" i="4"/>
  <c r="N24" i="4"/>
  <c r="N13" i="4"/>
  <c r="N25" i="4"/>
  <c r="N14" i="4"/>
  <c r="N26" i="4"/>
  <c r="N15" i="4"/>
  <c r="N27" i="4"/>
  <c r="N16" i="4"/>
  <c r="N28" i="4"/>
  <c r="N17" i="4"/>
  <c r="N29" i="4"/>
  <c r="N6" i="4"/>
  <c r="N18" i="4"/>
  <c r="N30" i="4"/>
  <c r="N3" i="4"/>
  <c r="N5" i="4"/>
  <c r="N4" i="4"/>
  <c r="K4" i="2"/>
  <c r="C41" i="1" s="1"/>
  <c r="R4" i="2"/>
  <c r="N29" i="7"/>
  <c r="N19" i="7"/>
  <c r="N12" i="7"/>
  <c r="N33" i="7"/>
  <c r="N4" i="7"/>
  <c r="N25" i="7"/>
  <c r="N18" i="7"/>
  <c r="N10" i="7"/>
  <c r="N3" i="7"/>
  <c r="N31" i="7"/>
  <c r="N24" i="7"/>
  <c r="N16" i="7"/>
  <c r="N9" i="7"/>
  <c r="N30" i="7"/>
  <c r="N22" i="7"/>
  <c r="N15" i="7"/>
  <c r="N7" i="7"/>
  <c r="N28" i="7"/>
  <c r="N21" i="7"/>
  <c r="N13" i="7"/>
  <c r="N6" i="7"/>
  <c r="N34" i="7"/>
  <c r="N27" i="7"/>
  <c r="N17" i="7"/>
  <c r="N23" i="7"/>
  <c r="N8" i="7"/>
  <c r="N14" i="7"/>
  <c r="N20" i="7"/>
  <c r="N26" i="7"/>
  <c r="N32" i="7"/>
  <c r="N5" i="7"/>
  <c r="N11" i="7"/>
  <c r="N29" i="9"/>
  <c r="N24" i="9"/>
  <c r="N3" i="9"/>
  <c r="N12" i="9"/>
  <c r="N30" i="9"/>
  <c r="N18" i="9"/>
  <c r="N6" i="9"/>
  <c r="N14" i="9"/>
  <c r="N22" i="9"/>
  <c r="N20" i="9"/>
  <c r="N28" i="9"/>
  <c r="N26" i="9"/>
  <c r="N34" i="9"/>
  <c r="N32" i="9"/>
  <c r="N5" i="9"/>
  <c r="N9" i="9"/>
  <c r="N11" i="9"/>
  <c r="N15" i="9"/>
  <c r="N17" i="9"/>
  <c r="N7" i="9"/>
  <c r="N21" i="9"/>
  <c r="N23" i="9"/>
  <c r="N13" i="9"/>
  <c r="N27" i="9"/>
  <c r="N19" i="9"/>
  <c r="N33" i="9"/>
  <c r="N25" i="9"/>
  <c r="N4" i="9"/>
  <c r="N31" i="9"/>
  <c r="N10" i="9"/>
  <c r="N8" i="9"/>
  <c r="N16" i="9"/>
  <c r="K6" i="2"/>
  <c r="R6" i="2"/>
  <c r="N29" i="10"/>
  <c r="N30" i="10"/>
  <c r="N12" i="10"/>
  <c r="N19" i="10"/>
  <c r="N18" i="10"/>
  <c r="N25" i="10"/>
  <c r="N7" i="10"/>
  <c r="N24" i="10"/>
  <c r="N6" i="10"/>
  <c r="N31" i="10"/>
  <c r="N13" i="10"/>
  <c r="N26" i="10"/>
  <c r="N28" i="10"/>
  <c r="N32" i="10"/>
  <c r="N34" i="10"/>
  <c r="N3" i="10"/>
  <c r="N5" i="10"/>
  <c r="N9" i="10"/>
  <c r="N11" i="10"/>
  <c r="N15" i="10"/>
  <c r="N17" i="10"/>
  <c r="N21" i="10"/>
  <c r="N23" i="10"/>
  <c r="N27" i="10"/>
  <c r="N33" i="10"/>
  <c r="N4" i="10"/>
  <c r="N8" i="10"/>
  <c r="N10" i="10"/>
  <c r="N14" i="10"/>
  <c r="N16" i="10"/>
  <c r="N20" i="10"/>
  <c r="N22" i="10"/>
  <c r="C42" i="1"/>
  <c r="B42" i="1"/>
  <c r="J43" i="2"/>
  <c r="B41" i="1"/>
  <c r="K43" i="2" l="1"/>
  <c r="C43" i="1"/>
  <c r="X84" i="1" s="1"/>
  <c r="N35" i="8"/>
  <c r="N34" i="1" s="1"/>
  <c r="N35" i="7"/>
  <c r="K34" i="1" s="1"/>
  <c r="N35" i="5"/>
  <c r="E34" i="1" s="1"/>
  <c r="Q35" i="2"/>
  <c r="N35" i="9"/>
  <c r="Q34" i="1" s="1"/>
  <c r="R35" i="2"/>
  <c r="N35" i="11"/>
  <c r="W34" i="1" s="1"/>
  <c r="N35" i="10"/>
  <c r="T34" i="1" s="1"/>
  <c r="N35" i="4"/>
  <c r="B34" i="1" s="1"/>
  <c r="B35" i="1" s="1"/>
  <c r="N35" i="6"/>
  <c r="H34" i="1" s="1"/>
  <c r="H82" i="1"/>
  <c r="E82" i="1"/>
  <c r="Q82" i="1"/>
  <c r="K82" i="1"/>
  <c r="T82" i="1"/>
  <c r="W82" i="1"/>
  <c r="N82" i="1"/>
  <c r="N121" i="1" s="1"/>
  <c r="R84" i="1"/>
  <c r="L84" i="1"/>
  <c r="O84" i="1"/>
  <c r="I84" i="1"/>
  <c r="U84" i="1"/>
  <c r="T83" i="1"/>
  <c r="N83" i="1"/>
  <c r="H83" i="1"/>
  <c r="W83" i="1"/>
  <c r="E83" i="1"/>
  <c r="Q83" i="1"/>
  <c r="K83" i="1"/>
  <c r="O82" i="1"/>
  <c r="I82" i="1"/>
  <c r="F82" i="1"/>
  <c r="R82" i="1"/>
  <c r="L82" i="1"/>
  <c r="U82" i="1"/>
  <c r="X82" i="1"/>
  <c r="U83" i="1"/>
  <c r="O83" i="1"/>
  <c r="I83" i="1"/>
  <c r="X83" i="1"/>
  <c r="F83" i="1"/>
  <c r="R83" i="1"/>
  <c r="L83" i="1"/>
  <c r="F84" i="1" l="1"/>
  <c r="T35" i="1"/>
  <c r="W35" i="1"/>
  <c r="Q35" i="1"/>
  <c r="E35" i="1"/>
  <c r="H35" i="1"/>
  <c r="K35" i="1"/>
  <c r="N35" i="1"/>
  <c r="O121" i="1"/>
  <c r="N123" i="1" s="1"/>
  <c r="Q36" i="2"/>
  <c r="T121" i="1"/>
  <c r="I121" i="1"/>
  <c r="W121" i="1"/>
  <c r="F121" i="1"/>
  <c r="K121" i="1"/>
  <c r="U121" i="1"/>
  <c r="Q121" i="1"/>
  <c r="X121" i="1"/>
  <c r="E121" i="1"/>
  <c r="L121" i="1"/>
  <c r="R121" i="1"/>
  <c r="H121" i="1"/>
  <c r="T123" i="1" l="1"/>
  <c r="W123" i="1"/>
  <c r="H123" i="1"/>
  <c r="E123" i="1"/>
  <c r="Q123" i="1"/>
  <c r="K1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<sst xmlns="http://schemas.openxmlformats.org/spreadsheetml/2006/main" count="217" uniqueCount="52">
  <si>
    <t>IRS tenor</t>
    <phoneticPr fontId="2" type="noConversion"/>
  </si>
  <si>
    <t>3개월=CD</t>
    <phoneticPr fontId="2" type="noConversion"/>
  </si>
  <si>
    <t>Bootstraping</t>
    <phoneticPr fontId="2" type="noConversion"/>
  </si>
  <si>
    <t>Maturity</t>
    <phoneticPr fontId="2" type="noConversion"/>
  </si>
  <si>
    <t>fixed</t>
    <phoneticPr fontId="2" type="noConversion"/>
  </si>
  <si>
    <t>floating</t>
    <phoneticPr fontId="2" type="noConversion"/>
  </si>
  <si>
    <t>error</t>
    <phoneticPr fontId="2" type="noConversion"/>
  </si>
  <si>
    <t>DF</t>
    <phoneticPr fontId="2" type="noConversion"/>
  </si>
  <si>
    <t>LN(DF)</t>
    <phoneticPr fontId="2" type="noConversion"/>
  </si>
  <si>
    <t>실제 rate</t>
    <phoneticPr fontId="2" type="noConversion"/>
  </si>
  <si>
    <t>이론 rate</t>
    <phoneticPr fontId="2" type="noConversion"/>
  </si>
  <si>
    <t>spot curve</t>
    <phoneticPr fontId="2" type="noConversion"/>
  </si>
  <si>
    <t>forward curve</t>
    <phoneticPr fontId="2" type="noConversion"/>
  </si>
  <si>
    <t>IRS parallel shift</t>
    <phoneticPr fontId="2" type="noConversion"/>
  </si>
  <si>
    <t>fixed leg</t>
    <phoneticPr fontId="2" type="noConversion"/>
  </si>
  <si>
    <t>floating leg</t>
    <phoneticPr fontId="2" type="noConversion"/>
  </si>
  <si>
    <t>Swap rate</t>
    <phoneticPr fontId="2" type="noConversion"/>
  </si>
  <si>
    <t>Total</t>
    <phoneticPr fontId="2" type="noConversion"/>
  </si>
  <si>
    <t>value change</t>
    <phoneticPr fontId="2" type="noConversion"/>
  </si>
  <si>
    <t>Duration</t>
    <phoneticPr fontId="2" type="noConversion"/>
  </si>
  <si>
    <t>1Y change</t>
    <phoneticPr fontId="2" type="noConversion"/>
  </si>
  <si>
    <t>2Y change</t>
    <phoneticPr fontId="2" type="noConversion"/>
  </si>
  <si>
    <t>3Y change</t>
    <phoneticPr fontId="2" type="noConversion"/>
  </si>
  <si>
    <t>4Y change</t>
    <phoneticPr fontId="2" type="noConversion"/>
  </si>
  <si>
    <t>5Y change</t>
    <phoneticPr fontId="2" type="noConversion"/>
  </si>
  <si>
    <t>7Y change</t>
    <phoneticPr fontId="2" type="noConversion"/>
  </si>
  <si>
    <t>10Y change</t>
    <phoneticPr fontId="2" type="noConversion"/>
  </si>
  <si>
    <t>S</t>
    <phoneticPr fontId="2" type="noConversion"/>
  </si>
  <si>
    <t>Notional</t>
    <phoneticPr fontId="2" type="noConversion"/>
  </si>
  <si>
    <t>1Y</t>
    <phoneticPr fontId="2" type="noConversion"/>
  </si>
  <si>
    <t xml:space="preserve">fixed </t>
    <phoneticPr fontId="2" type="noConversion"/>
  </si>
  <si>
    <t>difference</t>
    <phoneticPr fontId="2" type="noConversion"/>
  </si>
  <si>
    <t>2Y</t>
    <phoneticPr fontId="2" type="noConversion"/>
  </si>
  <si>
    <t>Diff</t>
    <phoneticPr fontId="2" type="noConversion"/>
  </si>
  <si>
    <t>3Y</t>
    <phoneticPr fontId="2" type="noConversion"/>
  </si>
  <si>
    <t>4Y</t>
    <phoneticPr fontId="2" type="noConversion"/>
  </si>
  <si>
    <t>5Y</t>
    <phoneticPr fontId="2" type="noConversion"/>
  </si>
  <si>
    <t>7Y</t>
    <phoneticPr fontId="2" type="noConversion"/>
  </si>
  <si>
    <t>10Y</t>
    <phoneticPr fontId="2" type="noConversion"/>
  </si>
  <si>
    <t>8Y swap rate</t>
    <phoneticPr fontId="2" type="noConversion"/>
  </si>
  <si>
    <t>8Y swap</t>
    <phoneticPr fontId="2" type="noConversion"/>
  </si>
  <si>
    <t>&gt; Swap rate를 올바르게 구했는지 leg의 차이를 계산함으로써 구하기</t>
    <phoneticPr fontId="2" type="noConversion"/>
  </si>
  <si>
    <t>10Y 기준 CF 확인</t>
    <phoneticPr fontId="2" type="noConversion"/>
  </si>
  <si>
    <t>1bp</t>
    <phoneticPr fontId="2" type="noConversion"/>
  </si>
  <si>
    <t>http://www.smbs.biz/Exchange/IRS.jsp</t>
    <phoneticPr fontId="2" type="noConversion"/>
  </si>
  <si>
    <t>&gt; 1bp만큼 원래 값에서 전체 tenor의 금리 or key rate을 변화시켜주세요</t>
    <phoneticPr fontId="2" type="noConversion"/>
  </si>
  <si>
    <t>&gt; 아래의 CF를 확인하고 왜 이런 결과가 나왔을지에 대해 생각해보시면 좋겠습니다!</t>
    <phoneticPr fontId="2" type="noConversion"/>
  </si>
  <si>
    <t xml:space="preserve">Value </t>
    <phoneticPr fontId="2" type="noConversion"/>
  </si>
  <si>
    <t>1. 위의 링크와 CD금리를 통해 앞의 tenor를 채워주세요</t>
    <phoneticPr fontId="2" type="noConversion"/>
  </si>
  <si>
    <t>&gt; 2월 26일 기준 금리로 답안이 게시될 예정입니다.</t>
    <phoneticPr fontId="2" type="noConversion"/>
  </si>
  <si>
    <t>2. 10년 만기 fixed rate 3.7%를 지급하는 IRS가 있다고 할때 해당 상품의 값을 구해주세요.</t>
    <phoneticPr fontId="2" type="noConversion"/>
  </si>
  <si>
    <t>&gt; Bootstrap sheet에서 각 leg의 CashFlow를 구한 후 차이를 구해주시면 됩니다!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</si>
</sst>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1" applyNumberFormat="1" applyFont="1">
      <alignment vertical="center"/>
    </xf>
    <xf numFmtId="0" fontId="0" fillId="3" borderId="0" xfId="0" applyFill="1">
      <alignment vertical="center"/>
    </xf>
    <xf numFmtId="9" fontId="0" fillId="0" borderId="0" xfId="1" applyFont="1">
      <alignment vertical="center"/>
    </xf>
    <xf numFmtId="0" fontId="0" fillId="4" borderId="0" xfId="0" applyFill="1">
      <alignment vertical="center"/>
    </xf>
    <xf numFmtId="9" fontId="0" fillId="4" borderId="0" xfId="1" applyFont="1" applyFill="1">
      <alignment vertical="center"/>
    </xf>
    <xf numFmtId="0" fontId="3" fillId="0" borderId="0" xfId="0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mbs.biz/Exchange/IRS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C063-8E65-4D13-9CBF-21F2FD362C8E}">
  <dimension ref="A1:X123"/>
  <sheetViews>
    <sheetView tabSelected="1" topLeftCell="A24" zoomScale="85" zoomScaleNormal="85" workbookViewId="0">
      <selection activeCell="K9" sqref="K9"/>
    </sheetView>
  </sheetViews>
  <sheetFormatPr defaultRowHeight="17" x14ac:dyDescent="0.45"/>
  <cols>
    <col min="4" max="4" width="13.33203125" bestFit="1" customWidth="1"/>
    <col min="5" max="5" width="16.58203125" bestFit="1" customWidth="1"/>
    <col min="6" max="7" width="13.33203125" bestFit="1" customWidth="1"/>
    <col min="8" max="8" width="14" bestFit="1" customWidth="1"/>
    <col min="9" max="9" width="14.25" bestFit="1" customWidth="1"/>
    <col min="11" max="11" width="14" bestFit="1" customWidth="1"/>
    <col min="12" max="12" width="14.25" bestFit="1" customWidth="1"/>
    <col min="14" max="14" width="14" bestFit="1" customWidth="1"/>
    <col min="17" max="17" width="13.08203125" bestFit="1" customWidth="1"/>
    <col min="20" max="20" width="13.08203125" bestFit="1" customWidth="1"/>
    <col min="23" max="23" width="10.5" customWidth="1"/>
  </cols>
  <sheetData>
    <row r="1" spans="1:23" x14ac:dyDescent="0.45">
      <c r="A1" t="s">
        <v>0</v>
      </c>
      <c r="C1" t="s">
        <v>44</v>
      </c>
      <c r="G1" t="s">
        <v>1</v>
      </c>
    </row>
    <row r="2" spans="1:23" x14ac:dyDescent="0.45">
      <c r="A2">
        <v>0.25</v>
      </c>
      <c r="B2">
        <v>2.8</v>
      </c>
      <c r="D2" s="7" t="s">
        <v>48</v>
      </c>
    </row>
    <row r="3" spans="1:23" x14ac:dyDescent="0.45">
      <c r="A3">
        <v>1</v>
      </c>
      <c r="B3">
        <v>2.9175</v>
      </c>
      <c r="D3" t="s">
        <v>49</v>
      </c>
    </row>
    <row r="4" spans="1:23" x14ac:dyDescent="0.45">
      <c r="A4">
        <v>2</v>
      </c>
      <c r="B4">
        <v>3.0874999999999999</v>
      </c>
      <c r="T4" t="s">
        <v>27</v>
      </c>
    </row>
    <row r="5" spans="1:23" x14ac:dyDescent="0.45">
      <c r="A5">
        <v>3</v>
      </c>
      <c r="B5">
        <v>3.2</v>
      </c>
      <c r="D5" s="7" t="s">
        <v>50</v>
      </c>
    </row>
    <row r="6" spans="1:23" x14ac:dyDescent="0.45">
      <c r="A6">
        <v>4</v>
      </c>
      <c r="B6">
        <v>3.27</v>
      </c>
      <c r="D6" s="7" t="s">
        <v>51</v>
      </c>
    </row>
    <row r="7" spans="1:23" x14ac:dyDescent="0.45">
      <c r="A7">
        <v>5</v>
      </c>
      <c r="B7">
        <v>3.3250000000000002</v>
      </c>
      <c r="D7" t="s">
        <v>28</v>
      </c>
      <c r="E7">
        <v>10000000000</v>
      </c>
    </row>
    <row r="8" spans="1:23" x14ac:dyDescent="0.45">
      <c r="A8">
        <v>7</v>
      </c>
      <c r="B8">
        <v>3.4024999999999999</v>
      </c>
      <c r="D8" t="s">
        <v>47</v>
      </c>
      <c r="E8">
        <f>(Bootstrap!N43-Bootstrap!M43)*E7</f>
        <v>-198787909.89086238</v>
      </c>
    </row>
    <row r="9" spans="1:23" x14ac:dyDescent="0.45">
      <c r="A9">
        <v>10</v>
      </c>
      <c r="B9">
        <v>3.4649999999999999</v>
      </c>
    </row>
    <row r="10" spans="1:23" x14ac:dyDescent="0.45">
      <c r="A10">
        <v>12</v>
      </c>
      <c r="B10">
        <v>3.4874999999999998</v>
      </c>
    </row>
    <row r="11" spans="1:23" x14ac:dyDescent="0.45">
      <c r="A11">
        <v>15</v>
      </c>
      <c r="B11">
        <v>3.4975000000000001</v>
      </c>
    </row>
    <row r="12" spans="1:23" x14ac:dyDescent="0.45">
      <c r="A12">
        <v>20</v>
      </c>
      <c r="B12">
        <v>3.4125000000000001</v>
      </c>
    </row>
    <row r="13" spans="1:23" x14ac:dyDescent="0.45">
      <c r="B13" t="s">
        <v>43</v>
      </c>
      <c r="C13">
        <v>0.01</v>
      </c>
      <c r="D13" t="s">
        <v>45</v>
      </c>
    </row>
    <row r="14" spans="1:23" x14ac:dyDescent="0.45">
      <c r="A14" t="s">
        <v>13</v>
      </c>
      <c r="D14" t="s">
        <v>20</v>
      </c>
      <c r="G14" t="s">
        <v>21</v>
      </c>
      <c r="J14" t="s">
        <v>22</v>
      </c>
      <c r="M14" t="s">
        <v>23</v>
      </c>
      <c r="P14" t="s">
        <v>24</v>
      </c>
      <c r="S14" t="s">
        <v>25</v>
      </c>
      <c r="V14" t="s">
        <v>26</v>
      </c>
    </row>
    <row r="15" spans="1:23" x14ac:dyDescent="0.45">
      <c r="A15">
        <v>0.25</v>
      </c>
      <c r="B15">
        <f>B2+$C$13</f>
        <v>2.8099999999999996</v>
      </c>
      <c r="D15">
        <v>0.25</v>
      </c>
      <c r="E15">
        <f>B2</f>
        <v>2.8</v>
      </c>
      <c r="G15">
        <v>0.25</v>
      </c>
      <c r="H15">
        <f>B2</f>
        <v>2.8</v>
      </c>
      <c r="J15">
        <v>0.25</v>
      </c>
      <c r="K15">
        <f>B2</f>
        <v>2.8</v>
      </c>
      <c r="M15">
        <v>0.25</v>
      </c>
      <c r="N15">
        <f>B2</f>
        <v>2.8</v>
      </c>
      <c r="P15">
        <v>0.25</v>
      </c>
      <c r="Q15">
        <f>B2</f>
        <v>2.8</v>
      </c>
      <c r="S15">
        <v>0.25</v>
      </c>
      <c r="T15">
        <f>B2</f>
        <v>2.8</v>
      </c>
      <c r="V15">
        <v>0.25</v>
      </c>
      <c r="W15" s="5">
        <f>B2</f>
        <v>2.8</v>
      </c>
    </row>
    <row r="16" spans="1:23" x14ac:dyDescent="0.45">
      <c r="A16">
        <v>1</v>
      </c>
      <c r="B16">
        <f t="shared" ref="B16:B25" si="0">B3+$C$13</f>
        <v>2.9274999999999998</v>
      </c>
      <c r="D16">
        <v>1</v>
      </c>
      <c r="E16">
        <f>B3+C13</f>
        <v>2.9274999999999998</v>
      </c>
      <c r="G16">
        <v>1</v>
      </c>
      <c r="H16">
        <f t="shared" ref="H16:H25" si="1">B3</f>
        <v>2.9175</v>
      </c>
      <c r="J16">
        <v>1</v>
      </c>
      <c r="K16">
        <f t="shared" ref="K16:K25" si="2">B3</f>
        <v>2.9175</v>
      </c>
      <c r="M16">
        <v>1</v>
      </c>
      <c r="N16">
        <f t="shared" ref="N16:N25" si="3">B3</f>
        <v>2.9175</v>
      </c>
      <c r="P16">
        <v>1</v>
      </c>
      <c r="Q16">
        <f t="shared" ref="Q16:Q25" si="4">B3</f>
        <v>2.9175</v>
      </c>
      <c r="S16">
        <v>1</v>
      </c>
      <c r="T16">
        <f t="shared" ref="T16:T25" si="5">B3</f>
        <v>2.9175</v>
      </c>
      <c r="V16">
        <v>1</v>
      </c>
      <c r="W16" s="5">
        <f t="shared" ref="W16:W25" si="6">B3</f>
        <v>2.9175</v>
      </c>
    </row>
    <row r="17" spans="1:23" x14ac:dyDescent="0.45">
      <c r="A17">
        <v>2</v>
      </c>
      <c r="B17">
        <f t="shared" si="0"/>
        <v>3.0974999999999997</v>
      </c>
      <c r="D17">
        <v>2</v>
      </c>
      <c r="E17">
        <f t="shared" ref="E17:E25" si="7">B4</f>
        <v>3.0874999999999999</v>
      </c>
      <c r="G17">
        <v>2</v>
      </c>
      <c r="H17">
        <f>B4+C13</f>
        <v>3.0974999999999997</v>
      </c>
      <c r="J17">
        <v>2</v>
      </c>
      <c r="K17">
        <f t="shared" si="2"/>
        <v>3.0874999999999999</v>
      </c>
      <c r="M17">
        <v>2</v>
      </c>
      <c r="N17">
        <f t="shared" si="3"/>
        <v>3.0874999999999999</v>
      </c>
      <c r="P17">
        <v>2</v>
      </c>
      <c r="Q17">
        <f t="shared" si="4"/>
        <v>3.0874999999999999</v>
      </c>
      <c r="S17">
        <v>2</v>
      </c>
      <c r="T17">
        <f t="shared" si="5"/>
        <v>3.0874999999999999</v>
      </c>
      <c r="V17">
        <v>2</v>
      </c>
      <c r="W17" s="5">
        <f t="shared" si="6"/>
        <v>3.0874999999999999</v>
      </c>
    </row>
    <row r="18" spans="1:23" x14ac:dyDescent="0.45">
      <c r="A18">
        <v>3</v>
      </c>
      <c r="B18">
        <f t="shared" si="0"/>
        <v>3.21</v>
      </c>
      <c r="D18">
        <v>3</v>
      </c>
      <c r="E18">
        <f t="shared" si="7"/>
        <v>3.2</v>
      </c>
      <c r="G18">
        <v>3</v>
      </c>
      <c r="H18">
        <f t="shared" si="1"/>
        <v>3.2</v>
      </c>
      <c r="J18">
        <v>3</v>
      </c>
      <c r="K18">
        <f>B5+C13</f>
        <v>3.21</v>
      </c>
      <c r="M18">
        <v>3</v>
      </c>
      <c r="N18">
        <f t="shared" si="3"/>
        <v>3.2</v>
      </c>
      <c r="P18">
        <v>3</v>
      </c>
      <c r="Q18">
        <f t="shared" si="4"/>
        <v>3.2</v>
      </c>
      <c r="S18">
        <v>3</v>
      </c>
      <c r="T18">
        <f t="shared" si="5"/>
        <v>3.2</v>
      </c>
      <c r="V18">
        <v>3</v>
      </c>
      <c r="W18" s="5">
        <f t="shared" si="6"/>
        <v>3.2</v>
      </c>
    </row>
    <row r="19" spans="1:23" x14ac:dyDescent="0.45">
      <c r="A19">
        <v>4</v>
      </c>
      <c r="B19">
        <f t="shared" si="0"/>
        <v>3.28</v>
      </c>
      <c r="D19">
        <v>4</v>
      </c>
      <c r="E19">
        <f t="shared" si="7"/>
        <v>3.27</v>
      </c>
      <c r="G19">
        <v>4</v>
      </c>
      <c r="H19">
        <f t="shared" si="1"/>
        <v>3.27</v>
      </c>
      <c r="J19">
        <v>4</v>
      </c>
      <c r="K19">
        <f t="shared" si="2"/>
        <v>3.27</v>
      </c>
      <c r="M19">
        <v>4</v>
      </c>
      <c r="N19">
        <f>B6+C13</f>
        <v>3.28</v>
      </c>
      <c r="P19">
        <v>4</v>
      </c>
      <c r="Q19">
        <f t="shared" si="4"/>
        <v>3.27</v>
      </c>
      <c r="S19">
        <v>4</v>
      </c>
      <c r="T19">
        <f t="shared" si="5"/>
        <v>3.27</v>
      </c>
      <c r="V19">
        <v>4</v>
      </c>
      <c r="W19" s="5">
        <f t="shared" si="6"/>
        <v>3.27</v>
      </c>
    </row>
    <row r="20" spans="1:23" x14ac:dyDescent="0.45">
      <c r="A20">
        <v>5</v>
      </c>
      <c r="B20">
        <f t="shared" si="0"/>
        <v>3.335</v>
      </c>
      <c r="D20">
        <v>5</v>
      </c>
      <c r="E20">
        <f t="shared" si="7"/>
        <v>3.3250000000000002</v>
      </c>
      <c r="G20">
        <v>5</v>
      </c>
      <c r="H20">
        <f t="shared" si="1"/>
        <v>3.3250000000000002</v>
      </c>
      <c r="J20">
        <v>5</v>
      </c>
      <c r="K20">
        <f t="shared" si="2"/>
        <v>3.3250000000000002</v>
      </c>
      <c r="M20">
        <v>5</v>
      </c>
      <c r="N20">
        <f t="shared" si="3"/>
        <v>3.3250000000000002</v>
      </c>
      <c r="P20">
        <v>5</v>
      </c>
      <c r="Q20">
        <f>B7+C13</f>
        <v>3.335</v>
      </c>
      <c r="S20">
        <v>5</v>
      </c>
      <c r="T20">
        <f t="shared" si="5"/>
        <v>3.3250000000000002</v>
      </c>
      <c r="V20">
        <v>5</v>
      </c>
      <c r="W20" s="5">
        <f t="shared" si="6"/>
        <v>3.3250000000000002</v>
      </c>
    </row>
    <row r="21" spans="1:23" x14ac:dyDescent="0.45">
      <c r="A21">
        <v>7</v>
      </c>
      <c r="B21">
        <f t="shared" si="0"/>
        <v>3.4124999999999996</v>
      </c>
      <c r="D21">
        <v>7</v>
      </c>
      <c r="E21">
        <f t="shared" si="7"/>
        <v>3.4024999999999999</v>
      </c>
      <c r="G21">
        <v>7</v>
      </c>
      <c r="H21">
        <f t="shared" si="1"/>
        <v>3.4024999999999999</v>
      </c>
      <c r="J21">
        <v>7</v>
      </c>
      <c r="K21">
        <f t="shared" si="2"/>
        <v>3.4024999999999999</v>
      </c>
      <c r="M21">
        <v>7</v>
      </c>
      <c r="N21">
        <f t="shared" si="3"/>
        <v>3.4024999999999999</v>
      </c>
      <c r="P21">
        <v>7</v>
      </c>
      <c r="Q21">
        <f t="shared" si="4"/>
        <v>3.4024999999999999</v>
      </c>
      <c r="S21">
        <v>7</v>
      </c>
      <c r="T21">
        <f>B8+C13</f>
        <v>3.4124999999999996</v>
      </c>
      <c r="V21">
        <v>7</v>
      </c>
      <c r="W21" s="5">
        <f t="shared" si="6"/>
        <v>3.4024999999999999</v>
      </c>
    </row>
    <row r="22" spans="1:23" x14ac:dyDescent="0.45">
      <c r="A22">
        <v>10</v>
      </c>
      <c r="B22">
        <f t="shared" si="0"/>
        <v>3.4749999999999996</v>
      </c>
      <c r="D22">
        <v>10</v>
      </c>
      <c r="E22">
        <f t="shared" si="7"/>
        <v>3.4649999999999999</v>
      </c>
      <c r="G22">
        <v>10</v>
      </c>
      <c r="H22">
        <f t="shared" si="1"/>
        <v>3.4649999999999999</v>
      </c>
      <c r="J22">
        <v>10</v>
      </c>
      <c r="K22">
        <f t="shared" si="2"/>
        <v>3.4649999999999999</v>
      </c>
      <c r="M22">
        <v>10</v>
      </c>
      <c r="N22">
        <f t="shared" si="3"/>
        <v>3.4649999999999999</v>
      </c>
      <c r="P22">
        <v>10</v>
      </c>
      <c r="Q22">
        <f t="shared" si="4"/>
        <v>3.4649999999999999</v>
      </c>
      <c r="S22">
        <v>10</v>
      </c>
      <c r="T22">
        <f t="shared" si="5"/>
        <v>3.4649999999999999</v>
      </c>
      <c r="V22">
        <v>10</v>
      </c>
      <c r="W22" s="5">
        <f>B9+C13</f>
        <v>3.4749999999999996</v>
      </c>
    </row>
    <row r="23" spans="1:23" x14ac:dyDescent="0.45">
      <c r="A23">
        <v>12</v>
      </c>
      <c r="B23">
        <f t="shared" si="0"/>
        <v>3.4974999999999996</v>
      </c>
      <c r="D23">
        <v>12</v>
      </c>
      <c r="E23">
        <f t="shared" si="7"/>
        <v>3.4874999999999998</v>
      </c>
      <c r="G23">
        <v>12</v>
      </c>
      <c r="H23">
        <f t="shared" si="1"/>
        <v>3.4874999999999998</v>
      </c>
      <c r="J23">
        <v>12</v>
      </c>
      <c r="K23">
        <f t="shared" si="2"/>
        <v>3.4874999999999998</v>
      </c>
      <c r="M23">
        <v>12</v>
      </c>
      <c r="N23">
        <f t="shared" si="3"/>
        <v>3.4874999999999998</v>
      </c>
      <c r="P23">
        <v>12</v>
      </c>
      <c r="Q23">
        <f t="shared" si="4"/>
        <v>3.4874999999999998</v>
      </c>
      <c r="S23">
        <v>12</v>
      </c>
      <c r="T23">
        <f t="shared" si="5"/>
        <v>3.4874999999999998</v>
      </c>
      <c r="V23">
        <v>12</v>
      </c>
      <c r="W23" s="5">
        <f t="shared" si="6"/>
        <v>3.4874999999999998</v>
      </c>
    </row>
    <row r="24" spans="1:23" x14ac:dyDescent="0.45">
      <c r="A24">
        <v>15</v>
      </c>
      <c r="B24">
        <f t="shared" si="0"/>
        <v>3.5074999999999998</v>
      </c>
      <c r="D24">
        <v>15</v>
      </c>
      <c r="E24">
        <f t="shared" si="7"/>
        <v>3.4975000000000001</v>
      </c>
      <c r="G24">
        <v>15</v>
      </c>
      <c r="H24">
        <f t="shared" si="1"/>
        <v>3.4975000000000001</v>
      </c>
      <c r="J24">
        <v>15</v>
      </c>
      <c r="K24">
        <f t="shared" si="2"/>
        <v>3.4975000000000001</v>
      </c>
      <c r="M24">
        <v>15</v>
      </c>
      <c r="N24">
        <f t="shared" si="3"/>
        <v>3.4975000000000001</v>
      </c>
      <c r="P24">
        <v>15</v>
      </c>
      <c r="Q24">
        <f t="shared" si="4"/>
        <v>3.4975000000000001</v>
      </c>
      <c r="S24">
        <v>15</v>
      </c>
      <c r="T24">
        <f t="shared" si="5"/>
        <v>3.4975000000000001</v>
      </c>
      <c r="V24">
        <v>15</v>
      </c>
      <c r="W24" s="5">
        <f t="shared" si="6"/>
        <v>3.4975000000000001</v>
      </c>
    </row>
    <row r="25" spans="1:23" x14ac:dyDescent="0.45">
      <c r="A25">
        <v>20</v>
      </c>
      <c r="B25">
        <f t="shared" si="0"/>
        <v>3.4224999999999999</v>
      </c>
      <c r="D25">
        <v>20</v>
      </c>
      <c r="E25">
        <f t="shared" si="7"/>
        <v>3.4125000000000001</v>
      </c>
      <c r="G25">
        <v>20</v>
      </c>
      <c r="H25">
        <f t="shared" si="1"/>
        <v>3.4125000000000001</v>
      </c>
      <c r="J25">
        <v>20</v>
      </c>
      <c r="K25">
        <f t="shared" si="2"/>
        <v>3.4125000000000001</v>
      </c>
      <c r="M25">
        <v>20</v>
      </c>
      <c r="N25">
        <f t="shared" si="3"/>
        <v>3.4125000000000001</v>
      </c>
      <c r="P25">
        <v>20</v>
      </c>
      <c r="Q25">
        <f t="shared" si="4"/>
        <v>3.4125000000000001</v>
      </c>
      <c r="S25">
        <v>20</v>
      </c>
      <c r="T25">
        <f t="shared" si="5"/>
        <v>3.4125000000000001</v>
      </c>
      <c r="V25">
        <v>20</v>
      </c>
      <c r="W25" s="5">
        <f t="shared" si="6"/>
        <v>3.4125000000000001</v>
      </c>
    </row>
    <row r="27" spans="1:23" x14ac:dyDescent="0.45">
      <c r="A27" t="s">
        <v>18</v>
      </c>
      <c r="B27">
        <f>Duration!J43-Duration!K43</f>
        <v>-8.4549911928477606E-4</v>
      </c>
      <c r="E27">
        <f>'1Y duration'!J43-'1Y duration'!K43</f>
        <v>4.9960036108132044E-16</v>
      </c>
      <c r="H27">
        <f>'2Y duration'!J43-'2Y duration'!K43</f>
        <v>0</v>
      </c>
      <c r="K27">
        <f>'3Y duration'!J43-'3Y duration'!K43</f>
        <v>-7.2164496600635175E-16</v>
      </c>
      <c r="N27">
        <f>'4Y duration'!J43-'4Y duration'!K43</f>
        <v>0</v>
      </c>
      <c r="Q27">
        <f>'5Y duration'!J43-'5Y duration'!K43</f>
        <v>0</v>
      </c>
      <c r="T27">
        <f>'7Y duration'!J43-'7Y duration'!K43</f>
        <v>0</v>
      </c>
      <c r="W27" s="5">
        <f>'10Y duration'!J43-'10Y duration'!K43</f>
        <v>-8.4577166845561935E-4</v>
      </c>
    </row>
    <row r="28" spans="1:23" x14ac:dyDescent="0.45">
      <c r="A28" t="s">
        <v>19</v>
      </c>
      <c r="B28">
        <f>-B27/0.0001</f>
        <v>8.4549911928477606</v>
      </c>
      <c r="U28" s="2"/>
      <c r="V28" s="2"/>
      <c r="W28" s="2"/>
    </row>
    <row r="29" spans="1:23" x14ac:dyDescent="0.45">
      <c r="A29" t="s">
        <v>28</v>
      </c>
      <c r="B29">
        <v>1000000</v>
      </c>
    </row>
    <row r="33" spans="1:24" x14ac:dyDescent="0.45">
      <c r="A33" t="s">
        <v>39</v>
      </c>
      <c r="C33">
        <f>(1-Bootstrap!B34) / SUM(Bootstrap!B3:B34)/ 0.25</f>
        <v>3.4285953882477946E-2</v>
      </c>
    </row>
    <row r="34" spans="1:24" x14ac:dyDescent="0.45">
      <c r="A34" t="s">
        <v>18</v>
      </c>
      <c r="B34">
        <f>Duration!N35-Duration!O35</f>
        <v>-6.9968315460908204E-4</v>
      </c>
      <c r="E34">
        <f>'1Y duration'!N35-'1Y duration'!O35</f>
        <v>-3.9898984116604197E-9</v>
      </c>
      <c r="H34">
        <f>'2Y duration'!N35-'2Y duration'!O35</f>
        <v>-9.2413308672156802E-9</v>
      </c>
      <c r="K34">
        <f>'3Y duration'!N35-'3Y duration'!O35</f>
        <v>-1.4074048759749047E-8</v>
      </c>
      <c r="N34">
        <f>'4Y duration'!N35-'4Y duration'!O35</f>
        <v>-1.9060761108358193E-8</v>
      </c>
      <c r="Q34">
        <f>'5Y duration'!N35-'5Y duration'!O35</f>
        <v>-3.6484017085225418E-8</v>
      </c>
      <c r="T34">
        <f>'7Y duration'!N35-'7Y duration'!O35</f>
        <v>-4.0721390635600763E-4</v>
      </c>
      <c r="W34" s="5">
        <f>'10Y duration'!N35-'10Y duration'!O35</f>
        <v>-2.9273442680852191E-4</v>
      </c>
    </row>
    <row r="35" spans="1:24" x14ac:dyDescent="0.45">
      <c r="A35" t="s">
        <v>19</v>
      </c>
      <c r="B35">
        <f>-B34/0.0001</f>
        <v>6.9968315460908199</v>
      </c>
      <c r="E35">
        <f>E34/$B$34</f>
        <v>5.7024360031786165E-6</v>
      </c>
      <c r="H35">
        <f>H34/$B$34</f>
        <v>1.320787960427442E-5</v>
      </c>
      <c r="K35">
        <f>K34/$B$34</f>
        <v>2.0114888670733139E-5</v>
      </c>
      <c r="N35">
        <f>N34/$B$34</f>
        <v>2.7241989438787584E-5</v>
      </c>
      <c r="Q35">
        <f>Q34/$B$34</f>
        <v>5.2143626504212894E-5</v>
      </c>
      <c r="T35">
        <f>T34/$B$34</f>
        <v>0.5819975851548419</v>
      </c>
      <c r="U35" s="4"/>
      <c r="V35" s="4"/>
      <c r="W35" s="6">
        <f>W34/$B$34</f>
        <v>0.41838141290120773</v>
      </c>
    </row>
    <row r="37" spans="1:24" x14ac:dyDescent="0.45">
      <c r="A37" s="7" t="s">
        <v>46</v>
      </c>
    </row>
    <row r="38" spans="1:24" x14ac:dyDescent="0.45">
      <c r="A38" t="s">
        <v>42</v>
      </c>
      <c r="E38" t="s">
        <v>29</v>
      </c>
      <c r="F38" t="s">
        <v>31</v>
      </c>
      <c r="H38" t="s">
        <v>32</v>
      </c>
      <c r="I38" t="s">
        <v>31</v>
      </c>
      <c r="K38" t="s">
        <v>34</v>
      </c>
      <c r="L38" t="s">
        <v>31</v>
      </c>
      <c r="N38" t="s">
        <v>35</v>
      </c>
      <c r="O38" t="s">
        <v>31</v>
      </c>
      <c r="Q38" t="s">
        <v>36</v>
      </c>
      <c r="R38" t="s">
        <v>31</v>
      </c>
      <c r="T38" t="s">
        <v>37</v>
      </c>
      <c r="U38" t="s">
        <v>31</v>
      </c>
      <c r="W38" t="s">
        <v>38</v>
      </c>
      <c r="X38" t="s">
        <v>31</v>
      </c>
    </row>
    <row r="39" spans="1:24" x14ac:dyDescent="0.45">
      <c r="B39" t="s">
        <v>4</v>
      </c>
      <c r="C39" t="s">
        <v>5</v>
      </c>
      <c r="E39" t="s">
        <v>30</v>
      </c>
      <c r="F39" t="s">
        <v>5</v>
      </c>
      <c r="H39" t="s">
        <v>30</v>
      </c>
      <c r="I39" t="s">
        <v>5</v>
      </c>
      <c r="K39" t="s">
        <v>30</v>
      </c>
      <c r="L39" t="s">
        <v>5</v>
      </c>
      <c r="N39" t="s">
        <v>30</v>
      </c>
      <c r="O39" t="s">
        <v>5</v>
      </c>
      <c r="Q39" t="s">
        <v>30</v>
      </c>
      <c r="R39" t="s">
        <v>5</v>
      </c>
      <c r="T39" t="s">
        <v>30</v>
      </c>
      <c r="U39" t="s">
        <v>5</v>
      </c>
      <c r="W39" t="s">
        <v>30</v>
      </c>
      <c r="X39" t="s">
        <v>5</v>
      </c>
    </row>
    <row r="40" spans="1:24" x14ac:dyDescent="0.45">
      <c r="A40" cm="1">
        <f t="array" ref="A40:A79">_xlfn.SEQUENCE(40,,0.25,0.25)</f>
        <v>0.25</v>
      </c>
      <c r="B40">
        <f>Bootstrap!J3 *$B$29</f>
        <v>8602.2840119165849</v>
      </c>
      <c r="C40">
        <f>Bootstrap!K3*$B$29</f>
        <v>6951.3406156900664</v>
      </c>
      <c r="E40">
        <f>'1Y duration'!J3*$B$29</f>
        <v>8602.2840119165849</v>
      </c>
      <c r="F40">
        <f>'1Y duration'!K3*$B$29</f>
        <v>6951.3406156900664</v>
      </c>
      <c r="H40">
        <f>'2Y duration'!J3*$B$29</f>
        <v>8602.2840119165849</v>
      </c>
      <c r="I40">
        <f>'2Y duration'!K3*$B$29</f>
        <v>6951.3406156900664</v>
      </c>
      <c r="K40">
        <f>'3Y duration'!J3*$B$29</f>
        <v>8602.2840119165849</v>
      </c>
      <c r="L40">
        <f>'3Y duration'!K3*$B$29</f>
        <v>6951.3406156900664</v>
      </c>
      <c r="N40">
        <f>'4Y duration'!J3*$B$29</f>
        <v>8602.2840119165849</v>
      </c>
      <c r="O40">
        <f>'4Y duration'!K3*$B$29</f>
        <v>6951.3406156900664</v>
      </c>
      <c r="Q40">
        <f>'5Y duration'!J3*$B$29</f>
        <v>8602.2840119165849</v>
      </c>
      <c r="R40">
        <f>'5Y duration'!K3*$B$29</f>
        <v>6951.3406156900664</v>
      </c>
      <c r="T40">
        <f>'7Y duration'!J3*$B$29</f>
        <v>8602.2840119165849</v>
      </c>
      <c r="U40">
        <f>'7Y duration'!K3*$B$29</f>
        <v>6951.3406156900664</v>
      </c>
      <c r="W40">
        <f>'10Y duration'!J3*$B$29</f>
        <v>8602.2840119165849</v>
      </c>
      <c r="X40">
        <f>'10Y duration'!K3*$B$29</f>
        <v>6951.3406156900664</v>
      </c>
    </row>
    <row r="41" spans="1:24" x14ac:dyDescent="0.45">
      <c r="A41">
        <v>0.5</v>
      </c>
      <c r="B41">
        <f>Bootstrap!J4 *$B$29</f>
        <v>8539.1530454860513</v>
      </c>
      <c r="C41">
        <f>Bootstrap!K4*$B$29</f>
        <v>7287.8460525869741</v>
      </c>
      <c r="E41">
        <f>'1Y duration'!J4*$B$29</f>
        <v>8538.8693977967796</v>
      </c>
      <c r="F41">
        <f>'1Y duration'!K4*$B$29</f>
        <v>7320.5903745807072</v>
      </c>
      <c r="H41">
        <f>'2Y duration'!J4*$B$29</f>
        <v>8539.1530454860513</v>
      </c>
      <c r="I41">
        <f>'2Y duration'!K4*$B$29</f>
        <v>7287.8460525869741</v>
      </c>
      <c r="K41">
        <f>'3Y duration'!J4*$B$29</f>
        <v>8539.1530454860513</v>
      </c>
      <c r="L41">
        <f>'3Y duration'!K4*$B$29</f>
        <v>7287.8460525869741</v>
      </c>
      <c r="N41">
        <f>'4Y duration'!J4*$B$29</f>
        <v>8539.1530454860513</v>
      </c>
      <c r="O41">
        <f>'4Y duration'!K4*$B$29</f>
        <v>7287.8460525869741</v>
      </c>
      <c r="Q41">
        <f>'5Y duration'!J4*$B$29</f>
        <v>8539.1530454860513</v>
      </c>
      <c r="R41">
        <f>'5Y duration'!K4*$B$29</f>
        <v>7287.8460525869741</v>
      </c>
      <c r="T41">
        <f>'7Y duration'!J4*$B$29</f>
        <v>8539.1530454860513</v>
      </c>
      <c r="U41">
        <f>'7Y duration'!K4*$B$29</f>
        <v>7287.8460525869741</v>
      </c>
      <c r="W41">
        <f>'10Y duration'!J4*$B$29</f>
        <v>8539.1530454860513</v>
      </c>
      <c r="X41">
        <f>'10Y duration'!K4*$B$29</f>
        <v>7287.8460525869741</v>
      </c>
    </row>
    <row r="42" spans="1:24" x14ac:dyDescent="0.45">
      <c r="A42">
        <v>0.75</v>
      </c>
      <c r="B42">
        <f>Bootstrap!J5 *$B$29</f>
        <v>8476.485388441366</v>
      </c>
      <c r="C42">
        <f>Bootstrap!K5*$B$29</f>
        <v>7234.3615635999477</v>
      </c>
      <c r="E42">
        <f>'1Y duration'!J5*$B$29</f>
        <v>8475.9222657176033</v>
      </c>
      <c r="F42">
        <f>'1Y duration'!K5*$B$29</f>
        <v>7266.6241938442763</v>
      </c>
      <c r="H42">
        <f>'2Y duration'!J5*$B$29</f>
        <v>8476.485388441366</v>
      </c>
      <c r="I42">
        <f>'2Y duration'!K5*$B$29</f>
        <v>7234.3615635999477</v>
      </c>
      <c r="K42">
        <f>'3Y duration'!J5*$B$29</f>
        <v>8476.485388441366</v>
      </c>
      <c r="L42">
        <f>'3Y duration'!K5*$B$29</f>
        <v>7234.3615635999477</v>
      </c>
      <c r="N42">
        <f>'4Y duration'!J5*$B$29</f>
        <v>8476.485388441366</v>
      </c>
      <c r="O42">
        <f>'4Y duration'!K5*$B$29</f>
        <v>7234.3615635999477</v>
      </c>
      <c r="Q42">
        <f>'5Y duration'!J5*$B$29</f>
        <v>8476.485388441366</v>
      </c>
      <c r="R42">
        <f>'5Y duration'!K5*$B$29</f>
        <v>7234.3615635999477</v>
      </c>
      <c r="T42">
        <f>'7Y duration'!J5*$B$29</f>
        <v>8476.485388441366</v>
      </c>
      <c r="U42">
        <f>'7Y duration'!K5*$B$29</f>
        <v>7234.3615635999477</v>
      </c>
      <c r="W42">
        <f>'10Y duration'!J5*$B$29</f>
        <v>8476.485388441366</v>
      </c>
      <c r="X42">
        <f>'10Y duration'!K5*$B$29</f>
        <v>7234.3615635999477</v>
      </c>
    </row>
    <row r="43" spans="1:24" x14ac:dyDescent="0.45">
      <c r="A43">
        <v>1</v>
      </c>
      <c r="B43">
        <f>Bootstrap!J6 *$B$29</f>
        <v>8414.277640619357</v>
      </c>
      <c r="C43">
        <f>Bootstrap!K6*$B$29</f>
        <v>7181.2695898421298</v>
      </c>
      <c r="E43">
        <f>'1Y duration'!J6*$B$29</f>
        <v>8413.4391694788155</v>
      </c>
      <c r="F43">
        <f>'1Y duration'!K6*$B$29</f>
        <v>7213.0558428612203</v>
      </c>
      <c r="H43">
        <f>'2Y duration'!J6*$B$29</f>
        <v>8414.277640619357</v>
      </c>
      <c r="I43">
        <f>'2Y duration'!K6*$B$29</f>
        <v>7181.2695898421298</v>
      </c>
      <c r="K43">
        <f>'3Y duration'!J6*$B$29</f>
        <v>8414.277640619357</v>
      </c>
      <c r="L43">
        <f>'3Y duration'!K6*$B$29</f>
        <v>7181.2695898421298</v>
      </c>
      <c r="N43">
        <f>'4Y duration'!J6*$B$29</f>
        <v>8414.277640619357</v>
      </c>
      <c r="O43">
        <f>'4Y duration'!K6*$B$29</f>
        <v>7181.2695898421298</v>
      </c>
      <c r="Q43">
        <f>'5Y duration'!J6*$B$29</f>
        <v>8414.277640619357</v>
      </c>
      <c r="R43">
        <f>'5Y duration'!K6*$B$29</f>
        <v>7181.2695898421298</v>
      </c>
      <c r="T43">
        <f>'7Y duration'!J6*$B$29</f>
        <v>8414.277640619357</v>
      </c>
      <c r="U43">
        <f>'7Y duration'!K6*$B$29</f>
        <v>7181.2695898421298</v>
      </c>
      <c r="W43">
        <f>'10Y duration'!J6*$B$29</f>
        <v>8414.277640619357</v>
      </c>
      <c r="X43">
        <f>'10Y duration'!K6*$B$29</f>
        <v>7181.2695898421298</v>
      </c>
    </row>
    <row r="44" spans="1:24" x14ac:dyDescent="0.45">
      <c r="A44">
        <v>1.25</v>
      </c>
      <c r="B44">
        <f>Bootstrap!J7 *$B$29</f>
        <v>8346.1953408003264</v>
      </c>
      <c r="C44">
        <f>Bootstrap!K7*$B$29</f>
        <v>7859.4285505375337</v>
      </c>
      <c r="E44">
        <f>'1Y duration'!J7*$B$29</f>
        <v>8345.577242797106</v>
      </c>
      <c r="F44">
        <f>'1Y duration'!K7*$B$29</f>
        <v>7833.9886501253704</v>
      </c>
      <c r="H44">
        <f>'2Y duration'!J7*$B$29</f>
        <v>8345.7743544203295</v>
      </c>
      <c r="I44">
        <f>'2Y duration'!K7*$B$29</f>
        <v>7908.0272668429707</v>
      </c>
      <c r="K44">
        <f>'3Y duration'!J7*$B$29</f>
        <v>8346.1953408003264</v>
      </c>
      <c r="L44">
        <f>'3Y duration'!K7*$B$29</f>
        <v>7859.4285505375337</v>
      </c>
      <c r="N44">
        <f>'4Y duration'!J7*$B$29</f>
        <v>8346.1953408003264</v>
      </c>
      <c r="O44">
        <f>'4Y duration'!K7*$B$29</f>
        <v>7859.4285505375337</v>
      </c>
      <c r="Q44">
        <f>'5Y duration'!J7*$B$29</f>
        <v>8346.1953408003264</v>
      </c>
      <c r="R44">
        <f>'5Y duration'!K7*$B$29</f>
        <v>7859.4285505375337</v>
      </c>
      <c r="T44">
        <f>'7Y duration'!J7*$B$29</f>
        <v>8346.1953408003264</v>
      </c>
      <c r="U44">
        <f>'7Y duration'!K7*$B$29</f>
        <v>7859.4285505375337</v>
      </c>
      <c r="W44">
        <f>'10Y duration'!J7*$B$29</f>
        <v>8346.1953408003264</v>
      </c>
      <c r="X44">
        <f>'10Y duration'!K7*$B$29</f>
        <v>7859.4285505375337</v>
      </c>
    </row>
    <row r="45" spans="1:24" x14ac:dyDescent="0.45">
      <c r="A45">
        <v>1.5</v>
      </c>
      <c r="B45">
        <f>Bootstrap!J8 *$B$29</f>
        <v>8278.6639141217638</v>
      </c>
      <c r="C45">
        <f>Bootstrap!K8*$B$29</f>
        <v>7795.8356916089633</v>
      </c>
      <c r="E45">
        <f>'1Y duration'!J8*$B$29</f>
        <v>8278.2626833691629</v>
      </c>
      <c r="F45">
        <f>'1Y duration'!K8*$B$29</f>
        <v>7770.800511162086</v>
      </c>
      <c r="H45">
        <f>'2Y duration'!J8*$B$29</f>
        <v>8277.8287750644213</v>
      </c>
      <c r="I45">
        <f>'2Y duration'!K8*$B$29</f>
        <v>7843.6455244917188</v>
      </c>
      <c r="K45">
        <f>'3Y duration'!J8*$B$29</f>
        <v>8278.6639141217638</v>
      </c>
      <c r="L45">
        <f>'3Y duration'!K8*$B$29</f>
        <v>7795.8356916089633</v>
      </c>
      <c r="N45">
        <f>'4Y duration'!J8*$B$29</f>
        <v>8278.6639141217638</v>
      </c>
      <c r="O45">
        <f>'4Y duration'!K8*$B$29</f>
        <v>7795.8356916089633</v>
      </c>
      <c r="Q45">
        <f>'5Y duration'!J8*$B$29</f>
        <v>8278.6639141217638</v>
      </c>
      <c r="R45">
        <f>'5Y duration'!K8*$B$29</f>
        <v>7795.8356916089633</v>
      </c>
      <c r="T45">
        <f>'7Y duration'!J8*$B$29</f>
        <v>8278.6639141217638</v>
      </c>
      <c r="U45">
        <f>'7Y duration'!K8*$B$29</f>
        <v>7795.8356916089633</v>
      </c>
      <c r="W45">
        <f>'10Y duration'!J8*$B$29</f>
        <v>8278.6639141217638</v>
      </c>
      <c r="X45">
        <f>'10Y duration'!K8*$B$29</f>
        <v>7795.8356916089633</v>
      </c>
    </row>
    <row r="46" spans="1:24" x14ac:dyDescent="0.45">
      <c r="A46">
        <v>1.75</v>
      </c>
      <c r="B46">
        <f>Bootstrap!J9 *$B$29</f>
        <v>8211.67890331331</v>
      </c>
      <c r="C46">
        <f>Bootstrap!K9*$B$29</f>
        <v>7732.7573804852836</v>
      </c>
      <c r="E46">
        <f>'1Y duration'!J9*$B$29</f>
        <v>8211.4910761875617</v>
      </c>
      <c r="F46">
        <f>'1Y duration'!K9*$B$29</f>
        <v>7708.1220411661643</v>
      </c>
      <c r="H46">
        <f>'2Y duration'!J9*$B$29</f>
        <v>8210.436362084447</v>
      </c>
      <c r="I46">
        <f>'2Y duration'!K9*$B$29</f>
        <v>7779.7879341961325</v>
      </c>
      <c r="K46">
        <f>'3Y duration'!J9*$B$29</f>
        <v>8211.67890331331</v>
      </c>
      <c r="L46">
        <f>'3Y duration'!K9*$B$29</f>
        <v>7732.7573804852836</v>
      </c>
      <c r="N46">
        <f>'4Y duration'!J9*$B$29</f>
        <v>8211.67890331331</v>
      </c>
      <c r="O46">
        <f>'4Y duration'!K9*$B$29</f>
        <v>7732.7573804852836</v>
      </c>
      <c r="Q46">
        <f>'5Y duration'!J9*$B$29</f>
        <v>8211.67890331331</v>
      </c>
      <c r="R46">
        <f>'5Y duration'!K9*$B$29</f>
        <v>7732.7573804852836</v>
      </c>
      <c r="T46">
        <f>'7Y duration'!J9*$B$29</f>
        <v>8211.67890331331</v>
      </c>
      <c r="U46">
        <f>'7Y duration'!K9*$B$29</f>
        <v>7732.7573804852836</v>
      </c>
      <c r="W46">
        <f>'10Y duration'!J9*$B$29</f>
        <v>8211.67890331331</v>
      </c>
      <c r="X46">
        <f>'10Y duration'!K9*$B$29</f>
        <v>7732.7573804852836</v>
      </c>
    </row>
    <row r="47" spans="1:24" x14ac:dyDescent="0.45">
      <c r="A47">
        <v>2</v>
      </c>
      <c r="B47">
        <f>Bootstrap!J10 *$B$29</f>
        <v>8145.2358871696406</v>
      </c>
      <c r="C47">
        <f>Bootstrap!K10*$B$29</f>
        <v>7670.1894538146926</v>
      </c>
      <c r="E47">
        <f>'1Y duration'!J10*$B$29</f>
        <v>8145.25804185586</v>
      </c>
      <c r="F47">
        <f>'1Y duration'!K10*$B$29</f>
        <v>7645.9491292006396</v>
      </c>
      <c r="H47">
        <f>'2Y duration'!J10*$B$29</f>
        <v>8143.5926119786009</v>
      </c>
      <c r="I47">
        <f>'2Y duration'!K10*$B$29</f>
        <v>7716.4502286691331</v>
      </c>
      <c r="K47">
        <f>'3Y duration'!J10*$B$29</f>
        <v>8145.2358871696406</v>
      </c>
      <c r="L47">
        <f>'3Y duration'!K10*$B$29</f>
        <v>7670.1894538146926</v>
      </c>
      <c r="N47">
        <f>'4Y duration'!J10*$B$29</f>
        <v>8145.2358871696406</v>
      </c>
      <c r="O47">
        <f>'4Y duration'!K10*$B$29</f>
        <v>7670.1894538146926</v>
      </c>
      <c r="Q47">
        <f>'5Y duration'!J10*$B$29</f>
        <v>8145.2358871696406</v>
      </c>
      <c r="R47">
        <f>'5Y duration'!K10*$B$29</f>
        <v>7670.1894538146926</v>
      </c>
      <c r="T47">
        <f>'7Y duration'!J10*$B$29</f>
        <v>8145.2358871696406</v>
      </c>
      <c r="U47">
        <f>'7Y duration'!K10*$B$29</f>
        <v>7670.1894538146926</v>
      </c>
      <c r="W47">
        <f>'10Y duration'!J10*$B$29</f>
        <v>8145.2358871696406</v>
      </c>
      <c r="X47">
        <f>'10Y duration'!K10*$B$29</f>
        <v>7670.1894538146926</v>
      </c>
    </row>
    <row r="48" spans="1:24" x14ac:dyDescent="0.45">
      <c r="A48">
        <v>2.25</v>
      </c>
      <c r="B48">
        <f>Bootstrap!J11 *$B$29</f>
        <v>8075.856483382654</v>
      </c>
      <c r="C48">
        <f>Bootstrap!K11*$B$29</f>
        <v>8009.1663823360859</v>
      </c>
      <c r="E48">
        <f>'1Y duration'!J11*$B$29</f>
        <v>8075.878665215022</v>
      </c>
      <c r="F48">
        <f>'1Y duration'!K11*$B$29</f>
        <v>8009.1632485815599</v>
      </c>
      <c r="H48">
        <f>'2Y duration'!J11*$B$29</f>
        <v>8074.6477111984432</v>
      </c>
      <c r="I48">
        <f>'2Y duration'!K11*$B$29</f>
        <v>7959.0073050686187</v>
      </c>
      <c r="K48">
        <f>'3Y duration'!J11*$B$29</f>
        <v>8075.2347536339266</v>
      </c>
      <c r="L48">
        <f>'3Y duration'!K11*$B$29</f>
        <v>8080.938936301799</v>
      </c>
      <c r="N48">
        <f>'4Y duration'!J11*$B$29</f>
        <v>8075.856483382654</v>
      </c>
      <c r="O48">
        <f>'4Y duration'!K11*$B$29</f>
        <v>8009.1663823360859</v>
      </c>
      <c r="Q48">
        <f>'5Y duration'!J11*$B$29</f>
        <v>8075.856483382654</v>
      </c>
      <c r="R48">
        <f>'5Y duration'!K11*$B$29</f>
        <v>8009.1663823360859</v>
      </c>
      <c r="T48">
        <f>'7Y duration'!J11*$B$29</f>
        <v>8075.856483382654</v>
      </c>
      <c r="U48">
        <f>'7Y duration'!K11*$B$29</f>
        <v>8009.1663823360859</v>
      </c>
      <c r="W48">
        <f>'10Y duration'!J11*$B$29</f>
        <v>8075.856483382654</v>
      </c>
      <c r="X48">
        <f>'10Y duration'!K11*$B$29</f>
        <v>8009.1663823360859</v>
      </c>
    </row>
    <row r="49" spans="1:24" x14ac:dyDescent="0.45">
      <c r="A49">
        <v>2.5</v>
      </c>
      <c r="B49">
        <f>Bootstrap!J12 *$B$29</f>
        <v>8007.0680387448592</v>
      </c>
      <c r="C49">
        <f>Bootstrap!K12*$B$29</f>
        <v>7940.9459899331423</v>
      </c>
      <c r="E49">
        <f>'1Y duration'!J12*$B$29</f>
        <v>8007.0902456535478</v>
      </c>
      <c r="F49">
        <f>'1Y duration'!K12*$B$29</f>
        <v>7940.9430951197683</v>
      </c>
      <c r="H49">
        <f>'2Y duration'!J12*$B$29</f>
        <v>8006.286508494808</v>
      </c>
      <c r="I49">
        <f>'2Y duration'!K12*$B$29</f>
        <v>7891.625131732817</v>
      </c>
      <c r="K49">
        <f>'3Y duration'!J12*$B$29</f>
        <v>8005.8352182304398</v>
      </c>
      <c r="L49">
        <f>'3Y duration'!K12*$B$29</f>
        <v>8011.4903784687385</v>
      </c>
      <c r="N49">
        <f>'4Y duration'!J12*$B$29</f>
        <v>8007.0680387448592</v>
      </c>
      <c r="O49">
        <f>'4Y duration'!K12*$B$29</f>
        <v>7940.9459899331423</v>
      </c>
      <c r="Q49">
        <f>'5Y duration'!J12*$B$29</f>
        <v>8007.0680387448592</v>
      </c>
      <c r="R49">
        <f>'5Y duration'!K12*$B$29</f>
        <v>7940.9459899331423</v>
      </c>
      <c r="T49">
        <f>'7Y duration'!J12*$B$29</f>
        <v>8007.0680387448592</v>
      </c>
      <c r="U49">
        <f>'7Y duration'!K12*$B$29</f>
        <v>7940.9459899331423</v>
      </c>
      <c r="W49">
        <f>'10Y duration'!J12*$B$29</f>
        <v>8007.0680387448592</v>
      </c>
      <c r="X49">
        <f>'10Y duration'!K12*$B$29</f>
        <v>7940.9459899331423</v>
      </c>
    </row>
    <row r="50" spans="1:24" x14ac:dyDescent="0.45">
      <c r="A50">
        <v>2.75</v>
      </c>
      <c r="B50">
        <f>Bootstrap!J13 *$B$29</f>
        <v>7938.8655195906831</v>
      </c>
      <c r="C50">
        <f>Bootstrap!K13*$B$29</f>
        <v>7873.3066844645236</v>
      </c>
      <c r="E50">
        <f>'1Y duration'!J13*$B$29</f>
        <v>7938.8877495391589</v>
      </c>
      <c r="F50">
        <f>'1Y duration'!K13*$B$29</f>
        <v>7873.304024749169</v>
      </c>
      <c r="H50">
        <f>'2Y duration'!J13*$B$29</f>
        <v>7938.50406219049</v>
      </c>
      <c r="I50">
        <f>'2Y duration'!K13*$B$29</f>
        <v>7824.8134261839405</v>
      </c>
      <c r="K50">
        <f>'3Y duration'!J13*$B$29</f>
        <v>7937.0321107527261</v>
      </c>
      <c r="L50">
        <f>'3Y duration'!K13*$B$29</f>
        <v>7942.6386698660863</v>
      </c>
      <c r="N50">
        <f>'4Y duration'!J13*$B$29</f>
        <v>7938.8655195906831</v>
      </c>
      <c r="O50">
        <f>'4Y duration'!K13*$B$29</f>
        <v>7873.3066844645236</v>
      </c>
      <c r="Q50">
        <f>'5Y duration'!J13*$B$29</f>
        <v>7938.8655195906831</v>
      </c>
      <c r="R50">
        <f>'5Y duration'!K13*$B$29</f>
        <v>7873.3066844645236</v>
      </c>
      <c r="T50">
        <f>'7Y duration'!J13*$B$29</f>
        <v>7938.8655195906831</v>
      </c>
      <c r="U50">
        <f>'7Y duration'!K13*$B$29</f>
        <v>7873.3066844645236</v>
      </c>
      <c r="W50">
        <f>'10Y duration'!J13*$B$29</f>
        <v>7938.8655195906831</v>
      </c>
      <c r="X50">
        <f>'10Y duration'!K13*$B$29</f>
        <v>7873.3066844645236</v>
      </c>
    </row>
    <row r="51" spans="1:24" x14ac:dyDescent="0.45">
      <c r="A51">
        <v>3</v>
      </c>
      <c r="B51">
        <f>Bootstrap!J14 *$B$29</f>
        <v>7871.2439351302646</v>
      </c>
      <c r="C51">
        <f>Bootstrap!K14*$B$29</f>
        <v>7806.2435163541077</v>
      </c>
      <c r="E51">
        <f>'1Y duration'!J14*$B$29</f>
        <v>7871.2661861148636</v>
      </c>
      <c r="F51">
        <f>'1Y duration'!K14*$B$29</f>
        <v>7806.2410879417757</v>
      </c>
      <c r="H51">
        <f>'2Y duration'!J14*$B$29</f>
        <v>7871.2954724452775</v>
      </c>
      <c r="I51">
        <f>'2Y duration'!K14*$B$29</f>
        <v>7758.5673587544434</v>
      </c>
      <c r="K51">
        <f>'3Y duration'!J14*$B$29</f>
        <v>7868.8203054276973</v>
      </c>
      <c r="L51">
        <f>'3Y duration'!K14*$B$29</f>
        <v>7874.3786811000109</v>
      </c>
      <c r="N51">
        <f>'4Y duration'!J14*$B$29</f>
        <v>7871.2439351302646</v>
      </c>
      <c r="O51">
        <f>'4Y duration'!K14*$B$29</f>
        <v>7806.2435163541077</v>
      </c>
      <c r="Q51">
        <f>'5Y duration'!J14*$B$29</f>
        <v>7871.2439351302646</v>
      </c>
      <c r="R51">
        <f>'5Y duration'!K14*$B$29</f>
        <v>7806.2435163541077</v>
      </c>
      <c r="T51">
        <f>'7Y duration'!J14*$B$29</f>
        <v>7871.2439351302646</v>
      </c>
      <c r="U51">
        <f>'7Y duration'!K14*$B$29</f>
        <v>7806.2435163541077</v>
      </c>
      <c r="W51">
        <f>'10Y duration'!J14*$B$29</f>
        <v>7871.2439351302646</v>
      </c>
      <c r="X51">
        <f>'10Y duration'!K14*$B$29</f>
        <v>7806.2435163541077</v>
      </c>
    </row>
    <row r="52" spans="1:24" x14ac:dyDescent="0.45">
      <c r="A52">
        <v>3.25</v>
      </c>
      <c r="B52">
        <f>Bootstrap!J15 *$B$29</f>
        <v>7803.0700310530283</v>
      </c>
      <c r="C52">
        <f>Bootstrap!K15*$B$29</f>
        <v>7870.0033566796064</v>
      </c>
      <c r="E52">
        <f>'1Y duration'!J15*$B$29</f>
        <v>7803.092224000382</v>
      </c>
      <c r="F52">
        <f>'1Y duration'!K15*$B$29</f>
        <v>7870.0100565057119</v>
      </c>
      <c r="H52">
        <f>'2Y duration'!J15*$B$29</f>
        <v>7803.1214339432463</v>
      </c>
      <c r="I52">
        <f>'2Y duration'!K15*$B$29</f>
        <v>7870.0188746934546</v>
      </c>
      <c r="K52">
        <f>'3Y duration'!J15*$B$29</f>
        <v>7801.2879055330159</v>
      </c>
      <c r="L52">
        <f>'3Y duration'!K15*$B$29</f>
        <v>7795.9480397901007</v>
      </c>
      <c r="N52">
        <f>'4Y duration'!J15*$B$29</f>
        <v>7802.2546030212188</v>
      </c>
      <c r="O52">
        <f>'4Y duration'!K15*$B$29</f>
        <v>7964.1364628047895</v>
      </c>
      <c r="Q52">
        <f>'5Y duration'!J15*$B$29</f>
        <v>7803.0700310530283</v>
      </c>
      <c r="R52">
        <f>'5Y duration'!K15*$B$29</f>
        <v>7870.0033566796064</v>
      </c>
      <c r="T52">
        <f>'7Y duration'!J15*$B$29</f>
        <v>7803.0700310530283</v>
      </c>
      <c r="U52">
        <f>'7Y duration'!K15*$B$29</f>
        <v>7870.0033566796064</v>
      </c>
      <c r="W52">
        <f>'10Y duration'!J15*$B$29</f>
        <v>7803.0700310530283</v>
      </c>
      <c r="X52">
        <f>'10Y duration'!K15*$B$29</f>
        <v>7870.0033566796064</v>
      </c>
    </row>
    <row r="53" spans="1:24" x14ac:dyDescent="0.45">
      <c r="A53">
        <v>3.5</v>
      </c>
      <c r="B53">
        <f>Bootstrap!J16 *$B$29</f>
        <v>7735.4865903428836</v>
      </c>
      <c r="C53">
        <f>Bootstrap!K16*$B$29</f>
        <v>7801.8401974194521</v>
      </c>
      <c r="E53">
        <f>'1Y duration'!J16*$B$29</f>
        <v>7735.5087245891664</v>
      </c>
      <c r="F53">
        <f>'1Y duration'!K16*$B$29</f>
        <v>7801.8469738776967</v>
      </c>
      <c r="H53">
        <f>'2Y duration'!J16*$B$29</f>
        <v>7735.5378572707768</v>
      </c>
      <c r="I53">
        <f>'2Y duration'!K16*$B$29</f>
        <v>7801.8558929257342</v>
      </c>
      <c r="K53">
        <f>'3Y duration'!J16*$B$29</f>
        <v>7734.3350874382131</v>
      </c>
      <c r="L53">
        <f>'3Y duration'!K16*$B$29</f>
        <v>7729.0410499052114</v>
      </c>
      <c r="N53">
        <f>'4Y duration'!J16*$B$29</f>
        <v>7733.8699438182693</v>
      </c>
      <c r="O53">
        <f>'4Y duration'!K16*$B$29</f>
        <v>7894.332952721461</v>
      </c>
      <c r="Q53">
        <f>'5Y duration'!J16*$B$29</f>
        <v>7735.4865903428836</v>
      </c>
      <c r="R53">
        <f>'5Y duration'!K16*$B$29</f>
        <v>7801.8401974194521</v>
      </c>
      <c r="T53">
        <f>'7Y duration'!J16*$B$29</f>
        <v>7735.4865903428836</v>
      </c>
      <c r="U53">
        <f>'7Y duration'!K16*$B$29</f>
        <v>7801.8401974194521</v>
      </c>
      <c r="W53">
        <f>'10Y duration'!J16*$B$29</f>
        <v>7735.4865903428836</v>
      </c>
      <c r="X53">
        <f>'10Y duration'!K16*$B$29</f>
        <v>7801.8401974194521</v>
      </c>
    </row>
    <row r="54" spans="1:24" x14ac:dyDescent="0.45">
      <c r="A54">
        <v>3.75</v>
      </c>
      <c r="B54">
        <f>Bootstrap!J17 *$B$29</f>
        <v>7668.488498917065</v>
      </c>
      <c r="C54">
        <f>Bootstrap!K17*$B$29</f>
        <v>7734.2674084638857</v>
      </c>
      <c r="E54">
        <f>'1Y duration'!J17*$B$29</f>
        <v>7668.5105738143056</v>
      </c>
      <c r="F54">
        <f>'1Y duration'!K17*$B$29</f>
        <v>7734.2742597242377</v>
      </c>
      <c r="H54">
        <f>'2Y duration'!J17*$B$29</f>
        <v>7668.53962838182</v>
      </c>
      <c r="I54">
        <f>'2Y duration'!K17*$B$29</f>
        <v>7734.2832772245429</v>
      </c>
      <c r="K54">
        <f>'3Y duration'!J17*$B$29</f>
        <v>7667.9568770114147</v>
      </c>
      <c r="L54">
        <f>'3Y duration'!K17*$B$29</f>
        <v>7662.7082743779101</v>
      </c>
      <c r="N54">
        <f>'4Y duration'!J17*$B$29</f>
        <v>7666.0846577263301</v>
      </c>
      <c r="O54">
        <f>'4Y duration'!K17*$B$29</f>
        <v>7825.1412515947859</v>
      </c>
      <c r="Q54">
        <f>'5Y duration'!J17*$B$29</f>
        <v>7668.488498917065</v>
      </c>
      <c r="R54">
        <f>'5Y duration'!K17*$B$29</f>
        <v>7734.2674084638857</v>
      </c>
      <c r="T54">
        <f>'7Y duration'!J17*$B$29</f>
        <v>7668.488498917065</v>
      </c>
      <c r="U54">
        <f>'7Y duration'!K17*$B$29</f>
        <v>7734.2674084638857</v>
      </c>
      <c r="W54">
        <f>'10Y duration'!J17*$B$29</f>
        <v>7668.488498917065</v>
      </c>
      <c r="X54">
        <f>'10Y duration'!K17*$B$29</f>
        <v>7734.2674084638857</v>
      </c>
    </row>
    <row r="55" spans="1:24" x14ac:dyDescent="0.45">
      <c r="A55">
        <v>4</v>
      </c>
      <c r="B55">
        <f>Bootstrap!J18 *$B$29</f>
        <v>7602.0706869865653</v>
      </c>
      <c r="C55">
        <f>Bootstrap!K18*$B$29</f>
        <v>7667.2798765367534</v>
      </c>
      <c r="E55">
        <f>'1Y duration'!J18*$B$29</f>
        <v>7602.092701902422</v>
      </c>
      <c r="F55">
        <f>'1Y duration'!K18*$B$29</f>
        <v>7667.2868007945535</v>
      </c>
      <c r="H55">
        <f>'2Y duration'!J18*$B$29</f>
        <v>7602.1216775235671</v>
      </c>
      <c r="I55">
        <f>'2Y duration'!K18*$B$29</f>
        <v>7667.2959143724593</v>
      </c>
      <c r="K55">
        <f>'3Y duration'!J18*$B$29</f>
        <v>7602.1483428101292</v>
      </c>
      <c r="L55">
        <f>'3Y duration'!K18*$B$29</f>
        <v>7596.9447851412033</v>
      </c>
      <c r="N55">
        <f>'4Y duration'!J18*$B$29</f>
        <v>7598.8934914015881</v>
      </c>
      <c r="O55">
        <f>'4Y duration'!K18*$B$29</f>
        <v>7756.5559970841159</v>
      </c>
      <c r="Q55">
        <f>'5Y duration'!J18*$B$29</f>
        <v>7602.0706869865653</v>
      </c>
      <c r="R55">
        <f>'5Y duration'!K18*$B$29</f>
        <v>7667.2798765367534</v>
      </c>
      <c r="T55">
        <f>'7Y duration'!J18*$B$29</f>
        <v>7602.0706869865653</v>
      </c>
      <c r="U55">
        <f>'7Y duration'!K18*$B$29</f>
        <v>7667.2798765367534</v>
      </c>
      <c r="W55">
        <f>'10Y duration'!J18*$B$29</f>
        <v>7602.0706869865653</v>
      </c>
      <c r="X55">
        <f>'10Y duration'!K18*$B$29</f>
        <v>7667.2798765367534</v>
      </c>
    </row>
    <row r="56" spans="1:24" x14ac:dyDescent="0.45">
      <c r="A56">
        <v>4.25</v>
      </c>
      <c r="B56">
        <f>Bootstrap!J19 *$B$29</f>
        <v>7534.9181686818329</v>
      </c>
      <c r="C56">
        <f>Bootstrap!K19*$B$29</f>
        <v>7752.0944651927803</v>
      </c>
      <c r="E56">
        <f>'1Y duration'!J19*$B$29</f>
        <v>7534.9400952339665</v>
      </c>
      <c r="F56">
        <f>'1Y duration'!K19*$B$29</f>
        <v>7752.1046659111089</v>
      </c>
      <c r="H56">
        <f>'2Y duration'!J19*$B$29</f>
        <v>7534.9689545524234</v>
      </c>
      <c r="I56">
        <f>'2Y duration'!K19*$B$29</f>
        <v>7752.1180919069893</v>
      </c>
      <c r="K56">
        <f>'3Y duration'!J19*$B$29</f>
        <v>7534.9955128095362</v>
      </c>
      <c r="L56">
        <f>'3Y duration'!K19*$B$29</f>
        <v>7752.1304473988439</v>
      </c>
      <c r="N56">
        <f>'4Y duration'!J19*$B$29</f>
        <v>7532.5827566458474</v>
      </c>
      <c r="O56">
        <f>'4Y duration'!K19*$B$29</f>
        <v>7654.9188751216716</v>
      </c>
      <c r="Q56">
        <f>'5Y duration'!J19*$B$29</f>
        <v>7533.9155495231234</v>
      </c>
      <c r="R56">
        <f>'5Y duration'!K19*$B$29</f>
        <v>7867.8369366167972</v>
      </c>
      <c r="T56">
        <f>'7Y duration'!J19*$B$29</f>
        <v>7534.9181686818329</v>
      </c>
      <c r="U56">
        <f>'7Y duration'!K19*$B$29</f>
        <v>7752.0944651927803</v>
      </c>
      <c r="W56">
        <f>'10Y duration'!J19*$B$29</f>
        <v>7534.9181686818329</v>
      </c>
      <c r="X56">
        <f>'10Y duration'!K19*$B$29</f>
        <v>7752.0944651927803</v>
      </c>
    </row>
    <row r="57" spans="1:24" x14ac:dyDescent="0.45">
      <c r="A57">
        <v>4.5</v>
      </c>
      <c r="B57">
        <f>Bootstrap!J20 *$B$29</f>
        <v>7468.3588388517073</v>
      </c>
      <c r="C57">
        <f>Bootstrap!K20*$B$29</f>
        <v>7683.6167192064131</v>
      </c>
      <c r="E57">
        <f>'1Y duration'!J20*$B$29</f>
        <v>7468.380676883412</v>
      </c>
      <c r="F57">
        <f>'1Y duration'!K20*$B$29</f>
        <v>7683.6269380148997</v>
      </c>
      <c r="H57">
        <f>'2Y duration'!J20*$B$29</f>
        <v>7468.4094196929309</v>
      </c>
      <c r="I57">
        <f>'2Y duration'!K20*$B$29</f>
        <v>7683.6403878201736</v>
      </c>
      <c r="K57">
        <f>'3Y duration'!J20*$B$29</f>
        <v>7468.4358707307974</v>
      </c>
      <c r="L57">
        <f>'3Y duration'!K20*$B$29</f>
        <v>7683.6527652224713</v>
      </c>
      <c r="N57">
        <f>'4Y duration'!J20*$B$29</f>
        <v>7466.8506737094549</v>
      </c>
      <c r="O57">
        <f>'4Y duration'!K20*$B$29</f>
        <v>7588.1192422962758</v>
      </c>
      <c r="Q57">
        <f>'5Y duration'!J20*$B$29</f>
        <v>7466.3714459416206</v>
      </c>
      <c r="R57">
        <f>'5Y duration'!K20*$B$29</f>
        <v>7797.2991147478742</v>
      </c>
      <c r="T57">
        <f>'7Y duration'!J20*$B$29</f>
        <v>7468.3588388517073</v>
      </c>
      <c r="U57">
        <f>'7Y duration'!K20*$B$29</f>
        <v>7683.6167192064131</v>
      </c>
      <c r="W57">
        <f>'10Y duration'!J20*$B$29</f>
        <v>7468.3588388517073</v>
      </c>
      <c r="X57">
        <f>'10Y duration'!K20*$B$29</f>
        <v>7683.6167192064131</v>
      </c>
    </row>
    <row r="58" spans="1:24" x14ac:dyDescent="0.45">
      <c r="A58">
        <v>4.75</v>
      </c>
      <c r="B58">
        <f>Bootstrap!J21 *$B$29</f>
        <v>7402.3874575949121</v>
      </c>
      <c r="C58">
        <f>Bootstrap!K21*$B$29</f>
        <v>7615.7438680283358</v>
      </c>
      <c r="E58">
        <f>'1Y duration'!J21*$B$29</f>
        <v>7402.4092069591452</v>
      </c>
      <c r="F58">
        <f>'1Y duration'!K21*$B$29</f>
        <v>7615.7541038116151</v>
      </c>
      <c r="H58">
        <f>'2Y duration'!J21*$B$29</f>
        <v>7402.4378330661966</v>
      </c>
      <c r="I58">
        <f>'2Y duration'!K21*$B$29</f>
        <v>7615.7675759578324</v>
      </c>
      <c r="K58">
        <f>'3Y duration'!J21*$B$29</f>
        <v>7402.4641767067205</v>
      </c>
      <c r="L58">
        <f>'3Y duration'!K21*$B$29</f>
        <v>7615.779973919397</v>
      </c>
      <c r="N58">
        <f>'4Y duration'!J21*$B$29</f>
        <v>7401.6921930641693</v>
      </c>
      <c r="O58">
        <f>'4Y duration'!K21*$B$29</f>
        <v>7521.9025275942986</v>
      </c>
      <c r="Q58">
        <f>'5Y duration'!J21*$B$29</f>
        <v>7399.4328981164372</v>
      </c>
      <c r="R58">
        <f>'5Y duration'!K21*$B$29</f>
        <v>7727.3936883328879</v>
      </c>
      <c r="T58">
        <f>'7Y duration'!J21*$B$29</f>
        <v>7402.3874575949121</v>
      </c>
      <c r="U58">
        <f>'7Y duration'!K21*$B$29</f>
        <v>7615.7438680283358</v>
      </c>
      <c r="W58">
        <f>'10Y duration'!J21*$B$29</f>
        <v>7402.3874575949121</v>
      </c>
      <c r="X58">
        <f>'10Y duration'!K21*$B$29</f>
        <v>7615.7438680283358</v>
      </c>
    </row>
    <row r="59" spans="1:24" x14ac:dyDescent="0.45">
      <c r="A59">
        <v>5</v>
      </c>
      <c r="B59">
        <f>Bootstrap!J22 *$B$29</f>
        <v>7336.9988312965797</v>
      </c>
      <c r="C59">
        <f>Bootstrap!K22*$B$29</f>
        <v>7548.4705683499496</v>
      </c>
      <c r="E59">
        <f>'1Y duration'!J22*$B$29</f>
        <v>7337.0204918558047</v>
      </c>
      <c r="F59">
        <f>'1Y duration'!K22*$B$29</f>
        <v>7548.4808200103816</v>
      </c>
      <c r="H59">
        <f>'2Y duration'!J22*$B$29</f>
        <v>7337.0490010793674</v>
      </c>
      <c r="I59">
        <f>'2Y duration'!K22*$B$29</f>
        <v>7548.4943130537422</v>
      </c>
      <c r="K59">
        <f>'3Y duration'!J22*$B$29</f>
        <v>7337.0752371559684</v>
      </c>
      <c r="L59">
        <f>'3Y duration'!K22*$B$29</f>
        <v>7548.5067302455591</v>
      </c>
      <c r="N59">
        <f>'4Y duration'!J22*$B$29</f>
        <v>7337.1023092457826</v>
      </c>
      <c r="O59">
        <f>'4Y duration'!K22*$B$29</f>
        <v>7456.2636442581597</v>
      </c>
      <c r="Q59">
        <f>'5Y duration'!J22*$B$29</f>
        <v>7333.0944770351998</v>
      </c>
      <c r="R59">
        <f>'5Y duration'!K22*$B$29</f>
        <v>7658.1149877330599</v>
      </c>
      <c r="T59">
        <f>'7Y duration'!J22*$B$29</f>
        <v>7336.9988312965797</v>
      </c>
      <c r="U59">
        <f>'7Y duration'!K22*$B$29</f>
        <v>7548.4705683499496</v>
      </c>
      <c r="W59">
        <f>'10Y duration'!J22*$B$29</f>
        <v>7336.9988312965797</v>
      </c>
      <c r="X59">
        <f>'10Y duration'!K22*$B$29</f>
        <v>7548.4705683499496</v>
      </c>
    </row>
    <row r="60" spans="1:24" x14ac:dyDescent="0.45">
      <c r="A60">
        <v>5.25</v>
      </c>
      <c r="B60">
        <f>Bootstrap!J23 *$B$29</f>
        <v>7271.1636779412993</v>
      </c>
      <c r="C60">
        <f>Bootstrap!K23*$B$29</f>
        <v>7600.0177033513946</v>
      </c>
      <c r="E60">
        <f>'1Y duration'!J23*$B$29</f>
        <v>7271.1852205160485</v>
      </c>
      <c r="F60">
        <f>'1Y duration'!K23*$B$29</f>
        <v>7600.0313234926944</v>
      </c>
      <c r="H60">
        <f>'2Y duration'!J23*$B$29</f>
        <v>7271.2135744506413</v>
      </c>
      <c r="I60">
        <f>'2Y duration'!K23*$B$29</f>
        <v>7600.0492500693845</v>
      </c>
      <c r="K60">
        <f>'3Y duration'!J23*$B$29</f>
        <v>7271.2396676200333</v>
      </c>
      <c r="L60">
        <f>'3Y duration'!K23*$B$29</f>
        <v>7600.0657472941284</v>
      </c>
      <c r="N60">
        <f>'4Y duration'!J23*$B$29</f>
        <v>7271.2665922488877</v>
      </c>
      <c r="O60">
        <f>'4Y duration'!K23*$B$29</f>
        <v>7600.0827702042588</v>
      </c>
      <c r="Q60">
        <f>'5Y duration'!J23*$B$29</f>
        <v>7267.8031324415424</v>
      </c>
      <c r="R60">
        <f>'5Y duration'!K23*$B$29</f>
        <v>7537.2403571321147</v>
      </c>
      <c r="T60">
        <f>'7Y duration'!J23*$B$29</f>
        <v>7270.4721509291367</v>
      </c>
      <c r="U60">
        <f>'7Y duration'!K23*$B$29</f>
        <v>7679.8476614654419</v>
      </c>
      <c r="W60">
        <f>'10Y duration'!J23*$B$29</f>
        <v>7271.1636779412993</v>
      </c>
      <c r="X60">
        <f>'10Y duration'!K23*$B$29</f>
        <v>7600.0177033513946</v>
      </c>
    </row>
    <row r="61" spans="1:24" x14ac:dyDescent="0.45">
      <c r="A61">
        <v>5.5</v>
      </c>
      <c r="B61">
        <f>Bootstrap!J24 *$B$29</f>
        <v>7205.9192657755657</v>
      </c>
      <c r="C61">
        <f>Bootstrap!K24*$B$29</f>
        <v>7531.8224722347268</v>
      </c>
      <c r="E61">
        <f>'1Y duration'!J24*$B$29</f>
        <v>7205.9406907391913</v>
      </c>
      <c r="F61">
        <f>'1Y duration'!K24*$B$29</f>
        <v>7531.836049276385</v>
      </c>
      <c r="H61">
        <f>'2Y duration'!J24*$B$29</f>
        <v>7205.9688898762133</v>
      </c>
      <c r="I61">
        <f>'2Y duration'!K24*$B$29</f>
        <v>7531.853919125836</v>
      </c>
      <c r="K61">
        <f>'3Y duration'!J24*$B$29</f>
        <v>7205.994840590618</v>
      </c>
      <c r="L61">
        <f>'3Y duration'!K24*$B$29</f>
        <v>7531.8703641461134</v>
      </c>
      <c r="N61">
        <f>'4Y duration'!J24*$B$29</f>
        <v>7206.0216182251461</v>
      </c>
      <c r="O61">
        <f>'4Y duration'!K24*$B$29</f>
        <v>7531.8873331879831</v>
      </c>
      <c r="Q61">
        <f>'5Y duration'!J24*$B$29</f>
        <v>7203.093119466098</v>
      </c>
      <c r="R61">
        <f>'5Y duration'!K24*$B$29</f>
        <v>7470.1313680167386</v>
      </c>
      <c r="T61">
        <f>'7Y duration'!J24*$B$29</f>
        <v>7204.5486871223684</v>
      </c>
      <c r="U61">
        <f>'7Y duration'!K24*$B$29</f>
        <v>7610.2122720654006</v>
      </c>
      <c r="W61">
        <f>'10Y duration'!J24*$B$29</f>
        <v>7205.9192657755657</v>
      </c>
      <c r="X61">
        <f>'10Y duration'!K24*$B$29</f>
        <v>7531.8224722347268</v>
      </c>
    </row>
    <row r="62" spans="1:24" x14ac:dyDescent="0.45">
      <c r="A62">
        <v>5.75</v>
      </c>
      <c r="B62">
        <f>Bootstrap!J25 *$B$29</f>
        <v>7141.2602940575243</v>
      </c>
      <c r="C62">
        <f>Bootstrap!K25*$B$29</f>
        <v>7464.2391593699076</v>
      </c>
      <c r="E62">
        <f>'1Y duration'!J25*$B$29</f>
        <v>7141.2816017861769</v>
      </c>
      <c r="F62">
        <f>'1Y duration'!K25*$B$29</f>
        <v>7464.2526929887645</v>
      </c>
      <c r="H62">
        <f>'2Y duration'!J25*$B$29</f>
        <v>7141.3096466207107</v>
      </c>
      <c r="I62">
        <f>'2Y duration'!K25*$B$29</f>
        <v>7464.2705056858258</v>
      </c>
      <c r="K62">
        <f>'3Y duration'!J25*$B$29</f>
        <v>7141.3354553357403</v>
      </c>
      <c r="L62">
        <f>'3Y duration'!K25*$B$29</f>
        <v>7464.2868981100482</v>
      </c>
      <c r="N62">
        <f>'4Y duration'!J25*$B$29</f>
        <v>7141.3620864460763</v>
      </c>
      <c r="O62">
        <f>'4Y duration'!K25*$B$29</f>
        <v>7464.3038128797825</v>
      </c>
      <c r="Q62">
        <f>'5Y duration'!J25*$B$29</f>
        <v>7138.9592621325974</v>
      </c>
      <c r="R62">
        <f>'5Y duration'!K25*$B$29</f>
        <v>7403.6198941992616</v>
      </c>
      <c r="T62">
        <f>'7Y duration'!J25*$B$29</f>
        <v>7139.2229703380872</v>
      </c>
      <c r="U62">
        <f>'7Y duration'!K25*$B$29</f>
        <v>7541.2082867856825</v>
      </c>
      <c r="W62">
        <f>'10Y duration'!J25*$B$29</f>
        <v>7141.2602940575243</v>
      </c>
      <c r="X62">
        <f>'10Y duration'!K25*$B$29</f>
        <v>7464.2391593699076</v>
      </c>
    </row>
    <row r="63" spans="1:24" x14ac:dyDescent="0.45">
      <c r="A63">
        <v>6</v>
      </c>
      <c r="B63">
        <f>Bootstrap!J26 *$B$29</f>
        <v>7077.1815096090641</v>
      </c>
      <c r="C63">
        <f>Bootstrap!K26*$B$29</f>
        <v>7397.2622739925428</v>
      </c>
      <c r="E63">
        <f>'1Y duration'!J26*$B$29</f>
        <v>7077.2027004816118</v>
      </c>
      <c r="F63">
        <f>'1Y duration'!K26*$B$29</f>
        <v>7397.2757638747062</v>
      </c>
      <c r="H63">
        <f>'2Y duration'!J26*$B$29</f>
        <v>7077.2305915123225</v>
      </c>
      <c r="I63">
        <f>'2Y duration'!K26*$B$29</f>
        <v>7397.2935190058843</v>
      </c>
      <c r="K63">
        <f>'3Y duration'!J26*$B$29</f>
        <v>7077.2562586868808</v>
      </c>
      <c r="L63">
        <f>'3Y duration'!K26*$B$29</f>
        <v>7397.3098584542322</v>
      </c>
      <c r="N63">
        <f>'4Y duration'!J26*$B$29</f>
        <v>7077.2827437465539</v>
      </c>
      <c r="O63">
        <f>'4Y duration'!K26*$B$29</f>
        <v>7397.326718559545</v>
      </c>
      <c r="Q63">
        <f>'5Y duration'!J26*$B$29</f>
        <v>7075.3964305498748</v>
      </c>
      <c r="R63">
        <f>'5Y duration'!K26*$B$29</f>
        <v>7337.7006156100597</v>
      </c>
      <c r="T63">
        <f>'7Y duration'!J26*$B$29</f>
        <v>7074.4895806319773</v>
      </c>
      <c r="U63">
        <f>'7Y duration'!K26*$B$29</f>
        <v>7472.8299805033766</v>
      </c>
      <c r="W63">
        <f>'10Y duration'!J26*$B$29</f>
        <v>7077.1815096090641</v>
      </c>
      <c r="X63">
        <f>'10Y duration'!K26*$B$29</f>
        <v>7397.2622739925428</v>
      </c>
    </row>
    <row r="64" spans="1:24" x14ac:dyDescent="0.45">
      <c r="A64">
        <v>6.25</v>
      </c>
      <c r="B64">
        <f>Bootstrap!J27 *$B$29</f>
        <v>7013.6777063890313</v>
      </c>
      <c r="C64">
        <f>Bootstrap!K27*$B$29</f>
        <v>7330.886374607062</v>
      </c>
      <c r="E64">
        <f>'1Y duration'!J27*$B$29</f>
        <v>7013.6987807869828</v>
      </c>
      <c r="F64">
        <f>'1Y duration'!K27*$B$29</f>
        <v>7330.8998204477712</v>
      </c>
      <c r="H64">
        <f>'2Y duration'!J27*$B$29</f>
        <v>7013.7265185160068</v>
      </c>
      <c r="I64">
        <f>'2Y duration'!K27*$B$29</f>
        <v>7330.9175176121335</v>
      </c>
      <c r="K64">
        <f>'3Y duration'!J27*$B$29</f>
        <v>7013.7520446121962</v>
      </c>
      <c r="L64">
        <f>'3Y duration'!K27*$B$29</f>
        <v>7330.9338037153011</v>
      </c>
      <c r="N64">
        <f>'4Y duration'!J27*$B$29</f>
        <v>7013.7783840980383</v>
      </c>
      <c r="O64">
        <f>'4Y duration'!K27*$B$29</f>
        <v>7330.9506087753116</v>
      </c>
      <c r="Q64">
        <f>'5Y duration'!J27*$B$29</f>
        <v>7012.3995405015503</v>
      </c>
      <c r="R64">
        <f>'5Y duration'!K27*$B$29</f>
        <v>7272.3682595468408</v>
      </c>
      <c r="T64">
        <f>'7Y duration'!J27*$B$29</f>
        <v>7010.3431472039165</v>
      </c>
      <c r="U64">
        <f>'7Y duration'!K27*$B$29</f>
        <v>7405.0716800070904</v>
      </c>
      <c r="W64">
        <f>'10Y duration'!J27*$B$29</f>
        <v>7013.6777063890313</v>
      </c>
      <c r="X64">
        <f>'10Y duration'!K27*$B$29</f>
        <v>7330.886374607062</v>
      </c>
    </row>
    <row r="65" spans="1:24" x14ac:dyDescent="0.45">
      <c r="A65">
        <v>6.5</v>
      </c>
      <c r="B65">
        <f>Bootstrap!J28 *$B$29</f>
        <v>6950.7437250702642</v>
      </c>
      <c r="C65">
        <f>Bootstrap!K28*$B$29</f>
        <v>7265.1060685446291</v>
      </c>
      <c r="E65">
        <f>'1Y duration'!J28*$B$29</f>
        <v>6950.7646833776898</v>
      </c>
      <c r="F65">
        <f>'1Y duration'!K28*$B$29</f>
        <v>7265.1194700481128</v>
      </c>
      <c r="H65">
        <f>'2Y duration'!J28*$B$29</f>
        <v>6950.7922683105389</v>
      </c>
      <c r="I65">
        <f>'2Y duration'!K28*$B$29</f>
        <v>7265.1371088563792</v>
      </c>
      <c r="K65">
        <f>'3Y duration'!J28*$B$29</f>
        <v>6950.8176537935651</v>
      </c>
      <c r="L65">
        <f>'3Y duration'!K28*$B$29</f>
        <v>7265.1533412561321</v>
      </c>
      <c r="N65">
        <f>'4Y duration'!J28*$B$29</f>
        <v>6950.8438481856065</v>
      </c>
      <c r="O65">
        <f>'4Y duration'!K28*$B$29</f>
        <v>7265.1700909010206</v>
      </c>
      <c r="Q65">
        <f>'5Y duration'!J28*$B$29</f>
        <v>6949.9635530393525</v>
      </c>
      <c r="R65">
        <f>'5Y duration'!K28*$B$29</f>
        <v>7207.6176002538205</v>
      </c>
      <c r="T65">
        <f>'7Y duration'!J28*$B$29</f>
        <v>6946.7783479523778</v>
      </c>
      <c r="U65">
        <f>'7Y duration'!K28*$B$29</f>
        <v>7337.9277635253575</v>
      </c>
      <c r="W65">
        <f>'10Y duration'!J28*$B$29</f>
        <v>6950.7437250702642</v>
      </c>
      <c r="X65">
        <f>'10Y duration'!K28*$B$29</f>
        <v>7265.1060685446291</v>
      </c>
    </row>
    <row r="66" spans="1:24" x14ac:dyDescent="0.45">
      <c r="A66">
        <v>6.75</v>
      </c>
      <c r="B66">
        <f>Bootstrap!J29 *$B$29</f>
        <v>6888.3744526204282</v>
      </c>
      <c r="C66">
        <f>Bootstrap!K29*$B$29</f>
        <v>7199.9160115250215</v>
      </c>
      <c r="E66">
        <f>'1Y duration'!J29*$B$29</f>
        <v>6888.3952952238869</v>
      </c>
      <c r="F66">
        <f>'1Y duration'!K29*$B$29</f>
        <v>7199.9293684043623</v>
      </c>
      <c r="H66">
        <f>'2Y duration'!J29*$B$29</f>
        <v>6888.4227278693406</v>
      </c>
      <c r="I66">
        <f>'2Y duration'!K29*$B$29</f>
        <v>7199.9469484789051</v>
      </c>
      <c r="K66">
        <f>'3Y duration'!J29*$B$29</f>
        <v>6888.4479732074205</v>
      </c>
      <c r="L66">
        <f>'3Y duration'!K29*$B$29</f>
        <v>7199.9631268277326</v>
      </c>
      <c r="N66">
        <f>'4Y duration'!J29*$B$29</f>
        <v>6888.4740229887984</v>
      </c>
      <c r="O66">
        <f>'4Y duration'!K29*$B$29</f>
        <v>7199.9798206992773</v>
      </c>
      <c r="Q66">
        <f>'5Y duration'!J29*$B$29</f>
        <v>6888.0834740800647</v>
      </c>
      <c r="R66">
        <f>'5Y duration'!K29*$B$29</f>
        <v>7143.443458503536</v>
      </c>
      <c r="T66">
        <f>'7Y duration'!J29*$B$29</f>
        <v>6883.7899090328574</v>
      </c>
      <c r="U66">
        <f>'7Y duration'!K29*$B$29</f>
        <v>7271.392660262175</v>
      </c>
      <c r="W66">
        <f>'10Y duration'!J29*$B$29</f>
        <v>6888.3744526204282</v>
      </c>
      <c r="X66">
        <f>'10Y duration'!K29*$B$29</f>
        <v>7199.9160115250215</v>
      </c>
    </row>
    <row r="67" spans="1:24" x14ac:dyDescent="0.45">
      <c r="A67">
        <v>7</v>
      </c>
      <c r="B67">
        <f>Bootstrap!J30 *$B$29</f>
        <v>6826.5648218866136</v>
      </c>
      <c r="C67">
        <f>Bootstrap!K30*$B$29</f>
        <v>7135.3109072224315</v>
      </c>
      <c r="E67">
        <f>'1Y duration'!J30*$B$29</f>
        <v>6826.5855491750717</v>
      </c>
      <c r="F67">
        <f>'1Y duration'!K30*$B$29</f>
        <v>7135.3242191994314</v>
      </c>
      <c r="H67">
        <f>'2Y duration'!J30*$B$29</f>
        <v>6826.6128300450819</v>
      </c>
      <c r="I67">
        <f>'2Y duration'!K30*$B$29</f>
        <v>7135.341740174099</v>
      </c>
      <c r="K67">
        <f>'3Y duration'!J30*$B$29</f>
        <v>6826.637935709351</v>
      </c>
      <c r="L67">
        <f>'3Y duration'!K30*$B$29</f>
        <v>7135.3578641350505</v>
      </c>
      <c r="N67">
        <f>'4Y duration'!J30*$B$29</f>
        <v>6826.6638413662167</v>
      </c>
      <c r="O67">
        <f>'4Y duration'!K30*$B$29</f>
        <v>7135.3745018853933</v>
      </c>
      <c r="Q67">
        <f>'5Y duration'!J30*$B$29</f>
        <v>6826.7543540060697</v>
      </c>
      <c r="R67">
        <f>'5Y duration'!K30*$B$29</f>
        <v>7079.8407011825866</v>
      </c>
      <c r="T67">
        <f>'7Y duration'!J30*$B$29</f>
        <v>6821.3726044203204</v>
      </c>
      <c r="U67">
        <f>'7Y duration'!K30*$B$29</f>
        <v>7205.4608499321421</v>
      </c>
      <c r="W67">
        <f>'10Y duration'!J30*$B$29</f>
        <v>6826.5648218866136</v>
      </c>
      <c r="X67">
        <f>'10Y duration'!K30*$B$29</f>
        <v>7135.3109072224315</v>
      </c>
    </row>
    <row r="68" spans="1:24" x14ac:dyDescent="0.45">
      <c r="A68">
        <v>7.25</v>
      </c>
      <c r="B68">
        <f>Bootstrap!J31 *$B$29</f>
        <v>6765.0104771541955</v>
      </c>
      <c r="C68">
        <f>Bootstrap!K31*$B$29</f>
        <v>7105.8406617509427</v>
      </c>
      <c r="E68">
        <f>'1Y duration'!J31*$B$29</f>
        <v>6765.0310595787005</v>
      </c>
      <c r="F68">
        <f>'1Y duration'!K31*$B$29</f>
        <v>7105.8573848625419</v>
      </c>
      <c r="H68">
        <f>'2Y duration'!J31*$B$29</f>
        <v>6765.0581497814765</v>
      </c>
      <c r="I68">
        <f>'2Y duration'!K31*$B$29</f>
        <v>7105.87939551007</v>
      </c>
      <c r="K68">
        <f>'3Y duration'!J31*$B$29</f>
        <v>6765.0830799811192</v>
      </c>
      <c r="L68">
        <f>'3Y duration'!K31*$B$29</f>
        <v>7105.8996511667847</v>
      </c>
      <c r="N68">
        <f>'4Y duration'!J31*$B$29</f>
        <v>6765.1088045821671</v>
      </c>
      <c r="O68">
        <f>'4Y duration'!K31*$B$29</f>
        <v>7105.9205522712637</v>
      </c>
      <c r="Q68">
        <f>'5Y duration'!J31*$B$29</f>
        <v>6765.1986846250229</v>
      </c>
      <c r="R68">
        <f>'5Y duration'!K31*$B$29</f>
        <v>7105.9935793416416</v>
      </c>
      <c r="T68">
        <f>'7Y duration'!J31*$B$29</f>
        <v>6760.3323728468831</v>
      </c>
      <c r="U68">
        <f>'7Y duration'!K31*$B$29</f>
        <v>7046.4913793289606</v>
      </c>
      <c r="W68">
        <f>'10Y duration'!J31*$B$29</f>
        <v>6764.3727602530116</v>
      </c>
      <c r="X68">
        <f>'10Y duration'!K31*$B$29</f>
        <v>7179.4587744417668</v>
      </c>
    </row>
    <row r="69" spans="1:24" x14ac:dyDescent="0.45">
      <c r="A69">
        <v>7.5</v>
      </c>
      <c r="B69">
        <f>Bootstrap!J32 *$B$29</f>
        <v>6704.0111608224879</v>
      </c>
      <c r="C69">
        <f>Bootstrap!K32*$B$29</f>
        <v>7041.7681191003967</v>
      </c>
      <c r="E69">
        <f>'1Y duration'!J32*$B$29</f>
        <v>6704.0315993102686</v>
      </c>
      <c r="F69">
        <f>'1Y duration'!K32*$B$29</f>
        <v>7041.7847351725604</v>
      </c>
      <c r="H69">
        <f>'2Y duration'!J32*$B$29</f>
        <v>6704.0585000662095</v>
      </c>
      <c r="I69">
        <f>'2Y duration'!K32*$B$29</f>
        <v>7041.80660493708</v>
      </c>
      <c r="K69">
        <f>'3Y duration'!J32*$B$29</f>
        <v>6704.0832559243181</v>
      </c>
      <c r="L69">
        <f>'3Y duration'!K32*$B$29</f>
        <v>7041.8267309438288</v>
      </c>
      <c r="N69">
        <f>'4Y duration'!J32*$B$29</f>
        <v>6704.1088006284344</v>
      </c>
      <c r="O69">
        <f>'4Y duration'!K32*$B$29</f>
        <v>7041.847498266422</v>
      </c>
      <c r="Q69">
        <f>'5Y duration'!J32*$B$29</f>
        <v>6704.1980521233554</v>
      </c>
      <c r="R69">
        <f>'5Y duration'!K32*$B$29</f>
        <v>7041.9200579125381</v>
      </c>
      <c r="T69">
        <f>'7Y duration'!J32*$B$29</f>
        <v>6699.8383524374767</v>
      </c>
      <c r="U69">
        <f>'7Y duration'!K32*$B$29</f>
        <v>6983.4366994985539</v>
      </c>
      <c r="W69">
        <f>'10Y duration'!J32*$B$29</f>
        <v>6702.7472870326383</v>
      </c>
      <c r="X69">
        <f>'10Y duration'!K32*$B$29</f>
        <v>7114.0517426115775</v>
      </c>
    </row>
    <row r="70" spans="1:24" x14ac:dyDescent="0.45">
      <c r="A70">
        <v>7.75</v>
      </c>
      <c r="B70">
        <f>Bootstrap!J33 *$B$29</f>
        <v>6643.5618682646536</v>
      </c>
      <c r="C70">
        <f>Bootstrap!K33*$B$29</f>
        <v>6978.2733111496727</v>
      </c>
      <c r="E70">
        <f>'1Y duration'!J33*$B$29</f>
        <v>6643.5821637379922</v>
      </c>
      <c r="F70">
        <f>'1Y duration'!K33*$B$29</f>
        <v>6978.2898207534072</v>
      </c>
      <c r="H70">
        <f>'2Y duration'!J33*$B$29</f>
        <v>6643.6088762609952</v>
      </c>
      <c r="I70">
        <f>'2Y duration'!K33*$B$29</f>
        <v>6978.3115503855024</v>
      </c>
      <c r="K70">
        <f>'3Y duration'!J33*$B$29</f>
        <v>6643.6334588946766</v>
      </c>
      <c r="L70">
        <f>'3Y duration'!K33*$B$29</f>
        <v>6978.3315474333267</v>
      </c>
      <c r="N70">
        <f>'4Y duration'!J33*$B$29</f>
        <v>6643.6588248545622</v>
      </c>
      <c r="O70">
        <f>'4Y duration'!K33*$B$29</f>
        <v>6978.3521816879584</v>
      </c>
      <c r="Q70">
        <f>'5Y duration'!J33*$B$29</f>
        <v>6643.7474518290292</v>
      </c>
      <c r="R70">
        <f>'5Y duration'!K33*$B$29</f>
        <v>6978.4242764013334</v>
      </c>
      <c r="T70">
        <f>'7Y duration'!J33*$B$29</f>
        <v>6639.8856554872509</v>
      </c>
      <c r="U70">
        <f>'7Y duration'!K33*$B$29</f>
        <v>6920.9462568802392</v>
      </c>
      <c r="W70">
        <f>'10Y duration'!J33*$B$29</f>
        <v>6641.6832404343986</v>
      </c>
      <c r="X70">
        <f>'10Y duration'!K33*$B$29</f>
        <v>7049.2405885414319</v>
      </c>
    </row>
    <row r="71" spans="1:24" x14ac:dyDescent="0.45">
      <c r="A71">
        <v>8</v>
      </c>
      <c r="B71">
        <f>Bootstrap!J34 *$B$29</f>
        <v>6583.6576399799969</v>
      </c>
      <c r="C71">
        <f>Bootstrap!K34*$B$29</f>
        <v>6915.3510285318653</v>
      </c>
      <c r="E71">
        <f>'1Y duration'!J34*$B$29</f>
        <v>6583.677793356248</v>
      </c>
      <c r="F71">
        <f>'1Y duration'!K34*$B$29</f>
        <v>6915.367432235902</v>
      </c>
      <c r="H71">
        <f>'2Y duration'!J34*$B$29</f>
        <v>6583.7043188537164</v>
      </c>
      <c r="I71">
        <f>'2Y duration'!K34*$B$29</f>
        <v>6915.3890224852621</v>
      </c>
      <c r="K71">
        <f>'3Y duration'!J34*$B$29</f>
        <v>6583.7287293741083</v>
      </c>
      <c r="L71">
        <f>'3Y duration'!K34*$B$29</f>
        <v>6915.4088912632815</v>
      </c>
      <c r="N71">
        <f>'4Y duration'!J34*$B$29</f>
        <v>6583.7539177363087</v>
      </c>
      <c r="O71">
        <f>'4Y duration'!K34*$B$29</f>
        <v>6915.4293931606953</v>
      </c>
      <c r="Q71">
        <f>'5Y duration'!J34*$B$29</f>
        <v>6583.8419241962711</v>
      </c>
      <c r="R71">
        <f>'5Y duration'!K34*$B$29</f>
        <v>6915.5010254267663</v>
      </c>
      <c r="T71">
        <f>'7Y duration'!J34*$B$29</f>
        <v>6580.4694380284009</v>
      </c>
      <c r="U71">
        <f>'7Y duration'!K34*$B$29</f>
        <v>6859.0150024647392</v>
      </c>
      <c r="W71">
        <f>'10Y duration'!J34*$B$29</f>
        <v>6581.1755056926668</v>
      </c>
      <c r="X71">
        <f>'10Y duration'!K34*$B$29</f>
        <v>6985.0198836054615</v>
      </c>
    </row>
    <row r="72" spans="1:24" x14ac:dyDescent="0.45">
      <c r="A72">
        <v>8.25</v>
      </c>
      <c r="B72">
        <f>Bootstrap!J35 *$B$29</f>
        <v>6524.2935611870635</v>
      </c>
      <c r="C72">
        <f>Bootstrap!K35*$B$29</f>
        <v>6852.9961088523223</v>
      </c>
      <c r="E72">
        <f>'1Y duration'!J35*$B$29</f>
        <v>6524.3135733786667</v>
      </c>
      <c r="F72">
        <f>'1Y duration'!K35*$B$29</f>
        <v>6853.0124072243016</v>
      </c>
      <c r="H72">
        <f>'2Y duration'!J35*$B$29</f>
        <v>6524.3399130515381</v>
      </c>
      <c r="I72">
        <f>'2Y duration'!K35*$B$29</f>
        <v>6853.0338588374771</v>
      </c>
      <c r="K72">
        <f>'3Y duration'!J35*$B$29</f>
        <v>6524.3641525638204</v>
      </c>
      <c r="L72">
        <f>'3Y duration'!K35*$B$29</f>
        <v>6853.0536000333714</v>
      </c>
      <c r="N72">
        <f>'4Y duration'!J35*$B$29</f>
        <v>6524.3891644687319</v>
      </c>
      <c r="O72">
        <f>'4Y duration'!K35*$B$29</f>
        <v>6853.0739702828187</v>
      </c>
      <c r="Q72">
        <f>'5Y duration'!J35*$B$29</f>
        <v>6524.4765543986769</v>
      </c>
      <c r="R72">
        <f>'5Y duration'!K35*$B$29</f>
        <v>6853.1451425793339</v>
      </c>
      <c r="T72">
        <f>'7Y duration'!J35*$B$29</f>
        <v>6521.5848994387798</v>
      </c>
      <c r="U72">
        <f>'7Y duration'!K35*$B$29</f>
        <v>6797.6379324239069</v>
      </c>
      <c r="W72">
        <f>'10Y duration'!J35*$B$29</f>
        <v>6521.219014638873</v>
      </c>
      <c r="X72">
        <f>'10Y duration'!K35*$B$29</f>
        <v>6921.3842486342155</v>
      </c>
    </row>
    <row r="73" spans="1:24" x14ac:dyDescent="0.45">
      <c r="A73">
        <v>8.5</v>
      </c>
      <c r="B73">
        <f>Bootstrap!J36 *$B$29</f>
        <v>6465.4647614204159</v>
      </c>
      <c r="C73">
        <f>Bootstrap!K36*$B$29</f>
        <v>6791.2034362651111</v>
      </c>
      <c r="E73">
        <f>'1Y duration'!J36*$B$29</f>
        <v>6465.4846333349096</v>
      </c>
      <c r="F73">
        <f>'1Y duration'!K36*$B$29</f>
        <v>6791.2196298710405</v>
      </c>
      <c r="H73">
        <f>'2Y duration'!J36*$B$29</f>
        <v>6465.5107883776664</v>
      </c>
      <c r="I73">
        <f>'2Y duration'!K36*$B$29</f>
        <v>6791.2409435924592</v>
      </c>
      <c r="K73">
        <f>'3Y duration'!J36*$B$29</f>
        <v>6465.5348579810861</v>
      </c>
      <c r="L73">
        <f>'3Y duration'!K36*$B$29</f>
        <v>6791.2605578914345</v>
      </c>
      <c r="N73">
        <f>'4Y duration'!J36*$B$29</f>
        <v>6465.5596945629823</v>
      </c>
      <c r="O73">
        <f>'4Y duration'!K36*$B$29</f>
        <v>6791.2807972006331</v>
      </c>
      <c r="Q73">
        <f>'5Y duration'!J36*$B$29</f>
        <v>6465.6464719259893</v>
      </c>
      <c r="R73">
        <f>'5Y duration'!K36*$B$29</f>
        <v>6791.3515119985886</v>
      </c>
      <c r="T73">
        <f>'7Y duration'!J36*$B$29</f>
        <v>6463.2272820540302</v>
      </c>
      <c r="U73">
        <f>'7Y duration'!K36*$B$29</f>
        <v>6736.8100877055795</v>
      </c>
      <c r="W73">
        <f>'10Y duration'!J36*$B$29</f>
        <v>6461.8087452769896</v>
      </c>
      <c r="X73">
        <f>'10Y duration'!K36*$B$29</f>
        <v>6858.3283534640977</v>
      </c>
    </row>
    <row r="74" spans="1:24" x14ac:dyDescent="0.45">
      <c r="A74">
        <v>8.75</v>
      </c>
      <c r="B74">
        <f>Bootstrap!J37 *$B$29</f>
        <v>6407.166414131043</v>
      </c>
      <c r="C74">
        <f>Bootstrap!K37*$B$29</f>
        <v>6729.9679410532872</v>
      </c>
      <c r="E74">
        <f>'1Y duration'!J37*$B$29</f>
        <v>6407.1861466710761</v>
      </c>
      <c r="F74">
        <f>'1Y duration'!K37*$B$29</f>
        <v>6729.9840304570407</v>
      </c>
      <c r="H74">
        <f>'2Y duration'!J37*$B$29</f>
        <v>6407.212118271771</v>
      </c>
      <c r="I74">
        <f>'2Y duration'!K37*$B$29</f>
        <v>6730.0052070299598</v>
      </c>
      <c r="K74">
        <f>'3Y duration'!J37*$B$29</f>
        <v>6407.2360190596501</v>
      </c>
      <c r="L74">
        <f>'3Y duration'!K37*$B$29</f>
        <v>6730.024695115243</v>
      </c>
      <c r="N74">
        <f>'4Y duration'!J37*$B$29</f>
        <v>6407.2606814466953</v>
      </c>
      <c r="O74">
        <f>'4Y duration'!K37*$B$29</f>
        <v>6730.0448041888621</v>
      </c>
      <c r="Q74">
        <f>'5Y duration'!J37*$B$29</f>
        <v>6407.3468501845</v>
      </c>
      <c r="R74">
        <f>'5Y duration'!K37*$B$29</f>
        <v>6730.1150639524185</v>
      </c>
      <c r="T74">
        <f>'7Y duration'!J37*$B$29</f>
        <v>6405.3918707831863</v>
      </c>
      <c r="U74">
        <f>'7Y duration'!K37*$B$29</f>
        <v>6676.5265536329125</v>
      </c>
      <c r="W74">
        <f>'10Y duration'!J37*$B$29</f>
        <v>6402.9397213628881</v>
      </c>
      <c r="X74">
        <f>'10Y duration'!K37*$B$29</f>
        <v>6795.8469164909056</v>
      </c>
    </row>
    <row r="75" spans="1:24" x14ac:dyDescent="0.45">
      <c r="A75">
        <v>9</v>
      </c>
      <c r="B75">
        <f>Bootstrap!J38 *$B$29</f>
        <v>6349.3937362903598</v>
      </c>
      <c r="C75">
        <f>Bootstrap!K38*$B$29</f>
        <v>6669.2845992129569</v>
      </c>
      <c r="E75">
        <f>'1Y duration'!J38*$B$29</f>
        <v>6349.4133303537092</v>
      </c>
      <c r="F75">
        <f>'1Y duration'!K38*$B$29</f>
        <v>6669.3005849774099</v>
      </c>
      <c r="H75">
        <f>'2Y duration'!J38*$B$29</f>
        <v>6349.4391196939805</v>
      </c>
      <c r="I75">
        <f>'2Y duration'!K38*$B$29</f>
        <v>6669.3216251415897</v>
      </c>
      <c r="K75">
        <f>'3Y duration'!J38*$B$29</f>
        <v>6349.4628527537416</v>
      </c>
      <c r="L75">
        <f>'3Y duration'!K38*$B$29</f>
        <v>6669.3409876950536</v>
      </c>
      <c r="N75">
        <f>'4Y duration'!J38*$B$29</f>
        <v>6349.4873420680124</v>
      </c>
      <c r="O75">
        <f>'4Y duration'!K38*$B$29</f>
        <v>6669.3609672361936</v>
      </c>
      <c r="Q75">
        <f>'5Y duration'!J38*$B$29</f>
        <v>6349.5729061010707</v>
      </c>
      <c r="R75">
        <f>'5Y duration'!K38*$B$29</f>
        <v>6669.4307744219395</v>
      </c>
      <c r="T75">
        <f>'7Y duration'!J38*$B$29</f>
        <v>6348.0739927276973</v>
      </c>
      <c r="U75">
        <f>'7Y duration'!K38*$B$29</f>
        <v>6616.7824595081092</v>
      </c>
      <c r="W75">
        <f>'10Y duration'!J38*$B$29</f>
        <v>6344.6070119875176</v>
      </c>
      <c r="X75">
        <f>'10Y duration'!K38*$B$29</f>
        <v>6733.934704227443</v>
      </c>
    </row>
    <row r="76" spans="1:24" x14ac:dyDescent="0.45">
      <c r="A76">
        <v>9.25</v>
      </c>
      <c r="B76">
        <f>Bootstrap!J39 *$B$29</f>
        <v>6292.141987997803</v>
      </c>
      <c r="C76">
        <f>Bootstrap!K39*$B$29</f>
        <v>6609.148432041251</v>
      </c>
      <c r="E76">
        <f>'1Y duration'!J39*$B$29</f>
        <v>6292.1614444773877</v>
      </c>
      <c r="F76">
        <f>'1Y duration'!K39*$B$29</f>
        <v>6609.1643147269506</v>
      </c>
      <c r="H76">
        <f>'2Y duration'!J39*$B$29</f>
        <v>6292.1870527324782</v>
      </c>
      <c r="I76">
        <f>'2Y duration'!K39*$B$29</f>
        <v>6609.1852192210963</v>
      </c>
      <c r="K76">
        <f>'3Y duration'!J39*$B$29</f>
        <v>6292.2106191456596</v>
      </c>
      <c r="L76">
        <f>'3Y duration'!K39*$B$29</f>
        <v>6609.2044569214468</v>
      </c>
      <c r="N76">
        <f>'4Y duration'!J39*$B$29</f>
        <v>6292.2349365031532</v>
      </c>
      <c r="O76">
        <f>'4Y duration'!K39*$B$29</f>
        <v>6609.2243076316008</v>
      </c>
      <c r="Q76">
        <f>'5Y duration'!J39*$B$29</f>
        <v>6292.3198997307072</v>
      </c>
      <c r="R76">
        <f>'5Y duration'!K39*$B$29</f>
        <v>6609.2936646884991</v>
      </c>
      <c r="T76">
        <f>'7Y duration'!J39*$B$29</f>
        <v>6291.2690168038907</v>
      </c>
      <c r="U76">
        <f>'7Y duration'!K39*$B$29</f>
        <v>6557.5729782170856</v>
      </c>
      <c r="W76">
        <f>'10Y duration'!J39*$B$29</f>
        <v>6286.8057311638977</v>
      </c>
      <c r="X76">
        <f>'10Y duration'!K39*$B$29</f>
        <v>6672.5865308651601</v>
      </c>
    </row>
    <row r="77" spans="1:24" x14ac:dyDescent="0.45">
      <c r="A77">
        <v>9.5</v>
      </c>
      <c r="B77">
        <f>Bootstrap!J40 *$B$29</f>
        <v>6235.4064720919423</v>
      </c>
      <c r="C77">
        <f>Bootstrap!K40*$B$29</f>
        <v>6549.5545057270438</v>
      </c>
      <c r="E77">
        <f>'1Y duration'!J40*$B$29</f>
        <v>6235.4257918758349</v>
      </c>
      <c r="F77">
        <f>'1Y duration'!K40*$B$29</f>
        <v>6549.5702858934992</v>
      </c>
      <c r="H77">
        <f>'2Y duration'!J40*$B$29</f>
        <v>6235.4512202146134</v>
      </c>
      <c r="I77">
        <f>'2Y duration'!K40*$B$29</f>
        <v>6549.5910554534385</v>
      </c>
      <c r="K77">
        <f>'3Y duration'!J40*$B$29</f>
        <v>6235.4746210568846</v>
      </c>
      <c r="L77">
        <f>'3Y duration'!K40*$B$29</f>
        <v>6549.6101689783118</v>
      </c>
      <c r="N77">
        <f>'4Y duration'!J40*$B$29</f>
        <v>6235.4987675675502</v>
      </c>
      <c r="O77">
        <f>'4Y duration'!K40*$B$29</f>
        <v>6549.6298915558909</v>
      </c>
      <c r="Q77">
        <f>'5Y duration'!J40*$B$29</f>
        <v>6235.5831338676835</v>
      </c>
      <c r="R77">
        <f>'5Y duration'!K40*$B$29</f>
        <v>6549.6988009261795</v>
      </c>
      <c r="T77">
        <f>'7Y duration'!J40*$B$29</f>
        <v>6234.9723533687866</v>
      </c>
      <c r="U77">
        <f>'7Y duration'!K40*$B$29</f>
        <v>6498.893325841902</v>
      </c>
      <c r="W77">
        <f>'10Y duration'!J40*$B$29</f>
        <v>6229.5310374178607</v>
      </c>
      <c r="X77">
        <f>'10Y duration'!K40*$B$29</f>
        <v>6611.7972578397821</v>
      </c>
    </row>
    <row r="78" spans="1:24" x14ac:dyDescent="0.45">
      <c r="A78">
        <v>9.75</v>
      </c>
      <c r="B78">
        <f>Bootstrap!J41 *$B$29</f>
        <v>6179.1825337651071</v>
      </c>
      <c r="C78">
        <f>Bootstrap!K41*$B$29</f>
        <v>6490.4979309477731</v>
      </c>
      <c r="E78">
        <f>'1Y duration'!J41*$B$29</f>
        <v>6179.201717736556</v>
      </c>
      <c r="F78">
        <f>'1Y duration'!K41*$B$29</f>
        <v>6490.513609152149</v>
      </c>
      <c r="H78">
        <f>'2Y duration'!J41*$B$29</f>
        <v>6179.2269673215305</v>
      </c>
      <c r="I78">
        <f>'2Y duration'!K41*$B$29</f>
        <v>6490.5342445117894</v>
      </c>
      <c r="K78">
        <f>'3Y duration'!J41*$B$29</f>
        <v>6179.2502036627129</v>
      </c>
      <c r="L78">
        <f>'3Y duration'!K41*$B$29</f>
        <v>6490.5532345364345</v>
      </c>
      <c r="N78">
        <f>'4Y duration'!J41*$B$29</f>
        <v>6179.2741804304605</v>
      </c>
      <c r="O78">
        <f>'4Y duration'!K41*$B$29</f>
        <v>6490.5728296785237</v>
      </c>
      <c r="Q78">
        <f>'5Y duration'!J41*$B$29</f>
        <v>6179.3579536601737</v>
      </c>
      <c r="R78">
        <f>'5Y duration'!K41*$B$29</f>
        <v>6490.6412937963569</v>
      </c>
      <c r="T78">
        <f>'7Y duration'!J41*$B$29</f>
        <v>6179.1794538492695</v>
      </c>
      <c r="U78">
        <f>'7Y duration'!K41*$B$29</f>
        <v>6440.7387612716457</v>
      </c>
      <c r="W78">
        <f>'10Y duration'!J41*$B$29</f>
        <v>6172.778133382526</v>
      </c>
      <c r="X78">
        <f>'10Y duration'!K41*$B$29</f>
        <v>6551.5617934009042</v>
      </c>
    </row>
    <row r="79" spans="1:24" x14ac:dyDescent="0.45">
      <c r="A79">
        <v>10</v>
      </c>
      <c r="B79">
        <f>Bootstrap!J42 *$B$29</f>
        <v>6123.4655601814884</v>
      </c>
      <c r="C79">
        <f>Bootstrap!K42*$B$29</f>
        <v>6431.9738624666961</v>
      </c>
      <c r="E79">
        <f>'1Y duration'!J42*$B$29</f>
        <v>6123.4846092189218</v>
      </c>
      <c r="F79">
        <f>'1Y duration'!K42*$B$29</f>
        <v>6431.9894392650713</v>
      </c>
      <c r="H79">
        <f>'2Y duration'!J42*$B$29</f>
        <v>6123.5096812062711</v>
      </c>
      <c r="I79">
        <f>'2Y duration'!K42*$B$29</f>
        <v>6432.0099411554302</v>
      </c>
      <c r="K79">
        <f>'3Y duration'!J42*$B$29</f>
        <v>6123.5327541103534</v>
      </c>
      <c r="L79">
        <f>'3Y duration'!K42*$B$29</f>
        <v>6432.0288083533242</v>
      </c>
      <c r="N79">
        <f>'4Y duration'!J42*$B$29</f>
        <v>6123.5565622330778</v>
      </c>
      <c r="O79">
        <f>'4Y duration'!K42*$B$29</f>
        <v>6432.0482767540716</v>
      </c>
      <c r="Q79">
        <f>'5Y duration'!J42*$B$29</f>
        <v>6123.6397462283448</v>
      </c>
      <c r="R79">
        <f>'5Y duration'!K42*$B$29</f>
        <v>6432.1162980465806</v>
      </c>
      <c r="T79">
        <f>'7Y duration'!J42*$B$29</f>
        <v>6123.8858103745879</v>
      </c>
      <c r="U79">
        <f>'7Y duration'!K42*$B$29</f>
        <v>6383.1045858219431</v>
      </c>
      <c r="W79">
        <f>'10Y duration'!J42*$B$29</f>
        <v>6116.5422653964688</v>
      </c>
      <c r="X79">
        <f>'10Y duration'!K42*$B$29</f>
        <v>6491.8750921854989</v>
      </c>
    </row>
    <row r="81" spans="2:24" x14ac:dyDescent="0.45">
      <c r="B81" t="s">
        <v>33</v>
      </c>
      <c r="C81" cm="1">
        <f t="array" ref="C81:C120">_xlfn.SEQUENCE(40,,0.25,0.25)</f>
        <v>0.25</v>
      </c>
      <c r="E81">
        <f>$B$40-E40</f>
        <v>0</v>
      </c>
      <c r="F81">
        <f>$C$40-F40</f>
        <v>0</v>
      </c>
      <c r="H81">
        <f>B40-H40</f>
        <v>0</v>
      </c>
      <c r="I81">
        <f>C40-I40</f>
        <v>0</v>
      </c>
      <c r="K81">
        <f>B40-K40</f>
        <v>0</v>
      </c>
      <c r="L81">
        <f>C40-L40</f>
        <v>0</v>
      </c>
      <c r="N81">
        <f>B40-N40</f>
        <v>0</v>
      </c>
      <c r="O81">
        <f>C40-O40</f>
        <v>0</v>
      </c>
      <c r="Q81">
        <f>B40-Q40</f>
        <v>0</v>
      </c>
      <c r="R81">
        <f>C40-R40</f>
        <v>0</v>
      </c>
      <c r="T81">
        <f>B40-T40</f>
        <v>0</v>
      </c>
      <c r="U81">
        <f>C40-U40</f>
        <v>0</v>
      </c>
      <c r="W81">
        <f>B40-W40</f>
        <v>0</v>
      </c>
      <c r="X81">
        <f>C40-X40</f>
        <v>0</v>
      </c>
    </row>
    <row r="82" spans="2:24" x14ac:dyDescent="0.45">
      <c r="C82">
        <v>0.5</v>
      </c>
      <c r="E82">
        <f t="shared" ref="E82:E120" si="8">B41-E41</f>
        <v>0.28364768927167461</v>
      </c>
      <c r="F82">
        <f t="shared" ref="F82:F120" si="9">C41-F41</f>
        <v>-32.744321993733138</v>
      </c>
      <c r="H82">
        <f t="shared" ref="H82:I82" si="10">B41-H41</f>
        <v>0</v>
      </c>
      <c r="I82">
        <f t="shared" si="10"/>
        <v>0</v>
      </c>
      <c r="K82">
        <f t="shared" ref="K82:L82" si="11">B41-K41</f>
        <v>0</v>
      </c>
      <c r="L82">
        <f t="shared" si="11"/>
        <v>0</v>
      </c>
      <c r="N82">
        <f t="shared" ref="N82:O82" si="12">B41-N41</f>
        <v>0</v>
      </c>
      <c r="O82">
        <f t="shared" si="12"/>
        <v>0</v>
      </c>
      <c r="Q82">
        <f t="shared" ref="Q82:R82" si="13">B41-Q41</f>
        <v>0</v>
      </c>
      <c r="R82">
        <f t="shared" si="13"/>
        <v>0</v>
      </c>
      <c r="T82">
        <f t="shared" ref="T82:U82" si="14">B41-T41</f>
        <v>0</v>
      </c>
      <c r="U82">
        <f t="shared" si="14"/>
        <v>0</v>
      </c>
      <c r="W82">
        <f t="shared" ref="W82:X82" si="15">B41-W41</f>
        <v>0</v>
      </c>
      <c r="X82">
        <f t="shared" si="15"/>
        <v>0</v>
      </c>
    </row>
    <row r="83" spans="2:24" x14ac:dyDescent="0.45">
      <c r="C83">
        <v>0.75</v>
      </c>
      <c r="E83">
        <f t="shared" si="8"/>
        <v>0.56312272376271721</v>
      </c>
      <c r="F83">
        <f t="shared" si="9"/>
        <v>-32.262630244328648</v>
      </c>
      <c r="H83">
        <f t="shared" ref="H83:I83" si="16">B42-H42</f>
        <v>0</v>
      </c>
      <c r="I83">
        <f t="shared" si="16"/>
        <v>0</v>
      </c>
      <c r="K83">
        <f t="shared" ref="K83:L83" si="17">B42-K42</f>
        <v>0</v>
      </c>
      <c r="L83">
        <f t="shared" si="17"/>
        <v>0</v>
      </c>
      <c r="N83">
        <f t="shared" ref="N83:O83" si="18">B42-N42</f>
        <v>0</v>
      </c>
      <c r="O83">
        <f t="shared" si="18"/>
        <v>0</v>
      </c>
      <c r="Q83">
        <f t="shared" ref="Q83:R83" si="19">B42-Q42</f>
        <v>0</v>
      </c>
      <c r="R83">
        <f t="shared" si="19"/>
        <v>0</v>
      </c>
      <c r="T83">
        <f t="shared" ref="T83:U83" si="20">B42-T42</f>
        <v>0</v>
      </c>
      <c r="U83">
        <f t="shared" si="20"/>
        <v>0</v>
      </c>
      <c r="W83">
        <f t="shared" ref="W83:X83" si="21">B42-W42</f>
        <v>0</v>
      </c>
      <c r="X83">
        <f t="shared" si="21"/>
        <v>0</v>
      </c>
    </row>
    <row r="84" spans="2:24" x14ac:dyDescent="0.45">
      <c r="C84" s="1">
        <v>1</v>
      </c>
      <c r="D84" s="1"/>
      <c r="E84" s="1">
        <f t="shared" si="8"/>
        <v>0.83847114054151461</v>
      </c>
      <c r="F84" s="1">
        <f t="shared" si="9"/>
        <v>-31.786253019090509</v>
      </c>
      <c r="H84">
        <f t="shared" ref="H84:I84" si="22">B43-H43</f>
        <v>0</v>
      </c>
      <c r="I84">
        <f t="shared" si="22"/>
        <v>0</v>
      </c>
      <c r="K84">
        <f t="shared" ref="K84:L84" si="23">B43-K43</f>
        <v>0</v>
      </c>
      <c r="L84">
        <f t="shared" si="23"/>
        <v>0</v>
      </c>
      <c r="N84">
        <f t="shared" ref="N84:O84" si="24">B43-N43</f>
        <v>0</v>
      </c>
      <c r="O84">
        <f t="shared" si="24"/>
        <v>0</v>
      </c>
      <c r="Q84">
        <f t="shared" ref="Q84:R84" si="25">B43-Q43</f>
        <v>0</v>
      </c>
      <c r="R84">
        <f t="shared" si="25"/>
        <v>0</v>
      </c>
      <c r="T84">
        <f t="shared" ref="T84:U84" si="26">B43-T43</f>
        <v>0</v>
      </c>
      <c r="U84">
        <f t="shared" si="26"/>
        <v>0</v>
      </c>
      <c r="W84">
        <f t="shared" ref="W84:X84" si="27">B43-W43</f>
        <v>0</v>
      </c>
      <c r="X84">
        <f t="shared" si="27"/>
        <v>0</v>
      </c>
    </row>
    <row r="85" spans="2:24" x14ac:dyDescent="0.45">
      <c r="C85">
        <v>1.25</v>
      </c>
      <c r="E85">
        <f t="shared" si="8"/>
        <v>0.61809800322043884</v>
      </c>
      <c r="F85">
        <f t="shared" si="9"/>
        <v>25.439900412163297</v>
      </c>
      <c r="H85">
        <f t="shared" ref="H85:I85" si="28">B44-H44</f>
        <v>0.4209863799969753</v>
      </c>
      <c r="I85">
        <f t="shared" si="28"/>
        <v>-48.598716305436938</v>
      </c>
      <c r="K85">
        <f t="shared" ref="K85:L85" si="29">B44-K44</f>
        <v>0</v>
      </c>
      <c r="L85">
        <f t="shared" si="29"/>
        <v>0</v>
      </c>
      <c r="N85">
        <f t="shared" ref="N85:O85" si="30">B44-N44</f>
        <v>0</v>
      </c>
      <c r="O85">
        <f t="shared" si="30"/>
        <v>0</v>
      </c>
      <c r="Q85">
        <f t="shared" ref="Q85:R85" si="31">B44-Q44</f>
        <v>0</v>
      </c>
      <c r="R85">
        <f t="shared" si="31"/>
        <v>0</v>
      </c>
      <c r="T85">
        <f t="shared" ref="T85:U85" si="32">B44-T44</f>
        <v>0</v>
      </c>
      <c r="U85">
        <f t="shared" si="32"/>
        <v>0</v>
      </c>
      <c r="W85">
        <f t="shared" ref="W85:X85" si="33">B44-W44</f>
        <v>0</v>
      </c>
      <c r="X85">
        <f t="shared" si="33"/>
        <v>0</v>
      </c>
    </row>
    <row r="86" spans="2:24" x14ac:dyDescent="0.45">
      <c r="C86">
        <v>1.5</v>
      </c>
      <c r="E86">
        <f t="shared" si="8"/>
        <v>0.40123075260089536</v>
      </c>
      <c r="F86">
        <f t="shared" si="9"/>
        <v>25.035180446877348</v>
      </c>
      <c r="H86">
        <f t="shared" ref="H86:I86" si="34">B45-H45</f>
        <v>0.83513905734253058</v>
      </c>
      <c r="I86">
        <f t="shared" si="34"/>
        <v>-47.809832882755472</v>
      </c>
      <c r="K86">
        <f t="shared" ref="K86:L86" si="35">B45-K45</f>
        <v>0</v>
      </c>
      <c r="L86">
        <f t="shared" si="35"/>
        <v>0</v>
      </c>
      <c r="N86">
        <f t="shared" ref="N86:O86" si="36">B45-N45</f>
        <v>0</v>
      </c>
      <c r="O86">
        <f t="shared" si="36"/>
        <v>0</v>
      </c>
      <c r="Q86">
        <f t="shared" ref="Q86:R86" si="37">B45-Q45</f>
        <v>0</v>
      </c>
      <c r="R86">
        <f t="shared" si="37"/>
        <v>0</v>
      </c>
      <c r="T86">
        <f t="shared" ref="T86:U86" si="38">B45-T45</f>
        <v>0</v>
      </c>
      <c r="U86">
        <f t="shared" si="38"/>
        <v>0</v>
      </c>
      <c r="W86">
        <f t="shared" ref="W86:X86" si="39">B45-W45</f>
        <v>0</v>
      </c>
      <c r="X86">
        <f t="shared" si="39"/>
        <v>0</v>
      </c>
    </row>
    <row r="87" spans="2:24" x14ac:dyDescent="0.45">
      <c r="C87">
        <v>1.75</v>
      </c>
      <c r="E87">
        <f t="shared" si="8"/>
        <v>0.1878271257482993</v>
      </c>
      <c r="F87">
        <f t="shared" si="9"/>
        <v>24.635339319119339</v>
      </c>
      <c r="H87">
        <f t="shared" ref="H87:I87" si="40">B46-H46</f>
        <v>1.2425412288630469</v>
      </c>
      <c r="I87">
        <f t="shared" si="40"/>
        <v>-47.030553710848835</v>
      </c>
      <c r="K87">
        <f t="shared" ref="K87:L87" si="41">B46-K46</f>
        <v>0</v>
      </c>
      <c r="L87">
        <f t="shared" si="41"/>
        <v>0</v>
      </c>
      <c r="N87">
        <f t="shared" ref="N87:O87" si="42">B46-N46</f>
        <v>0</v>
      </c>
      <c r="O87">
        <f t="shared" si="42"/>
        <v>0</v>
      </c>
      <c r="Q87">
        <f t="shared" ref="Q87:R87" si="43">B46-Q46</f>
        <v>0</v>
      </c>
      <c r="R87">
        <f t="shared" si="43"/>
        <v>0</v>
      </c>
      <c r="T87">
        <f t="shared" ref="T87:U87" si="44">B46-T46</f>
        <v>0</v>
      </c>
      <c r="U87">
        <f t="shared" si="44"/>
        <v>0</v>
      </c>
      <c r="W87">
        <f t="shared" ref="W87:X87" si="45">B46-W46</f>
        <v>0</v>
      </c>
      <c r="X87">
        <f t="shared" si="45"/>
        <v>0</v>
      </c>
    </row>
    <row r="88" spans="2:24" x14ac:dyDescent="0.45">
      <c r="C88">
        <v>2</v>
      </c>
      <c r="E88">
        <f t="shared" si="8"/>
        <v>-2.2154686219437281E-2</v>
      </c>
      <c r="F88">
        <f t="shared" si="9"/>
        <v>24.240324614052952</v>
      </c>
      <c r="H88" s="1">
        <f t="shared" ref="H88:I88" si="46">B47-H47</f>
        <v>1.6432751910397201</v>
      </c>
      <c r="I88" s="1">
        <f t="shared" si="46"/>
        <v>-46.260774854440569</v>
      </c>
      <c r="K88">
        <f t="shared" ref="K88:L88" si="47">B47-K47</f>
        <v>0</v>
      </c>
      <c r="L88">
        <f t="shared" si="47"/>
        <v>0</v>
      </c>
      <c r="N88">
        <f t="shared" ref="N88:O88" si="48">B47-N47</f>
        <v>0</v>
      </c>
      <c r="O88">
        <f t="shared" si="48"/>
        <v>0</v>
      </c>
      <c r="Q88">
        <f t="shared" ref="Q88:R88" si="49">B47-Q47</f>
        <v>0</v>
      </c>
      <c r="R88">
        <f t="shared" si="49"/>
        <v>0</v>
      </c>
      <c r="T88">
        <f t="shared" ref="T88:U88" si="50">B47-T47</f>
        <v>0</v>
      </c>
      <c r="U88">
        <f t="shared" si="50"/>
        <v>0</v>
      </c>
      <c r="W88">
        <f t="shared" ref="W88:X88" si="51">B47-W47</f>
        <v>0</v>
      </c>
      <c r="X88">
        <f t="shared" si="51"/>
        <v>0</v>
      </c>
    </row>
    <row r="89" spans="2:24" x14ac:dyDescent="0.45">
      <c r="C89">
        <v>2.25</v>
      </c>
      <c r="E89">
        <f t="shared" si="8"/>
        <v>-2.2181832368005416E-2</v>
      </c>
      <c r="F89" s="3">
        <f t="shared" si="9"/>
        <v>3.1337545260612387E-3</v>
      </c>
      <c r="H89">
        <f t="shared" ref="H89:I89" si="52">B48-H48</f>
        <v>1.2087721842108294</v>
      </c>
      <c r="I89">
        <f t="shared" si="52"/>
        <v>50.159077267467183</v>
      </c>
      <c r="K89">
        <f t="shared" ref="K89:L89" si="53">B48-K48</f>
        <v>0.62172974872737541</v>
      </c>
      <c r="L89">
        <f t="shared" si="53"/>
        <v>-71.772553965713087</v>
      </c>
      <c r="N89">
        <f t="shared" ref="N89:O89" si="54">B48-N48</f>
        <v>0</v>
      </c>
      <c r="O89">
        <f t="shared" si="54"/>
        <v>0</v>
      </c>
      <c r="Q89">
        <f t="shared" ref="Q89:R89" si="55">B48-Q48</f>
        <v>0</v>
      </c>
      <c r="R89">
        <f t="shared" si="55"/>
        <v>0</v>
      </c>
      <c r="T89">
        <f t="shared" ref="T89:U89" si="56">B48-T48</f>
        <v>0</v>
      </c>
      <c r="U89">
        <f t="shared" si="56"/>
        <v>0</v>
      </c>
      <c r="W89">
        <f t="shared" ref="W89:X89" si="57">B48-W48</f>
        <v>0</v>
      </c>
      <c r="X89">
        <f t="shared" si="57"/>
        <v>0</v>
      </c>
    </row>
    <row r="90" spans="2:24" x14ac:dyDescent="0.45">
      <c r="C90">
        <v>2.5</v>
      </c>
      <c r="E90">
        <f t="shared" si="8"/>
        <v>-2.2206908688531257E-2</v>
      </c>
      <c r="F90" s="3">
        <f t="shared" si="9"/>
        <v>2.894813374041405E-3</v>
      </c>
      <c r="H90">
        <f t="shared" ref="H90:I90" si="58">B49-H49</f>
        <v>0.7815302500512189</v>
      </c>
      <c r="I90">
        <f t="shared" si="58"/>
        <v>49.320858200325347</v>
      </c>
      <c r="K90">
        <f t="shared" ref="K90:L90" si="59">B49-K49</f>
        <v>1.2328205144194726</v>
      </c>
      <c r="L90">
        <f t="shared" si="59"/>
        <v>-70.544388535596227</v>
      </c>
      <c r="N90">
        <f t="shared" ref="N90:O90" si="60">B49-N49</f>
        <v>0</v>
      </c>
      <c r="O90">
        <f t="shared" si="60"/>
        <v>0</v>
      </c>
      <c r="Q90">
        <f t="shared" ref="Q90:R90" si="61">B49-Q49</f>
        <v>0</v>
      </c>
      <c r="R90">
        <f t="shared" si="61"/>
        <v>0</v>
      </c>
      <c r="T90">
        <f t="shared" ref="T90:U90" si="62">B49-T49</f>
        <v>0</v>
      </c>
      <c r="U90">
        <f t="shared" si="62"/>
        <v>0</v>
      </c>
      <c r="W90">
        <f t="shared" ref="W90:X90" si="63">B49-W49</f>
        <v>0</v>
      </c>
      <c r="X90">
        <f t="shared" si="63"/>
        <v>0</v>
      </c>
    </row>
    <row r="91" spans="2:24" x14ac:dyDescent="0.45">
      <c r="C91">
        <v>2.75</v>
      </c>
      <c r="E91">
        <f t="shared" si="8"/>
        <v>-2.2229948475796846E-2</v>
      </c>
      <c r="F91" s="3">
        <f t="shared" si="9"/>
        <v>2.6597153546390473E-3</v>
      </c>
      <c r="H91">
        <f t="shared" ref="H91:I91" si="64">B50-H50</f>
        <v>0.36145740019310324</v>
      </c>
      <c r="I91">
        <f t="shared" si="64"/>
        <v>48.493258280583177</v>
      </c>
      <c r="K91">
        <f t="shared" ref="K91:L91" si="65">B50-K50</f>
        <v>1.8334088379569948</v>
      </c>
      <c r="L91">
        <f t="shared" si="65"/>
        <v>-69.331985401562633</v>
      </c>
      <c r="N91">
        <f t="shared" ref="N91:O91" si="66">B50-N50</f>
        <v>0</v>
      </c>
      <c r="O91">
        <f t="shared" si="66"/>
        <v>0</v>
      </c>
      <c r="Q91">
        <f t="shared" ref="Q91:R91" si="67">B50-Q50</f>
        <v>0</v>
      </c>
      <c r="R91">
        <f t="shared" si="67"/>
        <v>0</v>
      </c>
      <c r="T91">
        <f t="shared" ref="T91:U91" si="68">B50-T50</f>
        <v>0</v>
      </c>
      <c r="U91">
        <f t="shared" si="68"/>
        <v>0</v>
      </c>
      <c r="W91">
        <f t="shared" ref="W91:X91" si="69">B50-W50</f>
        <v>0</v>
      </c>
      <c r="X91">
        <f t="shared" si="69"/>
        <v>0</v>
      </c>
    </row>
    <row r="92" spans="2:24" x14ac:dyDescent="0.45">
      <c r="C92">
        <v>3</v>
      </c>
      <c r="E92">
        <f t="shared" si="8"/>
        <v>-2.2250984598940704E-2</v>
      </c>
      <c r="F92" s="3">
        <f t="shared" si="9"/>
        <v>2.4284123319375794E-3</v>
      </c>
      <c r="H92">
        <f t="shared" ref="H92:I92" si="70">B51-H51</f>
        <v>-5.1537315012865292E-2</v>
      </c>
      <c r="I92">
        <f t="shared" si="70"/>
        <v>47.676157599664293</v>
      </c>
      <c r="K92" s="1">
        <f t="shared" ref="K92:L92" si="71">B51-K51</f>
        <v>2.4236297025672684</v>
      </c>
      <c r="L92" s="1">
        <f t="shared" si="71"/>
        <v>-68.135164745903239</v>
      </c>
      <c r="N92">
        <f t="shared" ref="N92:O92" si="72">B51-N51</f>
        <v>0</v>
      </c>
      <c r="O92">
        <f t="shared" si="72"/>
        <v>0</v>
      </c>
      <c r="Q92">
        <f t="shared" ref="Q92:R92" si="73">B51-Q51</f>
        <v>0</v>
      </c>
      <c r="R92">
        <f t="shared" si="73"/>
        <v>0</v>
      </c>
      <c r="T92">
        <f t="shared" ref="T92:U92" si="74">B51-T51</f>
        <v>0</v>
      </c>
      <c r="U92">
        <f t="shared" si="74"/>
        <v>0</v>
      </c>
      <c r="W92">
        <f t="shared" ref="W92:X92" si="75">B51-W51</f>
        <v>0</v>
      </c>
      <c r="X92">
        <f t="shared" si="75"/>
        <v>0</v>
      </c>
    </row>
    <row r="93" spans="2:24" x14ac:dyDescent="0.45">
      <c r="C93">
        <v>3.25</v>
      </c>
      <c r="E93">
        <f t="shared" si="8"/>
        <v>-2.2192947353687487E-2</v>
      </c>
      <c r="F93" s="3">
        <f t="shared" si="9"/>
        <v>-6.6998261054322938E-3</v>
      </c>
      <c r="H93">
        <f t="shared" ref="H93:I93" si="76">B52-H52</f>
        <v>-5.1402890218014363E-2</v>
      </c>
      <c r="I93" s="3">
        <f t="shared" si="76"/>
        <v>-1.5518013848122791E-2</v>
      </c>
      <c r="K93">
        <f t="shared" ref="K93:L93" si="77">B52-K52</f>
        <v>1.7821255200124142</v>
      </c>
      <c r="L93">
        <f t="shared" si="77"/>
        <v>74.055316889505775</v>
      </c>
      <c r="N93">
        <f t="shared" ref="N93:O93" si="78">B52-N52</f>
        <v>0.81542803180946066</v>
      </c>
      <c r="O93">
        <f t="shared" si="78"/>
        <v>-94.133106125183076</v>
      </c>
      <c r="Q93">
        <f t="shared" ref="Q93:R93" si="79">B52-Q52</f>
        <v>0</v>
      </c>
      <c r="R93">
        <f t="shared" si="79"/>
        <v>0</v>
      </c>
      <c r="T93">
        <f t="shared" ref="T93:U93" si="80">B52-T52</f>
        <v>0</v>
      </c>
      <c r="U93">
        <f t="shared" si="80"/>
        <v>0</v>
      </c>
      <c r="W93">
        <f t="shared" ref="W93:X93" si="81">B52-W52</f>
        <v>0</v>
      </c>
      <c r="X93">
        <f t="shared" si="81"/>
        <v>0</v>
      </c>
    </row>
    <row r="94" spans="2:24" x14ac:dyDescent="0.45">
      <c r="C94">
        <v>3.5</v>
      </c>
      <c r="E94">
        <f t="shared" si="8"/>
        <v>-2.213424628280336E-2</v>
      </c>
      <c r="F94" s="3">
        <f t="shared" si="9"/>
        <v>-6.7764582445306587E-3</v>
      </c>
      <c r="H94">
        <f t="shared" ref="H94:I94" si="82">B53-H53</f>
        <v>-5.1266927893266256E-2</v>
      </c>
      <c r="I94" s="3">
        <f t="shared" si="82"/>
        <v>-1.5695506282099814E-2</v>
      </c>
      <c r="K94">
        <f t="shared" ref="K94:L94" si="83">B53-K53</f>
        <v>1.1515029046704512</v>
      </c>
      <c r="L94">
        <f t="shared" si="83"/>
        <v>72.799147514240758</v>
      </c>
      <c r="N94">
        <f t="shared" ref="N94:O94" si="84">B53-N53</f>
        <v>1.6166465246142252</v>
      </c>
      <c r="O94">
        <f t="shared" si="84"/>
        <v>-92.492755302008845</v>
      </c>
      <c r="Q94">
        <f t="shared" ref="Q94:R94" si="85">B53-Q53</f>
        <v>0</v>
      </c>
      <c r="R94">
        <f t="shared" si="85"/>
        <v>0</v>
      </c>
      <c r="T94">
        <f t="shared" ref="T94:U94" si="86">B53-T53</f>
        <v>0</v>
      </c>
      <c r="U94">
        <f t="shared" si="86"/>
        <v>0</v>
      </c>
      <c r="W94">
        <f t="shared" ref="W94:X94" si="87">B53-W53</f>
        <v>0</v>
      </c>
      <c r="X94">
        <f t="shared" si="87"/>
        <v>0</v>
      </c>
    </row>
    <row r="95" spans="2:24" x14ac:dyDescent="0.45">
      <c r="C95">
        <v>3.75</v>
      </c>
      <c r="E95">
        <f t="shared" si="8"/>
        <v>-2.2074897240599967E-2</v>
      </c>
      <c r="F95">
        <f t="shared" si="9"/>
        <v>-6.8512603520503035E-3</v>
      </c>
      <c r="H95">
        <f t="shared" ref="H95:I95" si="88">B54-H54</f>
        <v>-5.1129464754922083E-2</v>
      </c>
      <c r="I95" s="3">
        <f t="shared" si="88"/>
        <v>-1.5868760657212988E-2</v>
      </c>
      <c r="K95">
        <f t="shared" ref="K95:L95" si="89">B54-K54</f>
        <v>0.53162190565035417</v>
      </c>
      <c r="L95">
        <f t="shared" si="89"/>
        <v>71.559134085975529</v>
      </c>
      <c r="N95" s="1">
        <f t="shared" ref="N95:O95" si="90">B54-N54</f>
        <v>2.4038411907349655</v>
      </c>
      <c r="O95" s="1">
        <f t="shared" si="90"/>
        <v>-90.873843130900241</v>
      </c>
      <c r="Q95">
        <f t="shared" ref="Q95:R95" si="91">B54-Q54</f>
        <v>0</v>
      </c>
      <c r="R95">
        <f t="shared" si="91"/>
        <v>0</v>
      </c>
      <c r="T95">
        <f t="shared" ref="T95:U95" si="92">B54-T54</f>
        <v>0</v>
      </c>
      <c r="U95">
        <f t="shared" si="92"/>
        <v>0</v>
      </c>
      <c r="W95">
        <f t="shared" ref="W95:X95" si="93">B54-W54</f>
        <v>0</v>
      </c>
      <c r="X95">
        <f t="shared" si="93"/>
        <v>0</v>
      </c>
    </row>
    <row r="96" spans="2:24" x14ac:dyDescent="0.45">
      <c r="C96">
        <v>4</v>
      </c>
      <c r="E96">
        <f t="shared" si="8"/>
        <v>-2.2014915856743755E-2</v>
      </c>
      <c r="F96">
        <f t="shared" si="9"/>
        <v>-6.9242578001649235E-3</v>
      </c>
      <c r="H96">
        <f t="shared" ref="H96:I96" si="94">B55-H55</f>
        <v>-5.0990537001780467E-2</v>
      </c>
      <c r="I96" s="3">
        <f t="shared" si="94"/>
        <v>-1.6037835705901671E-2</v>
      </c>
      <c r="K96">
        <f t="shared" ref="K96:L96" si="95">B55-K55</f>
        <v>-7.7655823563873128E-2</v>
      </c>
      <c r="L96">
        <f t="shared" si="95"/>
        <v>70.33509139555008</v>
      </c>
      <c r="N96">
        <f t="shared" ref="N96:O96" si="96">B55-N55</f>
        <v>3.1771955849771985</v>
      </c>
      <c r="O96">
        <f t="shared" si="96"/>
        <v>-89.276120547362552</v>
      </c>
      <c r="Q96">
        <f t="shared" ref="Q96:R96" si="97">B55-Q55</f>
        <v>0</v>
      </c>
      <c r="R96">
        <f t="shared" si="97"/>
        <v>0</v>
      </c>
      <c r="T96">
        <f t="shared" ref="T96:U96" si="98">B55-T55</f>
        <v>0</v>
      </c>
      <c r="U96">
        <f t="shared" si="98"/>
        <v>0</v>
      </c>
      <c r="W96">
        <f t="shared" ref="W96:X96" si="99">B55-W55</f>
        <v>0</v>
      </c>
      <c r="X96">
        <f t="shared" si="99"/>
        <v>0</v>
      </c>
    </row>
    <row r="97" spans="3:24" x14ac:dyDescent="0.45">
      <c r="C97">
        <v>4.25</v>
      </c>
      <c r="E97">
        <f t="shared" si="8"/>
        <v>-2.192655213366379E-2</v>
      </c>
      <c r="F97">
        <f t="shared" si="9"/>
        <v>-1.0200718328633229E-2</v>
      </c>
      <c r="H97">
        <f t="shared" ref="H97:I97" si="100">B56-H56</f>
        <v>-5.0785870590516424E-2</v>
      </c>
      <c r="I97" s="3">
        <f t="shared" si="100"/>
        <v>-2.3626714209058264E-2</v>
      </c>
      <c r="K97">
        <f t="shared" ref="K97:L97" si="101">B56-K56</f>
        <v>-7.7344127703327104E-2</v>
      </c>
      <c r="L97">
        <f t="shared" si="101"/>
        <v>-3.5982206063636113E-2</v>
      </c>
      <c r="N97">
        <f t="shared" ref="N97:O97" si="102">B56-N56</f>
        <v>2.3354120359854278</v>
      </c>
      <c r="O97">
        <f t="shared" si="102"/>
        <v>97.175590071108672</v>
      </c>
      <c r="Q97">
        <f t="shared" ref="Q97:R97" si="103">B56-Q56</f>
        <v>1.0026191587094218</v>
      </c>
      <c r="R97">
        <f t="shared" si="103"/>
        <v>-115.74247142401691</v>
      </c>
      <c r="T97">
        <f t="shared" ref="T97:U97" si="104">B56-T56</f>
        <v>0</v>
      </c>
      <c r="U97">
        <f t="shared" si="104"/>
        <v>0</v>
      </c>
      <c r="W97">
        <f t="shared" ref="W97:X97" si="105">B56-W56</f>
        <v>0</v>
      </c>
      <c r="X97">
        <f t="shared" si="105"/>
        <v>0</v>
      </c>
    </row>
    <row r="98" spans="3:24" x14ac:dyDescent="0.45">
      <c r="C98">
        <v>4.5</v>
      </c>
      <c r="E98">
        <f t="shared" si="8"/>
        <v>-2.183803170464671E-2</v>
      </c>
      <c r="F98">
        <f t="shared" si="9"/>
        <v>-1.0218808486570197E-2</v>
      </c>
      <c r="H98">
        <f t="shared" ref="H98:I98" si="106">B57-H57</f>
        <v>-5.0580841223563766E-2</v>
      </c>
      <c r="I98">
        <f t="shared" si="106"/>
        <v>-2.3668613760492008E-2</v>
      </c>
      <c r="K98">
        <f t="shared" ref="K98:L98" si="107">B57-K57</f>
        <v>-7.7031879090100119E-2</v>
      </c>
      <c r="L98">
        <f t="shared" si="107"/>
        <v>-3.6046016058207897E-2</v>
      </c>
      <c r="N98">
        <f t="shared" ref="N98:O98" si="108">B57-N57</f>
        <v>1.5081651422524374</v>
      </c>
      <c r="O98">
        <f t="shared" si="108"/>
        <v>95.497476910137266</v>
      </c>
      <c r="Q98">
        <f t="shared" ref="Q98:R98" si="109">B57-Q57</f>
        <v>1.9873929100867826</v>
      </c>
      <c r="R98">
        <f t="shared" si="109"/>
        <v>-113.68239554146112</v>
      </c>
      <c r="T98">
        <f t="shared" ref="T98:U98" si="110">B57-T57</f>
        <v>0</v>
      </c>
      <c r="U98">
        <f t="shared" si="110"/>
        <v>0</v>
      </c>
      <c r="W98">
        <f t="shared" ref="W98:X98" si="111">B57-W57</f>
        <v>0</v>
      </c>
      <c r="X98">
        <f t="shared" si="111"/>
        <v>0</v>
      </c>
    </row>
    <row r="99" spans="3:24" x14ac:dyDescent="0.45">
      <c r="C99">
        <v>4.75</v>
      </c>
      <c r="E99">
        <f t="shared" si="8"/>
        <v>-2.174936423307372E-2</v>
      </c>
      <c r="F99">
        <f t="shared" si="9"/>
        <v>-1.0235783279313182E-2</v>
      </c>
      <c r="H99">
        <f t="shared" ref="H99:I99" si="112">B58-H58</f>
        <v>-5.0375471284496598E-2</v>
      </c>
      <c r="I99">
        <f t="shared" si="112"/>
        <v>-2.370792949659517E-2</v>
      </c>
      <c r="K99">
        <f t="shared" ref="K99:L99" si="113">B58-K58</f>
        <v>-7.6719111808415619E-2</v>
      </c>
      <c r="L99">
        <f t="shared" si="113"/>
        <v>-3.6105891061197326E-2</v>
      </c>
      <c r="N99">
        <f t="shared" ref="N99:O99" si="114">B58-N58</f>
        <v>0.6952645307428611</v>
      </c>
      <c r="O99">
        <f t="shared" si="114"/>
        <v>93.841340434037193</v>
      </c>
      <c r="Q99">
        <f t="shared" ref="Q99:R99" si="115">B58-Q58</f>
        <v>2.9545594784749483</v>
      </c>
      <c r="R99">
        <f t="shared" si="115"/>
        <v>-111.64982030455212</v>
      </c>
      <c r="T99">
        <f t="shared" ref="T99:U99" si="116">B58-T58</f>
        <v>0</v>
      </c>
      <c r="U99">
        <f t="shared" si="116"/>
        <v>0</v>
      </c>
      <c r="W99">
        <f t="shared" ref="W99:X99" si="117">B58-W58</f>
        <v>0</v>
      </c>
      <c r="X99">
        <f t="shared" si="117"/>
        <v>0</v>
      </c>
    </row>
    <row r="100" spans="3:24" x14ac:dyDescent="0.45">
      <c r="C100">
        <v>5</v>
      </c>
      <c r="E100">
        <f t="shared" si="8"/>
        <v>-2.1660559224983444E-2</v>
      </c>
      <c r="F100">
        <f t="shared" si="9"/>
        <v>-1.0251660432004428E-2</v>
      </c>
      <c r="H100">
        <f t="shared" ref="H100:I100" si="118">B59-H59</f>
        <v>-5.0169782787634176E-2</v>
      </c>
      <c r="I100">
        <f t="shared" si="118"/>
        <v>-2.3744703792544897E-2</v>
      </c>
      <c r="K100">
        <f t="shared" ref="K100:L100" si="119">B59-K59</f>
        <v>-7.6405859388614772E-2</v>
      </c>
      <c r="L100">
        <f t="shared" si="119"/>
        <v>-3.6161895609438943E-2</v>
      </c>
      <c r="N100">
        <f t="shared" ref="N100:O100" si="120">B59-N59</f>
        <v>-0.10347794920289743</v>
      </c>
      <c r="O100">
        <f t="shared" si="120"/>
        <v>92.206924091789915</v>
      </c>
      <c r="Q100">
        <f t="shared" ref="Q100:R100" si="121">B59-Q59</f>
        <v>3.9043542613799218</v>
      </c>
      <c r="R100">
        <f t="shared" si="121"/>
        <v>-109.64441938311029</v>
      </c>
      <c r="T100">
        <f t="shared" ref="T100:U100" si="122">B59-T59</f>
        <v>0</v>
      </c>
      <c r="U100">
        <f t="shared" si="122"/>
        <v>0</v>
      </c>
      <c r="W100">
        <f t="shared" ref="W100:X100" si="123">B59-W59</f>
        <v>0</v>
      </c>
      <c r="X100">
        <f t="shared" si="123"/>
        <v>0</v>
      </c>
    </row>
    <row r="101" spans="3:24" x14ac:dyDescent="0.45">
      <c r="C101">
        <v>5.25</v>
      </c>
      <c r="E101">
        <f t="shared" si="8"/>
        <v>-2.1542574749219057E-2</v>
      </c>
      <c r="F101">
        <f t="shared" si="9"/>
        <v>-1.3620141299725219E-2</v>
      </c>
      <c r="H101">
        <f t="shared" ref="H101:I101" si="124">B60-H60</f>
        <v>-4.9896509342033823E-2</v>
      </c>
      <c r="I101">
        <f t="shared" si="124"/>
        <v>-3.1546717989840545E-2</v>
      </c>
      <c r="K101">
        <f t="shared" ref="K101:L101" si="125">B60-K60</f>
        <v>-7.5989678734003974E-2</v>
      </c>
      <c r="L101" s="3">
        <f t="shared" si="125"/>
        <v>-4.8043942733784206E-2</v>
      </c>
      <c r="N101">
        <f t="shared" ref="N101:O101" si="126">B60-N60</f>
        <v>-0.10291430758843489</v>
      </c>
      <c r="O101" s="3">
        <f t="shared" si="126"/>
        <v>-6.5066852864219982E-2</v>
      </c>
      <c r="Q101" s="1">
        <f t="shared" ref="Q101:R101" si="127">B60-Q60</f>
        <v>3.3605454997568813</v>
      </c>
      <c r="R101" s="1">
        <f t="shared" si="127"/>
        <v>62.777346219279934</v>
      </c>
      <c r="T101">
        <f t="shared" ref="T101:U101" si="128">B60-T60</f>
        <v>0.69152701216262358</v>
      </c>
      <c r="U101">
        <f t="shared" si="128"/>
        <v>-79.829958114047258</v>
      </c>
      <c r="W101">
        <f t="shared" ref="W101:X101" si="129">B60-W60</f>
        <v>0</v>
      </c>
      <c r="X101">
        <f t="shared" si="129"/>
        <v>0</v>
      </c>
    </row>
    <row r="102" spans="3:24" x14ac:dyDescent="0.45">
      <c r="C102">
        <v>5.5</v>
      </c>
      <c r="E102">
        <f t="shared" si="8"/>
        <v>-2.142496362557722E-2</v>
      </c>
      <c r="F102">
        <f t="shared" si="9"/>
        <v>-1.3577041658209055E-2</v>
      </c>
      <c r="H102">
        <f t="shared" ref="H102:I102" si="130">B61-H61</f>
        <v>-4.9624100647633895E-2</v>
      </c>
      <c r="I102">
        <f t="shared" si="130"/>
        <v>-3.1446891109226272E-2</v>
      </c>
      <c r="K102">
        <f t="shared" ref="K102:L102" si="131">B61-K61</f>
        <v>-7.55748150522777E-2</v>
      </c>
      <c r="L102" s="3">
        <f t="shared" si="131"/>
        <v>-4.7891911386614083E-2</v>
      </c>
      <c r="N102">
        <f t="shared" ref="N102:O102" si="132">B61-N61</f>
        <v>-0.10235244958039402</v>
      </c>
      <c r="O102" s="3">
        <f t="shared" si="132"/>
        <v>-6.4860953256356879E-2</v>
      </c>
      <c r="Q102">
        <f t="shared" ref="Q102:R102" si="133">B61-Q61</f>
        <v>2.826146309467731</v>
      </c>
      <c r="R102">
        <f t="shared" si="133"/>
        <v>61.691104217988141</v>
      </c>
      <c r="T102">
        <f t="shared" ref="T102:U102" si="134">B61-T61</f>
        <v>1.370578653197299</v>
      </c>
      <c r="U102">
        <f t="shared" si="134"/>
        <v>-78.389799830673837</v>
      </c>
      <c r="W102">
        <f t="shared" ref="W102:X102" si="135">B61-W61</f>
        <v>0</v>
      </c>
      <c r="X102">
        <f t="shared" si="135"/>
        <v>0</v>
      </c>
    </row>
    <row r="103" spans="3:24" x14ac:dyDescent="0.45">
      <c r="C103">
        <v>5.75</v>
      </c>
      <c r="E103">
        <f t="shared" si="8"/>
        <v>-2.1307728652573132E-2</v>
      </c>
      <c r="F103">
        <f t="shared" si="9"/>
        <v>-1.3533618856854446E-2</v>
      </c>
      <c r="H103">
        <f t="shared" ref="H103:I103" si="136">B62-H62</f>
        <v>-4.9352563186403131E-2</v>
      </c>
      <c r="I103">
        <f t="shared" si="136"/>
        <v>-3.1346315918199252E-2</v>
      </c>
      <c r="K103">
        <f t="shared" ref="K103:L103" si="137">B62-K62</f>
        <v>-7.5161278216000937E-2</v>
      </c>
      <c r="L103" s="3">
        <f t="shared" si="137"/>
        <v>-4.7738740140630398E-2</v>
      </c>
      <c r="N103">
        <f t="shared" ref="N103:O103" si="138">B62-N62</f>
        <v>-0.10179238855198491</v>
      </c>
      <c r="O103" s="3">
        <f t="shared" si="138"/>
        <v>-6.4653509874915471E-2</v>
      </c>
      <c r="Q103">
        <f t="shared" ref="Q103:R103" si="139">B62-Q62</f>
        <v>2.3010319249269742</v>
      </c>
      <c r="R103">
        <f t="shared" si="139"/>
        <v>60.619265170646031</v>
      </c>
      <c r="T103">
        <f t="shared" ref="T103:U103" si="140">B62-T62</f>
        <v>2.0373237194371541</v>
      </c>
      <c r="U103">
        <f t="shared" si="140"/>
        <v>-76.969127415774892</v>
      </c>
      <c r="W103">
        <f t="shared" ref="W103:X103" si="141">B62-W62</f>
        <v>0</v>
      </c>
      <c r="X103">
        <f t="shared" si="141"/>
        <v>0</v>
      </c>
    </row>
    <row r="104" spans="3:24" x14ac:dyDescent="0.45">
      <c r="C104">
        <v>6</v>
      </c>
      <c r="E104">
        <f t="shared" si="8"/>
        <v>-2.1190872547776962E-2</v>
      </c>
      <c r="F104">
        <f t="shared" si="9"/>
        <v>-1.3489882163412403E-2</v>
      </c>
      <c r="H104">
        <f t="shared" ref="H104:I104" si="142">B63-H63</f>
        <v>-4.908190325841133E-2</v>
      </c>
      <c r="I104">
        <f t="shared" si="142"/>
        <v>-3.1245013341504091E-2</v>
      </c>
      <c r="K104">
        <f t="shared" ref="K104:L104" si="143">B63-K63</f>
        <v>-7.4749077816704812E-2</v>
      </c>
      <c r="L104" s="3">
        <f t="shared" si="143"/>
        <v>-4.7584461689439195E-2</v>
      </c>
      <c r="N104">
        <f t="shared" ref="N104:O104" si="144">B63-N63</f>
        <v>-0.10123413748988241</v>
      </c>
      <c r="O104" s="3">
        <f t="shared" si="144"/>
        <v>-6.4444567002283293E-2</v>
      </c>
      <c r="Q104">
        <f t="shared" ref="Q104:R104" si="145">B63-Q63</f>
        <v>1.7850790591892292</v>
      </c>
      <c r="R104">
        <f t="shared" si="145"/>
        <v>59.561658382483074</v>
      </c>
      <c r="T104">
        <f t="shared" ref="T104:U104" si="146">B63-T63</f>
        <v>2.6919289770867181</v>
      </c>
      <c r="U104">
        <f t="shared" si="146"/>
        <v>-75.567706510833887</v>
      </c>
      <c r="W104">
        <f t="shared" ref="W104:X104" si="147">B63-W63</f>
        <v>0</v>
      </c>
      <c r="X104">
        <f t="shared" si="147"/>
        <v>0</v>
      </c>
    </row>
    <row r="105" spans="3:24" x14ac:dyDescent="0.45">
      <c r="C105">
        <v>6.25</v>
      </c>
      <c r="E105">
        <f t="shared" si="8"/>
        <v>-2.1074397951451829E-2</v>
      </c>
      <c r="F105">
        <f t="shared" si="9"/>
        <v>-1.3445840709209733E-2</v>
      </c>
      <c r="H105">
        <f t="shared" ref="H105:I105" si="148">B64-H64</f>
        <v>-4.8812126975462888E-2</v>
      </c>
      <c r="I105">
        <f t="shared" si="148"/>
        <v>-3.1143005071498919E-2</v>
      </c>
      <c r="K105">
        <f t="shared" ref="K105:L105" si="149">B64-K64</f>
        <v>-7.4338223164886585E-2</v>
      </c>
      <c r="L105" s="3">
        <f t="shared" si="149"/>
        <v>-4.7429108239157358E-2</v>
      </c>
      <c r="N105">
        <f t="shared" ref="N105:O105" si="150">B64-N64</f>
        <v>-0.10067770900695905</v>
      </c>
      <c r="O105" s="3">
        <f t="shared" si="150"/>
        <v>-6.4234168249640788E-2</v>
      </c>
      <c r="Q105">
        <f t="shared" ref="Q105:R105" si="151">B64-Q64</f>
        <v>1.2781658874810091</v>
      </c>
      <c r="R105">
        <f t="shared" si="151"/>
        <v>58.518115060221135</v>
      </c>
      <c r="T105">
        <f t="shared" ref="T105:U105" si="152">B64-T64</f>
        <v>3.3345591851148129</v>
      </c>
      <c r="U105">
        <f t="shared" si="152"/>
        <v>-74.185305400028483</v>
      </c>
      <c r="W105">
        <f t="shared" ref="W105:X105" si="153">B64-W64</f>
        <v>0</v>
      </c>
      <c r="X105">
        <f t="shared" si="153"/>
        <v>0</v>
      </c>
    </row>
    <row r="106" spans="3:24" x14ac:dyDescent="0.45">
      <c r="C106">
        <v>6.5</v>
      </c>
      <c r="E106">
        <f t="shared" si="8"/>
        <v>-2.0958307425644307E-2</v>
      </c>
      <c r="F106">
        <f t="shared" si="9"/>
        <v>-1.3401503483692068E-2</v>
      </c>
      <c r="H106">
        <f t="shared" ref="H106:I106" si="154">B65-H65</f>
        <v>-4.8543240274739219E-2</v>
      </c>
      <c r="I106">
        <f t="shared" si="154"/>
        <v>-3.1040311750075489E-2</v>
      </c>
      <c r="K106">
        <f t="shared" ref="K106:L106" si="155">B65-K65</f>
        <v>-7.3928723300923593E-2</v>
      </c>
      <c r="L106" s="3">
        <f t="shared" si="155"/>
        <v>-4.7272711502955644E-2</v>
      </c>
      <c r="N106">
        <f t="shared" ref="N106:O106" si="156">B65-N65</f>
        <v>-0.10012311534228502</v>
      </c>
      <c r="O106" s="3">
        <f t="shared" si="156"/>
        <v>-6.4022356391433277E-2</v>
      </c>
      <c r="Q106">
        <f t="shared" ref="Q106:R106" si="157">B65-Q65</f>
        <v>0.78017203091167175</v>
      </c>
      <c r="R106">
        <f t="shared" si="157"/>
        <v>57.488468290808669</v>
      </c>
      <c r="T106">
        <f t="shared" ref="T106:U106" si="158">B65-T65</f>
        <v>3.965377117886419</v>
      </c>
      <c r="U106">
        <f t="shared" si="158"/>
        <v>-72.821694980728353</v>
      </c>
      <c r="W106">
        <f t="shared" ref="W106:X106" si="159">B65-W65</f>
        <v>0</v>
      </c>
      <c r="X106">
        <f t="shared" si="159"/>
        <v>0</v>
      </c>
    </row>
    <row r="107" spans="3:24" x14ac:dyDescent="0.45">
      <c r="C107">
        <v>6.75</v>
      </c>
      <c r="E107">
        <f t="shared" si="8"/>
        <v>-2.0842603458731901E-2</v>
      </c>
      <c r="F107">
        <f t="shared" si="9"/>
        <v>-1.3356879340790329E-2</v>
      </c>
      <c r="H107">
        <f t="shared" ref="H107:I107" si="160">B66-H66</f>
        <v>-4.8275248912432289E-2</v>
      </c>
      <c r="I107">
        <f t="shared" si="160"/>
        <v>-3.093695388361084E-2</v>
      </c>
      <c r="K107">
        <f t="shared" ref="K107:L107" si="161">B66-K66</f>
        <v>-7.3520586992344761E-2</v>
      </c>
      <c r="L107" s="3">
        <f t="shared" si="161"/>
        <v>-4.7115302711063123E-2</v>
      </c>
      <c r="N107">
        <f t="shared" ref="N107:O107" si="162">B66-N66</f>
        <v>-9.957036837022315E-2</v>
      </c>
      <c r="O107" s="3">
        <f t="shared" si="162"/>
        <v>-6.3809174255766266E-2</v>
      </c>
      <c r="Q107">
        <f t="shared" ref="Q107:R107" si="163">B66-Q66</f>
        <v>0.29097854036353965</v>
      </c>
      <c r="R107">
        <f t="shared" si="163"/>
        <v>56.47255302148551</v>
      </c>
      <c r="T107">
        <f t="shared" ref="T107:U107" si="164">B66-T66</f>
        <v>4.5845435875708063</v>
      </c>
      <c r="U107">
        <f t="shared" si="164"/>
        <v>-71.476648737153482</v>
      </c>
      <c r="W107">
        <f t="shared" ref="W107:X107" si="165">B66-W66</f>
        <v>0</v>
      </c>
      <c r="X107">
        <f t="shared" si="165"/>
        <v>0</v>
      </c>
    </row>
    <row r="108" spans="3:24" x14ac:dyDescent="0.45">
      <c r="C108">
        <v>7</v>
      </c>
      <c r="E108">
        <f t="shared" si="8"/>
        <v>-2.0727288458147086E-2</v>
      </c>
      <c r="F108">
        <f t="shared" si="9"/>
        <v>-1.3311976999830222E-2</v>
      </c>
      <c r="H108">
        <f t="shared" ref="H108:I108" si="166">B67-H67</f>
        <v>-4.8008158468292095E-2</v>
      </c>
      <c r="I108">
        <f t="shared" si="166"/>
        <v>-3.0832951667434827E-2</v>
      </c>
      <c r="K108">
        <f t="shared" ref="K108:L108" si="167">B67-K67</f>
        <v>-7.3113822737468581E-2</v>
      </c>
      <c r="L108" s="3">
        <f t="shared" si="167"/>
        <v>-4.6956912618952629E-2</v>
      </c>
      <c r="N108">
        <f t="shared" ref="N108:O108" si="168">B67-N67</f>
        <v>-9.9019479603157379E-2</v>
      </c>
      <c r="O108" s="3">
        <f t="shared" si="168"/>
        <v>-6.3594662961804715E-2</v>
      </c>
      <c r="Q108">
        <f t="shared" ref="Q108:R108" si="169">B67-Q67</f>
        <v>-0.18953211945608928</v>
      </c>
      <c r="R108">
        <f t="shared" si="169"/>
        <v>55.470206039844925</v>
      </c>
      <c r="T108">
        <f t="shared" ref="T108:U108" si="170">B67-T67</f>
        <v>5.1922174662931866</v>
      </c>
      <c r="U108">
        <f t="shared" si="170"/>
        <v>-70.149942709710558</v>
      </c>
      <c r="W108">
        <f t="shared" ref="W108:X108" si="171">B67-W67</f>
        <v>0</v>
      </c>
      <c r="X108">
        <f t="shared" si="171"/>
        <v>0</v>
      </c>
    </row>
    <row r="109" spans="3:24" x14ac:dyDescent="0.45">
      <c r="C109">
        <v>7.25</v>
      </c>
      <c r="E109">
        <f t="shared" si="8"/>
        <v>-2.058242450493708E-2</v>
      </c>
      <c r="F109">
        <f t="shared" si="9"/>
        <v>-1.6723111599276308E-2</v>
      </c>
      <c r="H109">
        <f t="shared" ref="H109:I109" si="172">B68-H68</f>
        <v>-4.7672627280917368E-2</v>
      </c>
      <c r="I109">
        <f t="shared" si="172"/>
        <v>-3.8733759127353551E-2</v>
      </c>
      <c r="K109">
        <f t="shared" ref="K109:L109" si="173">B68-K68</f>
        <v>-7.2602826923684916E-2</v>
      </c>
      <c r="L109">
        <f t="shared" si="173"/>
        <v>-5.8989415842006565E-2</v>
      </c>
      <c r="N109">
        <f t="shared" ref="N109:O109" si="174">B68-N68</f>
        <v>-9.8327427971526049E-2</v>
      </c>
      <c r="O109" s="3">
        <f t="shared" si="174"/>
        <v>-7.989052032098698E-2</v>
      </c>
      <c r="Q109">
        <f t="shared" ref="Q109:R109" si="175">B68-Q68</f>
        <v>-0.18820747082736489</v>
      </c>
      <c r="R109">
        <f t="shared" si="175"/>
        <v>-0.15291759069896216</v>
      </c>
      <c r="T109" s="1">
        <f t="shared" ref="T109:U109" si="176">B68-T68</f>
        <v>4.6781043073124238</v>
      </c>
      <c r="U109" s="1">
        <f t="shared" si="176"/>
        <v>59.349282421982025</v>
      </c>
      <c r="W109">
        <f t="shared" ref="W109:X109" si="177">B68-W68</f>
        <v>0.63771690118392144</v>
      </c>
      <c r="X109">
        <f t="shared" si="177"/>
        <v>-73.618112690824091</v>
      </c>
    </row>
    <row r="110" spans="3:24" x14ac:dyDescent="0.45">
      <c r="C110">
        <v>7.5</v>
      </c>
      <c r="E110">
        <f t="shared" si="8"/>
        <v>-2.0438487780666037E-2</v>
      </c>
      <c r="F110">
        <f t="shared" si="9"/>
        <v>-1.6616072163742501E-2</v>
      </c>
      <c r="H110">
        <f t="shared" ref="H110:I110" si="178">B69-H69</f>
        <v>-4.7339243721580715E-2</v>
      </c>
      <c r="I110">
        <f t="shared" si="178"/>
        <v>-3.8485836683321395E-2</v>
      </c>
      <c r="K110">
        <f t="shared" ref="K110:L110" si="179">B69-K69</f>
        <v>-7.2095101830200292E-2</v>
      </c>
      <c r="L110">
        <f t="shared" si="179"/>
        <v>-5.8611843432117894E-2</v>
      </c>
      <c r="N110">
        <f t="shared" ref="N110:O110" si="180">B69-N69</f>
        <v>-9.7639805946528213E-2</v>
      </c>
      <c r="O110" s="3">
        <f t="shared" si="180"/>
        <v>-7.9379166025319137E-2</v>
      </c>
      <c r="Q110">
        <f t="shared" ref="Q110:R110" si="181">B69-Q69</f>
        <v>-0.18689130086750083</v>
      </c>
      <c r="R110">
        <f t="shared" si="181"/>
        <v>-0.15193881214145222</v>
      </c>
      <c r="T110">
        <f t="shared" ref="T110:U110" si="182">B69-T69</f>
        <v>4.1728083850111943</v>
      </c>
      <c r="U110">
        <f t="shared" si="182"/>
        <v>58.331419601842754</v>
      </c>
      <c r="W110">
        <f t="shared" ref="W110:X110" si="183">B69-W69</f>
        <v>1.2638737898496402</v>
      </c>
      <c r="X110">
        <f t="shared" si="183"/>
        <v>-72.283623511180849</v>
      </c>
    </row>
    <row r="111" spans="3:24" x14ac:dyDescent="0.45">
      <c r="C111">
        <v>7.75</v>
      </c>
      <c r="E111">
        <f t="shared" si="8"/>
        <v>-2.0295473338592274E-2</v>
      </c>
      <c r="F111">
        <f t="shared" si="9"/>
        <v>-1.6509603734448319E-2</v>
      </c>
      <c r="H111">
        <f t="shared" ref="H111:I111" si="184">B70-H70</f>
        <v>-4.700799634156283E-2</v>
      </c>
      <c r="I111">
        <f t="shared" si="184"/>
        <v>-3.8239235829678364E-2</v>
      </c>
      <c r="K111">
        <f t="shared" ref="K111:L111" si="185">B70-K70</f>
        <v>-7.1590630022910773E-2</v>
      </c>
      <c r="L111">
        <f t="shared" si="185"/>
        <v>-5.8236283653968712E-2</v>
      </c>
      <c r="N111">
        <f t="shared" ref="N111:O111" si="186">B70-N70</f>
        <v>-9.6956589908586466E-2</v>
      </c>
      <c r="O111" s="3">
        <f t="shared" si="186"/>
        <v>-7.8870538285627845E-2</v>
      </c>
      <c r="Q111">
        <f t="shared" ref="Q111:R111" si="187">B70-Q70</f>
        <v>-0.18558356437551993</v>
      </c>
      <c r="R111">
        <f t="shared" si="187"/>
        <v>-0.15096525166063657</v>
      </c>
      <c r="T111">
        <f t="shared" ref="T111:U111" si="188">B70-T70</f>
        <v>3.6762127774027249</v>
      </c>
      <c r="U111">
        <f t="shared" si="188"/>
        <v>57.327054269433575</v>
      </c>
      <c r="W111">
        <f t="shared" ref="W111:X111" si="189">B70-W70</f>
        <v>1.8786278302550272</v>
      </c>
      <c r="X111">
        <f t="shared" si="189"/>
        <v>-70.967277391759126</v>
      </c>
    </row>
    <row r="112" spans="3:24" x14ac:dyDescent="0.45">
      <c r="C112">
        <v>8</v>
      </c>
      <c r="E112">
        <f t="shared" si="8"/>
        <v>-2.0153376251073496E-2</v>
      </c>
      <c r="F112">
        <f t="shared" si="9"/>
        <v>-1.6403704036747513E-2</v>
      </c>
      <c r="H112">
        <f t="shared" ref="H112:I112" si="190">B71-H71</f>
        <v>-4.6678873719429248E-2</v>
      </c>
      <c r="I112">
        <f t="shared" si="190"/>
        <v>-3.7993953396835423E-2</v>
      </c>
      <c r="K112">
        <f t="shared" ref="K112:L112" si="191">B71-K71</f>
        <v>-7.1089394111368165E-2</v>
      </c>
      <c r="L112">
        <f t="shared" si="191"/>
        <v>-5.786273141620768E-2</v>
      </c>
      <c r="N112">
        <f t="shared" ref="N112:O112" si="192">B71-N71</f>
        <v>-9.6277756311792473E-2</v>
      </c>
      <c r="O112" s="3">
        <f t="shared" si="192"/>
        <v>-7.8364628830058791E-2</v>
      </c>
      <c r="Q112">
        <f t="shared" ref="Q112:R112" si="193">B71-Q71</f>
        <v>-0.18428421627413627</v>
      </c>
      <c r="R112">
        <f t="shared" si="193"/>
        <v>-0.14999689490105084</v>
      </c>
      <c r="T112">
        <f t="shared" ref="T112:U112" si="194">B71-T71</f>
        <v>3.1882019515960565</v>
      </c>
      <c r="U112">
        <f t="shared" si="194"/>
        <v>56.336026067126113</v>
      </c>
      <c r="W112">
        <f t="shared" ref="W112:X112" si="195">B71-W71</f>
        <v>2.4821342873301546</v>
      </c>
      <c r="X112">
        <f t="shared" si="195"/>
        <v>-69.668855073596205</v>
      </c>
    </row>
    <row r="113" spans="3:24" x14ac:dyDescent="0.45">
      <c r="C113">
        <v>8.25</v>
      </c>
      <c r="E113">
        <f t="shared" si="8"/>
        <v>-2.0012191603200336E-2</v>
      </c>
      <c r="F113">
        <f t="shared" si="9"/>
        <v>-1.629837197924644E-2</v>
      </c>
      <c r="H113">
        <f t="shared" ref="H113:I113" si="196">B72-H72</f>
        <v>-4.6351864474672766E-2</v>
      </c>
      <c r="I113">
        <f t="shared" si="196"/>
        <v>-3.7749985154732713E-2</v>
      </c>
      <c r="K113">
        <f t="shared" ref="K113:L113" si="197">B72-K72</f>
        <v>-7.0591376756965474E-2</v>
      </c>
      <c r="L113">
        <f t="shared" si="197"/>
        <v>-5.7491181049044826E-2</v>
      </c>
      <c r="N113">
        <f t="shared" ref="N113:O113" si="198">B72-N72</f>
        <v>-9.5603281668445561E-2</v>
      </c>
      <c r="O113" s="3">
        <f t="shared" si="198"/>
        <v>-7.78614304963412E-2</v>
      </c>
      <c r="Q113">
        <f t="shared" ref="Q113:R113" si="199">B72-Q72</f>
        <v>-0.18299321161339321</v>
      </c>
      <c r="R113">
        <f t="shared" si="199"/>
        <v>-0.14903372701155604</v>
      </c>
      <c r="T113">
        <f t="shared" ref="T113:U113" si="200">B72-T72</f>
        <v>2.7086617482837028</v>
      </c>
      <c r="U113">
        <f t="shared" si="200"/>
        <v>55.358176428415391</v>
      </c>
      <c r="W113">
        <f t="shared" ref="W113:X113" si="201">B72-W72</f>
        <v>3.074546548190483</v>
      </c>
      <c r="X113">
        <f t="shared" si="201"/>
        <v>-68.388139781893187</v>
      </c>
    </row>
    <row r="114" spans="3:24" x14ac:dyDescent="0.45">
      <c r="C114">
        <v>8.5</v>
      </c>
      <c r="E114">
        <f t="shared" si="8"/>
        <v>-1.9871914493705845E-2</v>
      </c>
      <c r="F114">
        <f t="shared" si="9"/>
        <v>-1.6193605929402111E-2</v>
      </c>
      <c r="H114">
        <f t="shared" ref="H114:I114" si="202">B73-H73</f>
        <v>-4.6026957250433043E-2</v>
      </c>
      <c r="I114">
        <f t="shared" si="202"/>
        <v>-3.750732734806661E-2</v>
      </c>
      <c r="K114">
        <f t="shared" ref="K114:L114" si="203">B73-K73</f>
        <v>-7.0096560670208419E-2</v>
      </c>
      <c r="L114">
        <f t="shared" si="203"/>
        <v>-5.7121626323350938E-2</v>
      </c>
      <c r="N114">
        <f t="shared" ref="N114:O114" si="204">B73-N73</f>
        <v>-9.4933142566333117E-2</v>
      </c>
      <c r="O114" s="3">
        <f t="shared" si="204"/>
        <v>-7.736093552193779E-2</v>
      </c>
      <c r="Q114">
        <f t="shared" ref="Q114:R114" si="205">B73-Q73</f>
        <v>-0.18171050557339186</v>
      </c>
      <c r="R114">
        <f t="shared" si="205"/>
        <v>-0.14807573347752623</v>
      </c>
      <c r="T114">
        <f t="shared" ref="T114:U114" si="206">B73-T73</f>
        <v>2.2374793663857417</v>
      </c>
      <c r="U114">
        <f t="shared" si="206"/>
        <v>54.39334855953166</v>
      </c>
      <c r="W114">
        <f t="shared" ref="W114:X114" si="207">B73-W73</f>
        <v>3.6560161434263136</v>
      </c>
      <c r="X114">
        <f t="shared" si="207"/>
        <v>-67.124917198986623</v>
      </c>
    </row>
    <row r="115" spans="3:24" x14ac:dyDescent="0.45">
      <c r="C115">
        <v>8.75</v>
      </c>
      <c r="E115">
        <f t="shared" si="8"/>
        <v>-1.9732540033146506E-2</v>
      </c>
      <c r="F115">
        <f t="shared" si="9"/>
        <v>-1.6089403753539955E-2</v>
      </c>
      <c r="H115">
        <f t="shared" ref="H115:I115" si="208">B74-H74</f>
        <v>-4.5704140728048515E-2</v>
      </c>
      <c r="I115">
        <f t="shared" si="208"/>
        <v>-3.7265976672642864E-2</v>
      </c>
      <c r="K115">
        <f t="shared" ref="K115:L115" si="209">B74-K74</f>
        <v>-6.9604928607077454E-2</v>
      </c>
      <c r="L115">
        <f t="shared" si="209"/>
        <v>-5.6754061955871293E-2</v>
      </c>
      <c r="N115">
        <f t="shared" ref="N115:O115" si="210">B74-N74</f>
        <v>-9.4267315652359684E-2</v>
      </c>
      <c r="O115" s="3">
        <f t="shared" si="210"/>
        <v>-7.68631355749676E-2</v>
      </c>
      <c r="Q115">
        <f t="shared" ref="Q115:R115" si="211">B74-Q74</f>
        <v>-0.18043605345701508</v>
      </c>
      <c r="R115">
        <f t="shared" si="211"/>
        <v>-0.14712289913131826</v>
      </c>
      <c r="T115">
        <f t="shared" ref="T115:U115" si="212">B74-T74</f>
        <v>1.7745433478567065</v>
      </c>
      <c r="U115">
        <f t="shared" si="212"/>
        <v>53.441387420374667</v>
      </c>
      <c r="W115">
        <f t="shared" ref="W115:X115" si="213">B74-W74</f>
        <v>4.2266927681548623</v>
      </c>
      <c r="X115">
        <f t="shared" si="213"/>
        <v>-65.878975437618465</v>
      </c>
    </row>
    <row r="116" spans="3:24" x14ac:dyDescent="0.45">
      <c r="C116">
        <v>9</v>
      </c>
      <c r="E116">
        <f t="shared" si="8"/>
        <v>-1.9594063349359203E-2</v>
      </c>
      <c r="F116">
        <f t="shared" si="9"/>
        <v>-1.598576445303479E-2</v>
      </c>
      <c r="H116">
        <f t="shared" ref="H116:I116" si="214">B75-H75</f>
        <v>-4.5383403620689933E-2</v>
      </c>
      <c r="I116">
        <f t="shared" si="214"/>
        <v>-3.7025928632829164E-2</v>
      </c>
      <c r="K116">
        <f t="shared" ref="K116:L116" si="215">B75-K75</f>
        <v>-6.9116463381760695E-2</v>
      </c>
      <c r="L116">
        <f t="shared" si="215"/>
        <v>-5.638848209673597E-2</v>
      </c>
      <c r="N116">
        <f t="shared" ref="N116:O116" si="216">B75-N75</f>
        <v>-9.3605777652555844E-2</v>
      </c>
      <c r="O116" s="3">
        <f t="shared" si="216"/>
        <v>-7.6368023236682347E-2</v>
      </c>
      <c r="Q116">
        <f t="shared" ref="Q116:R116" si="217">B75-Q75</f>
        <v>-0.17916981071084592</v>
      </c>
      <c r="R116">
        <f t="shared" si="217"/>
        <v>-0.14617520898264047</v>
      </c>
      <c r="T116">
        <f t="shared" ref="T116:U116" si="218">B75-T75</f>
        <v>1.319743562662552</v>
      </c>
      <c r="U116">
        <f t="shared" si="218"/>
        <v>52.50213970484765</v>
      </c>
      <c r="W116">
        <f t="shared" ref="W116:X116" si="219">B75-W75</f>
        <v>4.7867243028422308</v>
      </c>
      <c r="X116">
        <f t="shared" si="219"/>
        <v>-64.650105014486144</v>
      </c>
    </row>
    <row r="117" spans="3:24" x14ac:dyDescent="0.45">
      <c r="C117">
        <v>9.25</v>
      </c>
      <c r="E117">
        <f t="shared" si="8"/>
        <v>-1.9456479584732733E-2</v>
      </c>
      <c r="F117">
        <f t="shared" si="9"/>
        <v>-1.5882685699580179E-2</v>
      </c>
      <c r="H117">
        <f t="shared" ref="H117:I117" si="220">B76-H76</f>
        <v>-4.5064734675179352E-2</v>
      </c>
      <c r="I117">
        <f t="shared" si="220"/>
        <v>-3.6787179845305218E-2</v>
      </c>
      <c r="K117">
        <f t="shared" ref="K117:L117" si="221">B76-K76</f>
        <v>-6.8631147856649477E-2</v>
      </c>
      <c r="L117">
        <f t="shared" si="221"/>
        <v>-5.6024880195764126E-2</v>
      </c>
      <c r="N117">
        <f t="shared" ref="N117:O117" si="222">B76-N76</f>
        <v>-9.2948505350250343E-2</v>
      </c>
      <c r="O117" s="3">
        <f t="shared" si="222"/>
        <v>-7.5875590349824051E-2</v>
      </c>
      <c r="Q117">
        <f t="shared" ref="Q117:R117" si="223">B76-Q76</f>
        <v>-0.17791173290424922</v>
      </c>
      <c r="R117">
        <f t="shared" si="223"/>
        <v>-0.14523264724812179</v>
      </c>
      <c r="T117">
        <f t="shared" ref="T117:U117" si="224">B76-T76</f>
        <v>0.87297119391223532</v>
      </c>
      <c r="U117">
        <f t="shared" si="224"/>
        <v>51.575453824165379</v>
      </c>
      <c r="W117">
        <f t="shared" ref="W117:X117" si="225">B76-W76</f>
        <v>5.3362568339052814</v>
      </c>
      <c r="X117">
        <f t="shared" si="225"/>
        <v>-63.438098823909058</v>
      </c>
    </row>
    <row r="118" spans="3:24" x14ac:dyDescent="0.45">
      <c r="C118">
        <v>9.5</v>
      </c>
      <c r="E118">
        <f t="shared" si="8"/>
        <v>-1.9319783892569831E-2</v>
      </c>
      <c r="F118">
        <f t="shared" si="9"/>
        <v>-1.5780166455442668E-2</v>
      </c>
      <c r="H118">
        <f t="shared" ref="H118:I118" si="226">B77-H77</f>
        <v>-4.4748122671080637E-2</v>
      </c>
      <c r="I118">
        <f t="shared" si="226"/>
        <v>-3.6549726394696336E-2</v>
      </c>
      <c r="K118">
        <f t="shared" ref="K118:L118" si="227">B77-K77</f>
        <v>-6.8148964942338353E-2</v>
      </c>
      <c r="L118">
        <f t="shared" si="227"/>
        <v>-5.5663251268015301E-2</v>
      </c>
      <c r="N118">
        <f t="shared" ref="N118:O118" si="228">B77-N77</f>
        <v>-9.229547560789797E-2</v>
      </c>
      <c r="O118" s="3">
        <f t="shared" si="228"/>
        <v>-7.5385828847174707E-2</v>
      </c>
      <c r="Q118">
        <f t="shared" ref="Q118:R118" si="229">B77-Q77</f>
        <v>-0.17666177574119502</v>
      </c>
      <c r="R118">
        <f t="shared" si="229"/>
        <v>-0.1442951991357404</v>
      </c>
      <c r="T118">
        <f t="shared" ref="T118:U118" si="230">B77-T77</f>
        <v>0.43411872315573419</v>
      </c>
      <c r="U118">
        <f t="shared" si="230"/>
        <v>50.661179885141792</v>
      </c>
      <c r="W118">
        <f t="shared" ref="W118:X118" si="231">B77-W77</f>
        <v>5.875434674081589</v>
      </c>
      <c r="X118">
        <f t="shared" si="231"/>
        <v>-62.242752112738344</v>
      </c>
    </row>
    <row r="119" spans="3:24" x14ac:dyDescent="0.45">
      <c r="C119">
        <v>9.75</v>
      </c>
      <c r="E119">
        <f t="shared" si="8"/>
        <v>-1.9183971448910597E-2</v>
      </c>
      <c r="F119">
        <f t="shared" si="9"/>
        <v>-1.5678204375944915E-2</v>
      </c>
      <c r="H119">
        <f t="shared" ref="H119:I119" si="232">B78-H78</f>
        <v>-4.4433556423427945E-2</v>
      </c>
      <c r="I119">
        <f t="shared" si="232"/>
        <v>-3.6313564016381861E-2</v>
      </c>
      <c r="K119">
        <f t="shared" ref="K119:L119" si="233">B78-K78</f>
        <v>-6.7669897605810547E-2</v>
      </c>
      <c r="L119">
        <f t="shared" si="233"/>
        <v>-5.5303588661445247E-2</v>
      </c>
      <c r="N119">
        <f t="shared" ref="N119:O119" si="234">B78-N78</f>
        <v>-9.1646665353437129E-2</v>
      </c>
      <c r="O119" s="3">
        <f t="shared" si="234"/>
        <v>-7.4898730750646791E-2</v>
      </c>
      <c r="Q119">
        <f t="shared" ref="Q119:R119" si="235">B78-Q78</f>
        <v>-0.17541989506662503</v>
      </c>
      <c r="R119">
        <f t="shared" si="235"/>
        <v>-0.14336284858381987</v>
      </c>
      <c r="T119">
        <f t="shared" ref="T119:U119" si="236">B78-T78</f>
        <v>3.0799158375884872E-3</v>
      </c>
      <c r="U119">
        <f t="shared" si="236"/>
        <v>49.759169676127385</v>
      </c>
      <c r="W119">
        <f t="shared" ref="W119:X119" si="237">B78-W78</f>
        <v>6.404400382581116</v>
      </c>
      <c r="X119">
        <f t="shared" si="237"/>
        <v>-61.063862453131151</v>
      </c>
    </row>
    <row r="120" spans="3:24" x14ac:dyDescent="0.45">
      <c r="C120">
        <v>10</v>
      </c>
      <c r="E120">
        <f t="shared" si="8"/>
        <v>-1.9049037433433114E-2</v>
      </c>
      <c r="F120">
        <f t="shared" si="9"/>
        <v>-1.5576798375150247E-2</v>
      </c>
      <c r="H120">
        <f t="shared" ref="H120:I120" si="238">B79-H79</f>
        <v>-4.4121024782725726E-2</v>
      </c>
      <c r="I120">
        <f t="shared" si="238"/>
        <v>-3.6078688734050957E-2</v>
      </c>
      <c r="K120">
        <f t="shared" ref="K120:L120" si="239">B79-K79</f>
        <v>-6.719392886498099E-2</v>
      </c>
      <c r="L120">
        <f t="shared" si="239"/>
        <v>-5.4945886628047447E-2</v>
      </c>
      <c r="N120">
        <f t="shared" ref="N120:O120" si="240">B79-N79</f>
        <v>-9.1002051589384791E-2</v>
      </c>
      <c r="O120" s="3">
        <f t="shared" si="240"/>
        <v>-7.4414287375475396E-2</v>
      </c>
      <c r="Q120">
        <f t="shared" ref="Q120:R120" si="241">B79-Q79</f>
        <v>-0.17418604685644823</v>
      </c>
      <c r="R120">
        <f t="shared" si="241"/>
        <v>-0.14243557988447719</v>
      </c>
      <c r="T120">
        <f t="shared" ref="T120:U120" si="242">B79-T79</f>
        <v>-0.4202501930994913</v>
      </c>
      <c r="U120">
        <f t="shared" si="242"/>
        <v>48.869276644752972</v>
      </c>
      <c r="W120" s="1">
        <f t="shared" ref="W120:X120" si="243">B79-W79</f>
        <v>6.9232947850196069</v>
      </c>
      <c r="X120" s="1">
        <f t="shared" si="243"/>
        <v>-59.901229718802824</v>
      </c>
    </row>
    <row r="121" spans="3:24" x14ac:dyDescent="0.45">
      <c r="D121" t="s">
        <v>17</v>
      </c>
      <c r="E121">
        <f>SUM(E81:E120)</f>
        <v>2.1990230801811776</v>
      </c>
      <c r="F121">
        <f>SUM(F81:F120)</f>
        <v>2.199023080551342</v>
      </c>
      <c r="H121">
        <f>SUM(H81:H120)</f>
        <v>5.0933361941752082</v>
      </c>
      <c r="I121">
        <f>SUM(I81:I120)</f>
        <v>5.0933361942388728</v>
      </c>
      <c r="K121">
        <f>SUM(K81:K120)</f>
        <v>7.7568749048614336</v>
      </c>
      <c r="L121">
        <f>SUM(L81:L120)</f>
        <v>7.7568749041593037</v>
      </c>
      <c r="N121">
        <f>SUM(N81:N120)</f>
        <v>10.50528734080126</v>
      </c>
      <c r="O121">
        <f>SUM(O81:O120)</f>
        <v>10.505287341146868</v>
      </c>
      <c r="Q121">
        <f>SUM(Q81:Q120)</f>
        <v>20.108057357024336</v>
      </c>
      <c r="R121">
        <f>SUM(R81:R120)</f>
        <v>20.108057356759673</v>
      </c>
      <c r="T121">
        <f>SUM(T81:T120)</f>
        <v>48.513730805066189</v>
      </c>
      <c r="U121">
        <f>SUM(U81:U120)</f>
        <v>48.513730804790612</v>
      </c>
      <c r="W121">
        <f>SUM(W81:W120)</f>
        <v>46.545719246820227</v>
      </c>
      <c r="X121">
        <f>SUM(X81:X120)</f>
        <v>-799.22594920892607</v>
      </c>
    </row>
    <row r="123" spans="3:24" x14ac:dyDescent="0.45">
      <c r="E123">
        <f>-(E121-F121)/B29</f>
        <v>3.7016434362158182E-16</v>
      </c>
      <c r="H123">
        <f>-(H121-I121)/$B$29</f>
        <v>6.3664629124104971E-17</v>
      </c>
      <c r="K123">
        <f>-(K121-L121)/$B$29</f>
        <v>-7.0212990976870061E-16</v>
      </c>
      <c r="N123">
        <f>-(N121-O121)/$B$29</f>
        <v>3.4560798667371275E-16</v>
      </c>
      <c r="Q123">
        <f>-(Q121-R121)/$B$29</f>
        <v>-2.6466295821592214E-16</v>
      </c>
      <c r="T123">
        <f>-(T121-U121)/$B$29</f>
        <v>-2.7557689463719725E-16</v>
      </c>
      <c r="W123">
        <f>-(W121-X121)/$B$29</f>
        <v>-8.4577166845574631E-4</v>
      </c>
    </row>
  </sheetData>
  <phoneticPr fontId="2" type="noConversion"/>
  <hyperlinks>
    <hyperlink ref="C1" r:id="rId1" xr:uid="{9FC0976F-F280-4332-B478-2539C6E2DC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E95F-3AF6-47F3-8779-09E24CF88EAA}">
  <dimension ref="A1:R43"/>
  <sheetViews>
    <sheetView topLeftCell="A25" workbookViewId="0">
      <selection activeCell="L48" sqref="L48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  <col min="10" max="10" width="11.83203125" customWidth="1"/>
    <col min="11" max="11" width="11.5" bestFit="1" customWidth="1"/>
  </cols>
  <sheetData>
    <row r="1" spans="1:18" x14ac:dyDescent="0.45">
      <c r="A1" t="s">
        <v>2</v>
      </c>
      <c r="I1" t="s">
        <v>16</v>
      </c>
      <c r="J1">
        <f>Sheet1!B9/100</f>
        <v>3.465E-2</v>
      </c>
      <c r="L1" t="s">
        <v>16</v>
      </c>
      <c r="M1">
        <v>3.6999999999999998E-2</v>
      </c>
      <c r="P1" t="s">
        <v>40</v>
      </c>
      <c r="Q1">
        <f>Sheet1!C33</f>
        <v>3.4285953882477946E-2</v>
      </c>
    </row>
    <row r="2" spans="1:18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J2" t="s">
        <v>14</v>
      </c>
      <c r="K2" t="s">
        <v>15</v>
      </c>
      <c r="M2" t="s">
        <v>14</v>
      </c>
      <c r="N2" t="s">
        <v>15</v>
      </c>
      <c r="Q2" t="s">
        <v>14</v>
      </c>
      <c r="R2" t="s">
        <v>15</v>
      </c>
    </row>
    <row r="3" spans="1:18" x14ac:dyDescent="0.45">
      <c r="A3" cm="1">
        <f t="array" ref="A3:A42">_xlfn.SEQUENCE(40,,0.25,0.25)</f>
        <v>0.25</v>
      </c>
      <c r="B3">
        <f>1/(1+Sheet1!B2/100*0.25)</f>
        <v>0.99304865938430997</v>
      </c>
      <c r="C3">
        <f>LN(B3)</f>
        <v>-6.9756137364250992E-3</v>
      </c>
      <c r="G3">
        <f>-C3/A3</f>
        <v>2.7902454945700397E-2</v>
      </c>
      <c r="H3">
        <f>(1/B3-1)/0.25</f>
        <v>2.7999999999999581E-2</v>
      </c>
      <c r="J3">
        <f>$J$1*0.25*B3</f>
        <v>8.6022840119165857E-3</v>
      </c>
      <c r="K3">
        <f>H3*0.25*B3</f>
        <v>6.9513406156900661E-3</v>
      </c>
      <c r="M3">
        <f>$M$1*0.25*B3</f>
        <v>9.1857000993048662E-3</v>
      </c>
      <c r="N3">
        <f>H3*0.25*B3</f>
        <v>6.9513406156900661E-3</v>
      </c>
      <c r="Q3">
        <f>$Q$1*0.25*B3</f>
        <v>8.5119051346767508E-3</v>
      </c>
      <c r="R3">
        <f>H3*0.25*B3</f>
        <v>6.9513406156900661E-3</v>
      </c>
    </row>
    <row r="4" spans="1:18" x14ac:dyDescent="0.45">
      <c r="A4">
        <v>0.5</v>
      </c>
      <c r="B4">
        <f>EXP(C4)</f>
        <v>0.98576081333172305</v>
      </c>
      <c r="C4">
        <f>$C$3+($C$6-$C$3)*(A4-$A$3)/($A$6-$A$3)</f>
        <v>-1.43415366353421E-2</v>
      </c>
      <c r="G4">
        <f t="shared" ref="G4:G42" si="0">-C4/A4</f>
        <v>2.8683073270684201E-2</v>
      </c>
      <c r="H4">
        <f>(B3/B4-1)/0.25</f>
        <v>2.957247216170078E-2</v>
      </c>
      <c r="J4">
        <f t="shared" ref="J4:J42" si="1">$J$1*0.25*B4</f>
        <v>8.5391530454860514E-3</v>
      </c>
      <c r="K4">
        <f t="shared" ref="K4:K42" si="2">H4*0.25*B4</f>
        <v>7.2878460525869744E-3</v>
      </c>
      <c r="M4">
        <f t="shared" ref="M4:M42" si="3">$M$1*0.25*B4</f>
        <v>9.1182875233184382E-3</v>
      </c>
      <c r="N4">
        <f t="shared" ref="N4:N42" si="4">H4*0.25*B4</f>
        <v>7.2878460525869744E-3</v>
      </c>
      <c r="Q4">
        <f t="shared" ref="Q4:Q34" si="5">$Q$1*0.25*B4</f>
        <v>8.4494374462613514E-3</v>
      </c>
      <c r="R4">
        <f t="shared" ref="R4:R34" si="6">H4*0.25*B4</f>
        <v>7.2878460525869744E-3</v>
      </c>
    </row>
    <row r="5" spans="1:18" x14ac:dyDescent="0.45">
      <c r="A5">
        <v>0.75</v>
      </c>
      <c r="B5">
        <f>EXP(C5)</f>
        <v>0.97852645176812303</v>
      </c>
      <c r="C5">
        <f>$C$3+($C$6-$C$3)*(A5-$A$3)/($A$6-$A$3)</f>
        <v>-2.1707459534259101E-2</v>
      </c>
      <c r="G5">
        <f t="shared" si="0"/>
        <v>2.8943279379012133E-2</v>
      </c>
      <c r="H5">
        <f t="shared" ref="H5:H42" si="7">(B4/B5-1)/0.25</f>
        <v>2.9572472161699892E-2</v>
      </c>
      <c r="J5">
        <f t="shared" si="1"/>
        <v>8.4764853884413665E-3</v>
      </c>
      <c r="K5">
        <f t="shared" si="2"/>
        <v>7.2343615635999479E-3</v>
      </c>
      <c r="M5">
        <f t="shared" si="3"/>
        <v>9.0513696788551371E-3</v>
      </c>
      <c r="N5">
        <f t="shared" si="4"/>
        <v>7.2343615635999479E-3</v>
      </c>
      <c r="Q5">
        <f t="shared" si="5"/>
        <v>8.3874281995266614E-3</v>
      </c>
      <c r="R5">
        <f t="shared" si="6"/>
        <v>7.2343615635999479E-3</v>
      </c>
    </row>
    <row r="6" spans="1:18" x14ac:dyDescent="0.45">
      <c r="A6">
        <v>1</v>
      </c>
      <c r="B6">
        <v>0.97134518217828081</v>
      </c>
      <c r="C6">
        <f>LN(B6)</f>
        <v>-2.9073382433176101E-2</v>
      </c>
      <c r="D6">
        <f>(1-B6)/(SUM($B$3:B6) *0.25)</f>
        <v>2.9175000000000045E-2</v>
      </c>
      <c r="E6">
        <f>VLOOKUP(A6,Sheet1!$A$2:$B$12,2)/100</f>
        <v>2.9175E-2</v>
      </c>
      <c r="F6">
        <f>D6-E6</f>
        <v>4.5102810375396984E-17</v>
      </c>
      <c r="G6">
        <f t="shared" si="0"/>
        <v>2.9073382433176101E-2</v>
      </c>
      <c r="H6">
        <f t="shared" si="7"/>
        <v>2.9572472161699892E-2</v>
      </c>
      <c r="J6">
        <f t="shared" si="1"/>
        <v>8.4142776406193574E-3</v>
      </c>
      <c r="K6">
        <f t="shared" si="2"/>
        <v>7.1812695898421297E-3</v>
      </c>
      <c r="M6">
        <f t="shared" si="3"/>
        <v>8.9849429351490963E-3</v>
      </c>
      <c r="N6">
        <f t="shared" si="4"/>
        <v>7.1812695898421297E-3</v>
      </c>
      <c r="Q6">
        <f t="shared" si="5"/>
        <v>8.3258740300329193E-3</v>
      </c>
      <c r="R6">
        <f t="shared" si="6"/>
        <v>7.1812695898421297E-3</v>
      </c>
    </row>
    <row r="7" spans="1:18" x14ac:dyDescent="0.45">
      <c r="A7">
        <v>1.25</v>
      </c>
      <c r="B7">
        <f>EXP(C7)</f>
        <v>0.96348575362774336</v>
      </c>
      <c r="C7">
        <f>$C$6+($C$10-$C$6)*(A7-$A$6)/($A$10-$A$6)</f>
        <v>-3.7197577300608041E-2</v>
      </c>
      <c r="G7">
        <f t="shared" si="0"/>
        <v>2.9758061840486433E-2</v>
      </c>
      <c r="H7">
        <f t="shared" si="7"/>
        <v>3.2629142759796892E-2</v>
      </c>
      <c r="J7">
        <f t="shared" si="1"/>
        <v>8.3461953408003262E-3</v>
      </c>
      <c r="K7">
        <f t="shared" si="2"/>
        <v>7.8594285505375339E-3</v>
      </c>
      <c r="M7">
        <f t="shared" si="3"/>
        <v>8.9122432210566264E-3</v>
      </c>
      <c r="N7">
        <f t="shared" si="4"/>
        <v>7.8594285505375339E-3</v>
      </c>
      <c r="Q7">
        <f t="shared" si="5"/>
        <v>8.2585070288263285E-3</v>
      </c>
      <c r="R7">
        <f t="shared" si="6"/>
        <v>7.8594285505375339E-3</v>
      </c>
    </row>
    <row r="8" spans="1:18" x14ac:dyDescent="0.45">
      <c r="A8">
        <v>1.5</v>
      </c>
      <c r="B8">
        <f>EXP(C8)</f>
        <v>0.95568991793613434</v>
      </c>
      <c r="C8">
        <f>$C$6+($C$10-$C$6)*(A8-$A$6)/($A$10-$A$6)</f>
        <v>-4.5321772168039981E-2</v>
      </c>
      <c r="G8">
        <f t="shared" si="0"/>
        <v>3.021451477869332E-2</v>
      </c>
      <c r="H8">
        <f t="shared" si="7"/>
        <v>3.2629142759796004E-2</v>
      </c>
      <c r="J8">
        <f t="shared" si="1"/>
        <v>8.278663914121763E-3</v>
      </c>
      <c r="K8">
        <f t="shared" si="2"/>
        <v>7.7958356916089638E-3</v>
      </c>
      <c r="M8">
        <f t="shared" si="3"/>
        <v>8.840131740909243E-3</v>
      </c>
      <c r="N8">
        <f t="shared" si="4"/>
        <v>7.7958356916089638E-3</v>
      </c>
      <c r="Q8">
        <f t="shared" si="5"/>
        <v>8.1916851130768593E-3</v>
      </c>
      <c r="R8">
        <f t="shared" si="6"/>
        <v>7.7958356916089638E-3</v>
      </c>
    </row>
    <row r="9" spans="1:18" x14ac:dyDescent="0.45">
      <c r="A9">
        <v>1.75</v>
      </c>
      <c r="B9">
        <f>EXP(C9)</f>
        <v>0.94795716055564905</v>
      </c>
      <c r="C9">
        <f>$C$6+($C$10-$C$6)*(A9-$A$6)/($A$10-$A$6)</f>
        <v>-5.3445967035471921E-2</v>
      </c>
      <c r="G9">
        <f t="shared" si="0"/>
        <v>3.0540552591698241E-2</v>
      </c>
      <c r="H9">
        <f t="shared" si="7"/>
        <v>3.2629142759796004E-2</v>
      </c>
      <c r="J9">
        <f t="shared" si="1"/>
        <v>8.2116789033133096E-3</v>
      </c>
      <c r="K9">
        <f t="shared" si="2"/>
        <v>7.7327573804852837E-3</v>
      </c>
      <c r="M9">
        <f t="shared" si="3"/>
        <v>8.7686037351397527E-3</v>
      </c>
      <c r="N9">
        <f t="shared" si="4"/>
        <v>7.7327573804852837E-3</v>
      </c>
      <c r="Q9">
        <f t="shared" si="5"/>
        <v>8.1254038723439313E-3</v>
      </c>
      <c r="R9">
        <f t="shared" si="6"/>
        <v>7.7327573804852837E-3</v>
      </c>
    </row>
    <row r="10" spans="1:18" x14ac:dyDescent="0.45">
      <c r="A10">
        <v>2</v>
      </c>
      <c r="B10">
        <v>0.94028697110183446</v>
      </c>
      <c r="C10">
        <f>LN(B10)</f>
        <v>-6.1570161902903861E-2</v>
      </c>
      <c r="D10">
        <f>(1-B10)/(SUM($B$3:B10) *0.25)</f>
        <v>3.0874999999999986E-2</v>
      </c>
      <c r="E10">
        <f>VLOOKUP(A10,Sheet1!$A$2:$B$12,2)/100</f>
        <v>3.0875E-2</v>
      </c>
      <c r="F10">
        <f>D10-E10</f>
        <v>0</v>
      </c>
      <c r="G10">
        <f t="shared" si="0"/>
        <v>3.0785080951451931E-2</v>
      </c>
      <c r="H10">
        <f t="shared" si="7"/>
        <v>3.2629142759796892E-2</v>
      </c>
      <c r="J10">
        <f t="shared" si="1"/>
        <v>8.1452358871696405E-3</v>
      </c>
      <c r="K10">
        <f t="shared" si="2"/>
        <v>7.6701894538146924E-3</v>
      </c>
      <c r="M10">
        <f t="shared" si="3"/>
        <v>8.6976544826919688E-3</v>
      </c>
      <c r="N10">
        <f t="shared" si="4"/>
        <v>7.6701894538146924E-3</v>
      </c>
      <c r="Q10">
        <f t="shared" si="5"/>
        <v>8.0596589318730916E-3</v>
      </c>
      <c r="R10">
        <f t="shared" si="6"/>
        <v>7.6701894538146924E-3</v>
      </c>
    </row>
    <row r="11" spans="1:18" x14ac:dyDescent="0.45">
      <c r="A11">
        <v>2.25</v>
      </c>
      <c r="B11">
        <f>EXP(C11)</f>
        <v>0.93227780471949828</v>
      </c>
      <c r="C11">
        <f>$C$10+($C$14-$C$10)*(A11-$A$10)/($A$14-$A$10)</f>
        <v>-7.0124434978328071E-2</v>
      </c>
      <c r="G11">
        <f t="shared" si="0"/>
        <v>3.1166415545923587E-2</v>
      </c>
      <c r="H11">
        <f t="shared" si="7"/>
        <v>3.4363861680675178E-2</v>
      </c>
      <c r="J11">
        <f t="shared" si="1"/>
        <v>8.0758564833826544E-3</v>
      </c>
      <c r="K11">
        <f t="shared" si="2"/>
        <v>8.0091663823360863E-3</v>
      </c>
      <c r="M11">
        <f t="shared" si="3"/>
        <v>8.6235696936553582E-3</v>
      </c>
      <c r="N11">
        <f t="shared" si="4"/>
        <v>8.0091663823360863E-3</v>
      </c>
      <c r="Q11">
        <f t="shared" si="5"/>
        <v>7.991008454567624E-3</v>
      </c>
      <c r="R11">
        <f t="shared" si="6"/>
        <v>8.0091663823360863E-3</v>
      </c>
    </row>
    <row r="12" spans="1:18" x14ac:dyDescent="0.45">
      <c r="A12">
        <v>2.5</v>
      </c>
      <c r="B12">
        <f>EXP(C12)</f>
        <v>0.92433685872956517</v>
      </c>
      <c r="C12">
        <f>$C$10+($C$14-$C$10)*(A12-$A$10)/($A$14-$A$10)</f>
        <v>-7.8678708053752267E-2</v>
      </c>
      <c r="G12">
        <f t="shared" si="0"/>
        <v>3.1471483221500909E-2</v>
      </c>
      <c r="H12">
        <f t="shared" si="7"/>
        <v>3.4363861680675178E-2</v>
      </c>
      <c r="J12">
        <f t="shared" si="1"/>
        <v>8.0070680387448589E-3</v>
      </c>
      <c r="K12">
        <f t="shared" si="2"/>
        <v>7.940945989933142E-3</v>
      </c>
      <c r="M12">
        <f t="shared" si="3"/>
        <v>8.5501159432484781E-3</v>
      </c>
      <c r="N12">
        <f t="shared" si="4"/>
        <v>7.940945989933142E-3</v>
      </c>
      <c r="Q12">
        <f t="shared" si="5"/>
        <v>7.922942727569101E-3</v>
      </c>
      <c r="R12">
        <f t="shared" si="6"/>
        <v>7.940945989933142E-3</v>
      </c>
    </row>
    <row r="13" spans="1:18" x14ac:dyDescent="0.45">
      <c r="A13">
        <v>2.75</v>
      </c>
      <c r="B13">
        <f>EXP(C13)</f>
        <v>0.91646355204510055</v>
      </c>
      <c r="C13">
        <f>$C$10+($C$14-$C$10)*(A13-$A$10)/($A$14-$A$10)</f>
        <v>-8.7232981129176476E-2</v>
      </c>
      <c r="G13">
        <f t="shared" si="0"/>
        <v>3.1721084046973262E-2</v>
      </c>
      <c r="H13">
        <f t="shared" si="7"/>
        <v>3.4363861680675178E-2</v>
      </c>
      <c r="J13">
        <f t="shared" si="1"/>
        <v>7.9388655195906828E-3</v>
      </c>
      <c r="K13">
        <f t="shared" si="2"/>
        <v>7.8733066844645233E-3</v>
      </c>
      <c r="M13">
        <f t="shared" si="3"/>
        <v>8.4772878564171802E-3</v>
      </c>
      <c r="N13">
        <f t="shared" si="4"/>
        <v>7.8733066844645233E-3</v>
      </c>
      <c r="Q13">
        <f t="shared" si="5"/>
        <v>7.8554567700975606E-3</v>
      </c>
      <c r="R13">
        <f t="shared" si="6"/>
        <v>7.8733066844645233E-3</v>
      </c>
    </row>
    <row r="14" spans="1:18" x14ac:dyDescent="0.45">
      <c r="A14">
        <v>3</v>
      </c>
      <c r="B14">
        <v>0.90865730852874638</v>
      </c>
      <c r="C14">
        <f>LN(B14)</f>
        <v>-9.5787254204600686E-2</v>
      </c>
      <c r="D14">
        <f>(1-B14)/(SUM($B$3:B14) *0.25)</f>
        <v>3.199999999999998E-2</v>
      </c>
      <c r="E14">
        <f>VLOOKUP(A14,Sheet1!$A$2:$B$12,2)/100</f>
        <v>3.2000000000000001E-2</v>
      </c>
      <c r="F14">
        <f>D14-E14</f>
        <v>0</v>
      </c>
      <c r="G14">
        <f t="shared" si="0"/>
        <v>3.1929084734866893E-2</v>
      </c>
      <c r="H14">
        <f t="shared" si="7"/>
        <v>3.4363861680675178E-2</v>
      </c>
      <c r="J14">
        <f t="shared" si="1"/>
        <v>7.8712439351302649E-3</v>
      </c>
      <c r="K14">
        <f t="shared" si="2"/>
        <v>7.8062435163541079E-3</v>
      </c>
      <c r="M14">
        <f t="shared" si="3"/>
        <v>8.4050801038909034E-3</v>
      </c>
      <c r="N14">
        <f t="shared" si="4"/>
        <v>7.8062435163541079E-3</v>
      </c>
      <c r="Q14">
        <f t="shared" si="5"/>
        <v>7.7885456437982829E-3</v>
      </c>
      <c r="R14">
        <f t="shared" si="6"/>
        <v>7.8062435163541079E-3</v>
      </c>
    </row>
    <row r="15" spans="1:18" x14ac:dyDescent="0.45">
      <c r="A15">
        <v>3.25</v>
      </c>
      <c r="B15">
        <f>EXP(C15)</f>
        <v>0.90078730517206684</v>
      </c>
      <c r="C15">
        <f>$C$14+($C$18-$C$14)*(A15-$A$14)/($A$18-$A$14)</f>
        <v>-0.10448611453341966</v>
      </c>
      <c r="G15">
        <f t="shared" si="0"/>
        <v>3.2149573702590667E-2</v>
      </c>
      <c r="H15">
        <f t="shared" si="7"/>
        <v>3.494722144280793E-2</v>
      </c>
      <c r="J15">
        <f t="shared" si="1"/>
        <v>7.8030700310530287E-3</v>
      </c>
      <c r="K15">
        <f t="shared" si="2"/>
        <v>7.8700033566796064E-3</v>
      </c>
      <c r="M15">
        <f t="shared" si="3"/>
        <v>8.3322825728416178E-3</v>
      </c>
      <c r="N15">
        <f t="shared" si="4"/>
        <v>7.8700033566796064E-3</v>
      </c>
      <c r="Q15">
        <f t="shared" si="5"/>
        <v>7.7210880007627675E-3</v>
      </c>
      <c r="R15">
        <f t="shared" si="6"/>
        <v>7.8700033566796064E-3</v>
      </c>
    </row>
    <row r="16" spans="1:18" x14ac:dyDescent="0.45">
      <c r="A16">
        <v>3.5</v>
      </c>
      <c r="B16">
        <f>EXP(C16)</f>
        <v>0.89298546497464748</v>
      </c>
      <c r="C16">
        <f>$C$14+($C$18-$C$14)*(A16-$A$14)/($A$18-$A$14)</f>
        <v>-0.11318497486223864</v>
      </c>
      <c r="G16">
        <f t="shared" si="0"/>
        <v>3.2338564246353896E-2</v>
      </c>
      <c r="H16">
        <f t="shared" si="7"/>
        <v>3.494722144280793E-2</v>
      </c>
      <c r="J16">
        <f t="shared" si="1"/>
        <v>7.7354865903428837E-3</v>
      </c>
      <c r="K16">
        <f t="shared" si="2"/>
        <v>7.8018401974194523E-3</v>
      </c>
      <c r="M16">
        <f t="shared" si="3"/>
        <v>8.2601155510154886E-3</v>
      </c>
      <c r="N16">
        <f t="shared" si="4"/>
        <v>7.8018401974194523E-3</v>
      </c>
      <c r="Q16">
        <f t="shared" si="5"/>
        <v>7.6542146174609724E-3</v>
      </c>
      <c r="R16">
        <f t="shared" si="6"/>
        <v>7.8018401974194523E-3</v>
      </c>
    </row>
    <row r="17" spans="1:18" x14ac:dyDescent="0.45">
      <c r="A17">
        <v>3.75</v>
      </c>
      <c r="B17">
        <f>EXP(C17)</f>
        <v>0.88525119756618353</v>
      </c>
      <c r="C17">
        <f>$C$14+($C$18-$C$14)*(A17-$A$14)/($A$18-$A$14)</f>
        <v>-0.12188383519105761</v>
      </c>
      <c r="G17">
        <f t="shared" si="0"/>
        <v>3.2502356050948693E-2</v>
      </c>
      <c r="H17">
        <f t="shared" si="7"/>
        <v>3.4947221442807042E-2</v>
      </c>
      <c r="J17">
        <f t="shared" si="1"/>
        <v>7.668488498917065E-3</v>
      </c>
      <c r="K17">
        <f t="shared" si="2"/>
        <v>7.7342674084638855E-3</v>
      </c>
      <c r="M17">
        <f t="shared" si="3"/>
        <v>8.188573577487198E-3</v>
      </c>
      <c r="N17">
        <f t="shared" si="4"/>
        <v>7.7342674084638855E-3</v>
      </c>
      <c r="Q17">
        <f t="shared" si="5"/>
        <v>7.5879204335406354E-3</v>
      </c>
      <c r="R17">
        <f t="shared" si="6"/>
        <v>7.7342674084638855E-3</v>
      </c>
    </row>
    <row r="18" spans="1:18" x14ac:dyDescent="0.45">
      <c r="A18">
        <v>4</v>
      </c>
      <c r="B18">
        <v>0.87758391768964683</v>
      </c>
      <c r="C18">
        <f>LN(B18)</f>
        <v>-0.13058269551987658</v>
      </c>
      <c r="D18">
        <f>(1-B18)/(SUM($B$3:B18) *0.25)</f>
        <v>3.27E-2</v>
      </c>
      <c r="E18">
        <f>VLOOKUP(A18,Sheet1!$A$2:$B$12,2)/100</f>
        <v>3.27E-2</v>
      </c>
      <c r="F18">
        <f>D18-E18</f>
        <v>0</v>
      </c>
      <c r="G18">
        <f t="shared" si="0"/>
        <v>3.2645673879969146E-2</v>
      </c>
      <c r="H18">
        <f t="shared" si="7"/>
        <v>3.494722144280793E-2</v>
      </c>
      <c r="J18">
        <f t="shared" si="1"/>
        <v>7.6020706869865656E-3</v>
      </c>
      <c r="K18">
        <f t="shared" si="2"/>
        <v>7.6672798765367537E-3</v>
      </c>
      <c r="M18">
        <f t="shared" si="3"/>
        <v>8.1176512386292327E-3</v>
      </c>
      <c r="N18">
        <f t="shared" si="4"/>
        <v>7.6672798765367537E-3</v>
      </c>
      <c r="Q18">
        <f t="shared" si="5"/>
        <v>7.5222004324778883E-3</v>
      </c>
      <c r="R18">
        <f t="shared" si="6"/>
        <v>7.6672798765367537E-3</v>
      </c>
    </row>
    <row r="19" spans="1:18" x14ac:dyDescent="0.45">
      <c r="A19">
        <v>4.25</v>
      </c>
      <c r="B19">
        <f>EXP(C19)</f>
        <v>0.86983182322445407</v>
      </c>
      <c r="C19">
        <f>$C$18+($C$22-$C$18)*(A19-$A$18)/($A$22-$A$18)</f>
        <v>-0.13945539265820261</v>
      </c>
      <c r="G19">
        <f t="shared" si="0"/>
        <v>3.281303356663591E-2</v>
      </c>
      <c r="H19">
        <f t="shared" si="7"/>
        <v>3.564870476435722E-2</v>
      </c>
      <c r="J19">
        <f t="shared" si="1"/>
        <v>7.5349181686818331E-3</v>
      </c>
      <c r="K19">
        <f t="shared" si="2"/>
        <v>7.7520944651927803E-3</v>
      </c>
      <c r="M19">
        <f t="shared" si="3"/>
        <v>8.0459443648261998E-3</v>
      </c>
      <c r="N19">
        <f t="shared" si="4"/>
        <v>7.7520944651927803E-3</v>
      </c>
      <c r="Q19">
        <f t="shared" si="5"/>
        <v>7.455753444146335E-3</v>
      </c>
      <c r="R19">
        <f t="shared" si="6"/>
        <v>7.7520944651927803E-3</v>
      </c>
    </row>
    <row r="20" spans="1:18" x14ac:dyDescent="0.45">
      <c r="A20">
        <v>4.5</v>
      </c>
      <c r="B20">
        <f>EXP(C20)</f>
        <v>0.86214820650524759</v>
      </c>
      <c r="C20">
        <f>$C$18+($C$22-$C$18)*(A20-$A$18)/($A$22-$A$18)</f>
        <v>-0.14832808979652864</v>
      </c>
      <c r="G20">
        <f t="shared" si="0"/>
        <v>3.2961797732561922E-2</v>
      </c>
      <c r="H20">
        <f t="shared" si="7"/>
        <v>3.564870476435722E-2</v>
      </c>
      <c r="J20">
        <f t="shared" si="1"/>
        <v>7.4683588388517073E-3</v>
      </c>
      <c r="K20">
        <f t="shared" si="2"/>
        <v>7.6836167192064131E-3</v>
      </c>
      <c r="M20">
        <f t="shared" si="3"/>
        <v>7.9748709101735392E-3</v>
      </c>
      <c r="N20">
        <f t="shared" si="4"/>
        <v>7.6836167192064131E-3</v>
      </c>
      <c r="Q20">
        <f t="shared" si="5"/>
        <v>7.3898934120249981E-3</v>
      </c>
      <c r="R20">
        <f t="shared" si="6"/>
        <v>7.6836167192064131E-3</v>
      </c>
    </row>
    <row r="21" spans="1:18" x14ac:dyDescent="0.45">
      <c r="A21">
        <v>4.75</v>
      </c>
      <c r="B21">
        <f>EXP(C21)</f>
        <v>0.85453246263721927</v>
      </c>
      <c r="C21">
        <f>$C$18+($C$22-$C$18)*(A21-$A$18)/($A$22-$A$18)</f>
        <v>-0.15720078693485467</v>
      </c>
      <c r="G21">
        <f t="shared" si="0"/>
        <v>3.3094902512600985E-2</v>
      </c>
      <c r="H21">
        <f t="shared" si="7"/>
        <v>3.564870476435722E-2</v>
      </c>
      <c r="J21">
        <f t="shared" si="1"/>
        <v>7.4023874575949123E-3</v>
      </c>
      <c r="K21">
        <f t="shared" si="2"/>
        <v>7.6157438680283362E-3</v>
      </c>
      <c r="M21">
        <f t="shared" si="3"/>
        <v>7.9044252793942782E-3</v>
      </c>
      <c r="N21">
        <f t="shared" si="4"/>
        <v>7.6157438680283362E-3</v>
      </c>
      <c r="Q21">
        <f t="shared" si="5"/>
        <v>7.3246151512650019E-3</v>
      </c>
      <c r="R21">
        <f t="shared" si="6"/>
        <v>7.6157438680283362E-3</v>
      </c>
    </row>
    <row r="22" spans="1:18" x14ac:dyDescent="0.45">
      <c r="A22">
        <v>5</v>
      </c>
      <c r="B22">
        <v>0.84698399206886932</v>
      </c>
      <c r="C22">
        <f>LN(B22)</f>
        <v>-0.1660734840731807</v>
      </c>
      <c r="D22">
        <f>(1-B22)/(SUM($B$3:B22) *0.25)</f>
        <v>3.3250000000000002E-2</v>
      </c>
      <c r="E22">
        <f>VLOOKUP(A22,Sheet1!$A$2:$B$12,2)/100</f>
        <v>3.3250000000000002E-2</v>
      </c>
      <c r="F22">
        <f>D22-E22</f>
        <v>0</v>
      </c>
      <c r="G22">
        <f t="shared" si="0"/>
        <v>3.3214696814636138E-2</v>
      </c>
      <c r="H22">
        <f t="shared" si="7"/>
        <v>3.564870476435722E-2</v>
      </c>
      <c r="J22">
        <f t="shared" si="1"/>
        <v>7.3369988312965801E-3</v>
      </c>
      <c r="K22">
        <f t="shared" si="2"/>
        <v>7.5484705683499494E-3</v>
      </c>
      <c r="M22">
        <f t="shared" si="3"/>
        <v>7.8346019266370415E-3</v>
      </c>
      <c r="N22">
        <f t="shared" si="4"/>
        <v>7.5484705683499494E-3</v>
      </c>
      <c r="Q22">
        <f t="shared" si="5"/>
        <v>7.2599135228175798E-3</v>
      </c>
      <c r="R22">
        <f t="shared" si="6"/>
        <v>7.5484705683499494E-3</v>
      </c>
    </row>
    <row r="23" spans="1:18" x14ac:dyDescent="0.45">
      <c r="A23">
        <v>5.25</v>
      </c>
      <c r="B23">
        <f t="shared" ref="B23:B29" si="8">EXP(C23)</f>
        <v>0.83938397436551793</v>
      </c>
      <c r="C23">
        <f>$C$22+($C$30-$C$22)*(A23-$A$22)/($A$30-$A$22)</f>
        <v>-0.17508702003816584</v>
      </c>
      <c r="G23">
        <f t="shared" si="0"/>
        <v>3.3349908578698254E-2</v>
      </c>
      <c r="H23">
        <f t="shared" si="7"/>
        <v>3.6217120819330262E-2</v>
      </c>
      <c r="J23">
        <f t="shared" si="1"/>
        <v>7.2711636779412992E-3</v>
      </c>
      <c r="K23">
        <f t="shared" si="2"/>
        <v>7.6000177033513942E-3</v>
      </c>
      <c r="M23">
        <f t="shared" si="3"/>
        <v>7.7643017628810408E-3</v>
      </c>
      <c r="N23">
        <f t="shared" si="4"/>
        <v>7.6000177033513942E-3</v>
      </c>
      <c r="Q23">
        <f t="shared" si="5"/>
        <v>7.1947700586967997E-3</v>
      </c>
      <c r="R23">
        <f t="shared" si="6"/>
        <v>7.6000177033513942E-3</v>
      </c>
    </row>
    <row r="24" spans="1:18" x14ac:dyDescent="0.45">
      <c r="A24">
        <v>5.5</v>
      </c>
      <c r="B24">
        <f t="shared" si="8"/>
        <v>0.83185215189328321</v>
      </c>
      <c r="C24">
        <f t="shared" ref="C24:C29" si="9">$C$22+($C$30-$C$22)*(A24-$A$22)/($A$30-$A$22)</f>
        <v>-0.18410055600315098</v>
      </c>
      <c r="G24">
        <f t="shared" si="0"/>
        <v>3.347282836420927E-2</v>
      </c>
      <c r="H24">
        <f t="shared" si="7"/>
        <v>3.6217120819330262E-2</v>
      </c>
      <c r="J24">
        <f t="shared" si="1"/>
        <v>7.2059192657755655E-3</v>
      </c>
      <c r="K24">
        <f t="shared" si="2"/>
        <v>7.5318224722347267E-3</v>
      </c>
      <c r="M24">
        <f t="shared" si="3"/>
        <v>7.6946324050128695E-3</v>
      </c>
      <c r="N24">
        <f t="shared" si="4"/>
        <v>7.5318224722347267E-3</v>
      </c>
      <c r="Q24">
        <f t="shared" si="5"/>
        <v>7.1302111292132868E-3</v>
      </c>
      <c r="R24">
        <f t="shared" si="6"/>
        <v>7.5318224722347267E-3</v>
      </c>
    </row>
    <row r="25" spans="1:18" x14ac:dyDescent="0.45">
      <c r="A25">
        <v>5.75</v>
      </c>
      <c r="B25">
        <f t="shared" si="8"/>
        <v>0.82438791273391332</v>
      </c>
      <c r="C25">
        <f t="shared" si="9"/>
        <v>-0.19311409196813611</v>
      </c>
      <c r="G25">
        <f t="shared" si="0"/>
        <v>3.3585059472719322E-2</v>
      </c>
      <c r="H25">
        <f t="shared" si="7"/>
        <v>3.6217120819330262E-2</v>
      </c>
      <c r="J25">
        <f t="shared" si="1"/>
        <v>7.141260294057524E-3</v>
      </c>
      <c r="K25">
        <f t="shared" si="2"/>
        <v>7.464239159369908E-3</v>
      </c>
      <c r="M25">
        <f t="shared" si="3"/>
        <v>7.6255881927886982E-3</v>
      </c>
      <c r="N25">
        <f t="shared" si="4"/>
        <v>7.464239159369908E-3</v>
      </c>
      <c r="Q25">
        <f t="shared" si="5"/>
        <v>7.0662314893168016E-3</v>
      </c>
      <c r="R25">
        <f t="shared" si="6"/>
        <v>7.464239159369908E-3</v>
      </c>
    </row>
    <row r="26" spans="1:18" x14ac:dyDescent="0.45">
      <c r="A26">
        <v>6</v>
      </c>
      <c r="B26">
        <f t="shared" si="8"/>
        <v>0.81699065045992081</v>
      </c>
      <c r="C26">
        <f t="shared" si="9"/>
        <v>-0.20212762793312125</v>
      </c>
      <c r="G26">
        <f t="shared" si="0"/>
        <v>3.3687937988853542E-2</v>
      </c>
      <c r="H26">
        <f t="shared" si="7"/>
        <v>3.6217120819330262E-2</v>
      </c>
      <c r="J26">
        <f t="shared" si="1"/>
        <v>7.0771815096090642E-3</v>
      </c>
      <c r="K26">
        <f t="shared" si="2"/>
        <v>7.397262273992543E-3</v>
      </c>
      <c r="M26">
        <f t="shared" si="3"/>
        <v>7.5571635167542674E-3</v>
      </c>
      <c r="N26">
        <f t="shared" si="4"/>
        <v>7.397262273992543E-3</v>
      </c>
      <c r="Q26">
        <f t="shared" si="5"/>
        <v>7.0028259410211263E-3</v>
      </c>
      <c r="R26">
        <f t="shared" si="6"/>
        <v>7.397262273992543E-3</v>
      </c>
    </row>
    <row r="27" spans="1:18" x14ac:dyDescent="0.45">
      <c r="A27">
        <v>6.25</v>
      </c>
      <c r="B27">
        <f t="shared" si="8"/>
        <v>0.80965976408531382</v>
      </c>
      <c r="C27">
        <f t="shared" si="9"/>
        <v>-0.21114116389810639</v>
      </c>
      <c r="G27">
        <f t="shared" si="0"/>
        <v>3.3782586223697023E-2</v>
      </c>
      <c r="H27">
        <f t="shared" si="7"/>
        <v>3.6217120819330262E-2</v>
      </c>
      <c r="J27">
        <f t="shared" si="1"/>
        <v>7.0136777063890309E-3</v>
      </c>
      <c r="K27">
        <f t="shared" si="2"/>
        <v>7.3308863746070615E-3</v>
      </c>
      <c r="M27">
        <f t="shared" si="3"/>
        <v>7.4893528177891527E-3</v>
      </c>
      <c r="N27">
        <f t="shared" si="4"/>
        <v>7.3308863746070615E-3</v>
      </c>
      <c r="Q27">
        <f t="shared" si="5"/>
        <v>6.9399893329817608E-3</v>
      </c>
      <c r="R27">
        <f t="shared" si="6"/>
        <v>7.3308863746070615E-3</v>
      </c>
    </row>
    <row r="28" spans="1:18" x14ac:dyDescent="0.45">
      <c r="A28">
        <v>6.5</v>
      </c>
      <c r="B28">
        <f t="shared" si="8"/>
        <v>0.80239465801676924</v>
      </c>
      <c r="C28">
        <f t="shared" si="9"/>
        <v>-0.22015469986309152</v>
      </c>
      <c r="G28">
        <f t="shared" si="0"/>
        <v>3.3869953825091004E-2</v>
      </c>
      <c r="H28">
        <f t="shared" si="7"/>
        <v>3.6217120819330262E-2</v>
      </c>
      <c r="J28">
        <f t="shared" si="1"/>
        <v>6.9507437250702639E-3</v>
      </c>
      <c r="K28">
        <f t="shared" si="2"/>
        <v>7.2651060685446295E-3</v>
      </c>
      <c r="M28">
        <f t="shared" si="3"/>
        <v>7.4221505866551149E-3</v>
      </c>
      <c r="N28">
        <f t="shared" si="4"/>
        <v>7.2651060685446295E-3</v>
      </c>
      <c r="Q28">
        <f t="shared" si="5"/>
        <v>6.8777165600774036E-3</v>
      </c>
      <c r="R28">
        <f t="shared" si="6"/>
        <v>7.2651060685446295E-3</v>
      </c>
    </row>
    <row r="29" spans="1:18" x14ac:dyDescent="0.45">
      <c r="A29">
        <v>6.75</v>
      </c>
      <c r="B29">
        <f t="shared" si="8"/>
        <v>0.7951947420052442</v>
      </c>
      <c r="C29">
        <f t="shared" si="9"/>
        <v>-0.22916823582807666</v>
      </c>
      <c r="G29">
        <f t="shared" si="0"/>
        <v>3.3950849752307652E-2</v>
      </c>
      <c r="H29">
        <f t="shared" si="7"/>
        <v>3.6217120819330262E-2</v>
      </c>
      <c r="J29">
        <f t="shared" si="1"/>
        <v>6.8883744526204282E-3</v>
      </c>
      <c r="K29">
        <f t="shared" si="2"/>
        <v>7.1999160115250212E-3</v>
      </c>
      <c r="M29">
        <f t="shared" si="3"/>
        <v>7.3555513635485082E-3</v>
      </c>
      <c r="N29">
        <f t="shared" si="4"/>
        <v>7.1999160115250212E-3</v>
      </c>
      <c r="Q29">
        <f t="shared" si="5"/>
        <v>6.8160025629951876E-3</v>
      </c>
      <c r="R29">
        <f t="shared" si="6"/>
        <v>7.1999160115250212E-3</v>
      </c>
    </row>
    <row r="30" spans="1:18" x14ac:dyDescent="0.45">
      <c r="A30">
        <v>7</v>
      </c>
      <c r="B30">
        <v>0.78805943109802179</v>
      </c>
      <c r="C30">
        <f>LN(B30)</f>
        <v>-0.2381817717930618</v>
      </c>
      <c r="D30">
        <f>(1-B30)/(SUM($B$3:B30) *0.25)</f>
        <v>3.4024999999999993E-2</v>
      </c>
      <c r="E30">
        <f>VLOOKUP(A30,Sheet1!$A$2:$B$12,2)/100</f>
        <v>3.4025E-2</v>
      </c>
      <c r="F30">
        <f>D30-E30</f>
        <v>0</v>
      </c>
      <c r="G30">
        <f t="shared" si="0"/>
        <v>3.402596739900883E-2</v>
      </c>
      <c r="H30">
        <f t="shared" si="7"/>
        <v>3.6217120819330262E-2</v>
      </c>
      <c r="J30">
        <f t="shared" si="1"/>
        <v>6.8265648218866137E-3</v>
      </c>
      <c r="K30">
        <f t="shared" si="2"/>
        <v>7.1353109072224315E-3</v>
      </c>
      <c r="M30">
        <f t="shared" si="3"/>
        <v>7.2895497376567015E-3</v>
      </c>
      <c r="N30">
        <f t="shared" si="4"/>
        <v>7.1353109072224315E-3</v>
      </c>
      <c r="Q30">
        <f t="shared" si="5"/>
        <v>6.7548423278196452E-3</v>
      </c>
      <c r="R30">
        <f t="shared" si="6"/>
        <v>7.1353109072224315E-3</v>
      </c>
    </row>
    <row r="31" spans="1:18" x14ac:dyDescent="0.45">
      <c r="A31">
        <v>7.25</v>
      </c>
      <c r="B31">
        <f>EXP(C31)</f>
        <v>0.78095359043627077</v>
      </c>
      <c r="C31">
        <f>$C$30+($C$42-$C$30)*(A31-$A$30)/($A$42-$A$30)</f>
        <v>-0.24723955416509838</v>
      </c>
      <c r="G31">
        <f t="shared" si="0"/>
        <v>3.4102007471048051E-2</v>
      </c>
      <c r="H31">
        <f t="shared" si="7"/>
        <v>3.6395712876005071E-2</v>
      </c>
      <c r="J31">
        <f t="shared" si="1"/>
        <v>6.7650104771541956E-3</v>
      </c>
      <c r="K31">
        <f t="shared" si="2"/>
        <v>7.1058406617509427E-3</v>
      </c>
      <c r="M31">
        <f t="shared" si="3"/>
        <v>7.2238207115355047E-3</v>
      </c>
      <c r="N31">
        <f t="shared" si="4"/>
        <v>7.1058406617509427E-3</v>
      </c>
      <c r="Q31">
        <f t="shared" si="5"/>
        <v>6.6939346965133872E-3</v>
      </c>
      <c r="R31">
        <f t="shared" si="6"/>
        <v>7.1058406617509427E-3</v>
      </c>
    </row>
    <row r="32" spans="1:18" x14ac:dyDescent="0.45">
      <c r="A32">
        <v>7.5</v>
      </c>
      <c r="B32">
        <f t="shared" ref="B32:B41" si="10">EXP(C32)</f>
        <v>0.77391182231717037</v>
      </c>
      <c r="C32">
        <f t="shared" ref="C32:C41" si="11">$C$30+($C$42-$C$30)*(A32-$A$30)/($A$42-$A$30)</f>
        <v>-0.25629733653713499</v>
      </c>
      <c r="G32">
        <f t="shared" si="0"/>
        <v>3.4172978204951333E-2</v>
      </c>
      <c r="H32">
        <f t="shared" si="7"/>
        <v>3.6395712876005071E-2</v>
      </c>
      <c r="J32">
        <f t="shared" si="1"/>
        <v>6.7040111608224883E-3</v>
      </c>
      <c r="K32">
        <f t="shared" si="2"/>
        <v>7.0417681191003965E-3</v>
      </c>
      <c r="M32">
        <f t="shared" si="3"/>
        <v>7.1586843564338254E-3</v>
      </c>
      <c r="N32">
        <f t="shared" si="4"/>
        <v>7.0417681191003965E-3</v>
      </c>
      <c r="Q32">
        <f t="shared" si="5"/>
        <v>6.6335762622677426E-3</v>
      </c>
      <c r="R32">
        <f t="shared" si="6"/>
        <v>7.0417681191003965E-3</v>
      </c>
    </row>
    <row r="33" spans="1:18" x14ac:dyDescent="0.45">
      <c r="A33">
        <v>7.75</v>
      </c>
      <c r="B33">
        <f t="shared" si="10"/>
        <v>0.76693354900602062</v>
      </c>
      <c r="C33">
        <f t="shared" si="11"/>
        <v>-0.26535511890917157</v>
      </c>
      <c r="G33">
        <f t="shared" si="0"/>
        <v>3.4239370181828592E-2</v>
      </c>
      <c r="H33">
        <f t="shared" si="7"/>
        <v>3.6395712876005071E-2</v>
      </c>
      <c r="J33">
        <f t="shared" si="1"/>
        <v>6.6435618682646538E-3</v>
      </c>
      <c r="K33">
        <f t="shared" si="2"/>
        <v>6.978273311149673E-3</v>
      </c>
      <c r="M33">
        <f t="shared" si="3"/>
        <v>7.0941353283056905E-3</v>
      </c>
      <c r="N33">
        <f t="shared" si="4"/>
        <v>6.978273311149673E-3</v>
      </c>
      <c r="Q33">
        <f t="shared" si="5"/>
        <v>6.5737620730363907E-3</v>
      </c>
      <c r="R33">
        <f t="shared" si="6"/>
        <v>6.978273311149673E-3</v>
      </c>
    </row>
    <row r="34" spans="1:18" x14ac:dyDescent="0.45">
      <c r="A34">
        <v>8</v>
      </c>
      <c r="B34">
        <f t="shared" si="10"/>
        <v>0.76001819797748882</v>
      </c>
      <c r="C34">
        <f t="shared" si="11"/>
        <v>-0.27441290128120815</v>
      </c>
      <c r="G34">
        <f t="shared" si="0"/>
        <v>3.4301612660151019E-2</v>
      </c>
      <c r="H34">
        <f t="shared" si="7"/>
        <v>3.6395712876005071E-2</v>
      </c>
      <c r="J34">
        <f t="shared" si="1"/>
        <v>6.5836576399799967E-3</v>
      </c>
      <c r="K34">
        <f t="shared" si="2"/>
        <v>6.9153510285318654E-3</v>
      </c>
      <c r="M34">
        <f t="shared" si="3"/>
        <v>7.0301683312917716E-3</v>
      </c>
      <c r="N34">
        <f t="shared" si="4"/>
        <v>6.9153510285318654E-3</v>
      </c>
      <c r="Q34">
        <f t="shared" si="5"/>
        <v>6.5144872214250435E-3</v>
      </c>
      <c r="R34">
        <f t="shared" si="6"/>
        <v>6.9153510285318654E-3</v>
      </c>
    </row>
    <row r="35" spans="1:18" x14ac:dyDescent="0.45">
      <c r="A35">
        <v>8.25</v>
      </c>
      <c r="B35">
        <f t="shared" si="10"/>
        <v>0.75316520186863645</v>
      </c>
      <c r="C35">
        <f t="shared" si="11"/>
        <v>-0.28347068365324474</v>
      </c>
      <c r="G35">
        <f t="shared" si="0"/>
        <v>3.4360082867059966E-2</v>
      </c>
      <c r="H35">
        <f t="shared" si="7"/>
        <v>3.6395712876005071E-2</v>
      </c>
      <c r="J35">
        <f t="shared" si="1"/>
        <v>6.5242935611870634E-3</v>
      </c>
      <c r="K35">
        <f t="shared" si="2"/>
        <v>6.8529961088523222E-3</v>
      </c>
      <c r="M35">
        <f t="shared" si="3"/>
        <v>6.9667781172848865E-3</v>
      </c>
      <c r="N35">
        <f t="shared" si="4"/>
        <v>6.8529961088523222E-3</v>
      </c>
      <c r="P35" t="s">
        <v>17</v>
      </c>
      <c r="Q35">
        <f>SUM(Q3:Q34)</f>
        <v>0.23998180202251121</v>
      </c>
      <c r="R35">
        <f>SUM(R3:R34)</f>
        <v>0.23998180202251121</v>
      </c>
    </row>
    <row r="36" spans="1:18" x14ac:dyDescent="0.45">
      <c r="A36">
        <v>8.5</v>
      </c>
      <c r="B36">
        <f t="shared" si="10"/>
        <v>0.74637399843237129</v>
      </c>
      <c r="C36">
        <f t="shared" si="11"/>
        <v>-0.29252846602528132</v>
      </c>
      <c r="G36">
        <f t="shared" si="0"/>
        <v>3.4415113650033094E-2</v>
      </c>
      <c r="H36">
        <f t="shared" si="7"/>
        <v>3.6395712876005071E-2</v>
      </c>
      <c r="J36">
        <f t="shared" si="1"/>
        <v>6.4654647614204161E-3</v>
      </c>
      <c r="K36">
        <f t="shared" si="2"/>
        <v>6.7912034362651108E-3</v>
      </c>
      <c r="M36">
        <f t="shared" si="3"/>
        <v>6.9039594854994344E-3</v>
      </c>
      <c r="N36">
        <f t="shared" si="4"/>
        <v>6.7912034362651108E-3</v>
      </c>
      <c r="Q36">
        <f>Q35-R35</f>
        <v>0</v>
      </c>
      <c r="R36" t="s">
        <v>41</v>
      </c>
    </row>
    <row r="37" spans="1:18" x14ac:dyDescent="0.45">
      <c r="A37">
        <v>8.75</v>
      </c>
      <c r="B37">
        <f t="shared" si="10"/>
        <v>0.73964403049131799</v>
      </c>
      <c r="C37">
        <f t="shared" si="11"/>
        <v>-0.3015862483973179</v>
      </c>
      <c r="G37">
        <f t="shared" si="0"/>
        <v>3.4466999816836333E-2</v>
      </c>
      <c r="H37">
        <f t="shared" si="7"/>
        <v>3.6395712876005071E-2</v>
      </c>
      <c r="J37">
        <f t="shared" si="1"/>
        <v>6.4071664141310426E-3</v>
      </c>
      <c r="K37">
        <f t="shared" si="2"/>
        <v>6.7299679410532873E-3</v>
      </c>
      <c r="M37">
        <f t="shared" si="3"/>
        <v>6.8417072820446912E-3</v>
      </c>
      <c r="N37">
        <f t="shared" si="4"/>
        <v>6.7299679410532873E-3</v>
      </c>
    </row>
    <row r="38" spans="1:18" x14ac:dyDescent="0.45">
      <c r="A38">
        <v>9</v>
      </c>
      <c r="B38">
        <f t="shared" si="10"/>
        <v>0.73297474589210498</v>
      </c>
      <c r="C38">
        <f t="shared" si="11"/>
        <v>-0.31064403076935454</v>
      </c>
      <c r="G38">
        <f t="shared" si="0"/>
        <v>3.4516003418817172E-2</v>
      </c>
      <c r="H38">
        <f t="shared" si="7"/>
        <v>3.6395712876005071E-2</v>
      </c>
      <c r="J38">
        <f t="shared" si="1"/>
        <v>6.3493937362903595E-3</v>
      </c>
      <c r="K38">
        <f t="shared" si="2"/>
        <v>6.6692845992129572E-3</v>
      </c>
      <c r="M38">
        <f t="shared" si="3"/>
        <v>6.7800163995019704E-3</v>
      </c>
      <c r="N38">
        <f t="shared" si="4"/>
        <v>6.6692845992129572E-3</v>
      </c>
    </row>
    <row r="39" spans="1:18" x14ac:dyDescent="0.45">
      <c r="A39">
        <v>9.25</v>
      </c>
      <c r="B39">
        <f t="shared" si="10"/>
        <v>0.72636559746006379</v>
      </c>
      <c r="C39">
        <f t="shared" si="11"/>
        <v>-0.31970181314139112</v>
      </c>
      <c r="G39">
        <f t="shared" si="0"/>
        <v>3.456235817744769E-2</v>
      </c>
      <c r="H39">
        <f t="shared" si="7"/>
        <v>3.6395712876005959E-2</v>
      </c>
      <c r="J39">
        <f t="shared" si="1"/>
        <v>6.2921419879978027E-3</v>
      </c>
      <c r="K39">
        <f t="shared" si="2"/>
        <v>6.6091484320412513E-3</v>
      </c>
      <c r="M39">
        <f t="shared" si="3"/>
        <v>6.7188817765055902E-3</v>
      </c>
      <c r="N39">
        <f t="shared" si="4"/>
        <v>6.6091484320412513E-3</v>
      </c>
    </row>
    <row r="40" spans="1:18" x14ac:dyDescent="0.45">
      <c r="A40">
        <v>9.5</v>
      </c>
      <c r="B40">
        <f t="shared" si="10"/>
        <v>0.71981604295433677</v>
      </c>
      <c r="C40">
        <f t="shared" si="11"/>
        <v>-0.3287595955134277</v>
      </c>
      <c r="G40">
        <f t="shared" si="0"/>
        <v>3.4606273211939757E-2</v>
      </c>
      <c r="H40">
        <f t="shared" si="7"/>
        <v>3.6395712876005071E-2</v>
      </c>
      <c r="J40">
        <f t="shared" si="1"/>
        <v>6.2354064720919426E-3</v>
      </c>
      <c r="K40">
        <f t="shared" si="2"/>
        <v>6.5495545057270435E-3</v>
      </c>
      <c r="M40">
        <f t="shared" si="3"/>
        <v>6.6582983973276144E-3</v>
      </c>
      <c r="N40">
        <f t="shared" si="4"/>
        <v>6.5495545057270435E-3</v>
      </c>
    </row>
    <row r="41" spans="1:18" x14ac:dyDescent="0.45">
      <c r="A41">
        <v>9.75</v>
      </c>
      <c r="B41">
        <f t="shared" si="10"/>
        <v>0.71332554502338896</v>
      </c>
      <c r="C41">
        <f t="shared" si="11"/>
        <v>-0.33781737788546429</v>
      </c>
      <c r="G41">
        <f t="shared" si="0"/>
        <v>3.4647936193380954E-2</v>
      </c>
      <c r="H41">
        <f t="shared" si="7"/>
        <v>3.6395712876005071E-2</v>
      </c>
      <c r="J41">
        <f t="shared" si="1"/>
        <v>6.1791825337651068E-3</v>
      </c>
      <c r="K41">
        <f t="shared" si="2"/>
        <v>6.4904979309477733E-3</v>
      </c>
      <c r="M41">
        <f t="shared" si="3"/>
        <v>6.5982612914663478E-3</v>
      </c>
      <c r="N41">
        <f t="shared" si="4"/>
        <v>6.4904979309477733E-3</v>
      </c>
    </row>
    <row r="42" spans="1:18" x14ac:dyDescent="0.45">
      <c r="A42">
        <v>10</v>
      </c>
      <c r="B42">
        <v>0.70689357116092222</v>
      </c>
      <c r="C42">
        <f>LN(B42)</f>
        <v>-0.34687516025750087</v>
      </c>
      <c r="D42">
        <f>(1-B42)/(SUM($B$3:B42) *0.25)</f>
        <v>3.4650000000000007E-2</v>
      </c>
      <c r="E42">
        <f>VLOOKUP(A42,Sheet1!$A$2:$B$12,2)/100</f>
        <v>3.465E-2</v>
      </c>
      <c r="F42">
        <f>D42-E42</f>
        <v>0</v>
      </c>
      <c r="G42">
        <f t="shared" si="0"/>
        <v>3.4687516025750084E-2</v>
      </c>
      <c r="H42">
        <f t="shared" si="7"/>
        <v>3.6395712876005071E-2</v>
      </c>
      <c r="J42">
        <f t="shared" si="1"/>
        <v>6.1234655601814887E-3</v>
      </c>
      <c r="K42">
        <f t="shared" si="2"/>
        <v>6.4319738624666958E-3</v>
      </c>
      <c r="M42">
        <f t="shared" si="3"/>
        <v>6.5387655332385299E-3</v>
      </c>
      <c r="N42">
        <f t="shared" si="4"/>
        <v>6.4319738624666958E-3</v>
      </c>
    </row>
    <row r="43" spans="1:18" x14ac:dyDescent="0.45">
      <c r="I43" t="s">
        <v>17</v>
      </c>
      <c r="J43">
        <f>SUM(J3:J42)</f>
        <v>0.29310642883907773</v>
      </c>
      <c r="K43">
        <f>SUM(K3:K42)</f>
        <v>0.29310642883907762</v>
      </c>
      <c r="M43">
        <f>SUM(M3:M42)</f>
        <v>0.31298521982816385</v>
      </c>
      <c r="N43">
        <f>SUM(N3:N42)</f>
        <v>0.29310642883907762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F442-C9E2-4F83-8019-B825F62BABA9}">
  <dimension ref="A1:O43"/>
  <sheetViews>
    <sheetView topLeftCell="A13" workbookViewId="0">
      <selection activeCell="K43" sqref="K43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  <col min="10" max="10" width="11.83203125" customWidth="1"/>
    <col min="11" max="11" width="11.5" bestFit="1" customWidth="1"/>
  </cols>
  <sheetData>
    <row r="1" spans="1:15" x14ac:dyDescent="0.45">
      <c r="A1" t="s">
        <v>2</v>
      </c>
      <c r="I1" t="s">
        <v>16</v>
      </c>
      <c r="J1">
        <f>Sheet1!B9/100</f>
        <v>3.465E-2</v>
      </c>
      <c r="M1" t="s">
        <v>40</v>
      </c>
      <c r="N1">
        <f>Sheet1!C33</f>
        <v>3.4285953882477946E-2</v>
      </c>
    </row>
    <row r="2" spans="1:15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J2" t="s">
        <v>14</v>
      </c>
      <c r="K2" t="s">
        <v>15</v>
      </c>
      <c r="N2" t="s">
        <v>4</v>
      </c>
      <c r="O2" t="s">
        <v>5</v>
      </c>
    </row>
    <row r="3" spans="1:15" x14ac:dyDescent="0.45">
      <c r="A3" cm="1">
        <f t="array" ref="A3:A42">_xlfn.SEQUENCE(40,,0.25,0.25)</f>
        <v>0.25</v>
      </c>
      <c r="B3">
        <f>1/(1+Sheet1!B15/100*0.25)</f>
        <v>0.99302400635535359</v>
      </c>
      <c r="C3">
        <f>LN(B3)</f>
        <v>-7.0004396447444842E-3</v>
      </c>
      <c r="G3">
        <f>-C3/A3</f>
        <v>2.8001758578977937E-2</v>
      </c>
      <c r="H3">
        <f>(1/B3-1)/0.25</f>
        <v>2.8100000000000236E-2</v>
      </c>
      <c r="J3">
        <f>$J$1*0.25*B3</f>
        <v>8.6020704550532501E-3</v>
      </c>
      <c r="K3">
        <f>H3*0.25*B3</f>
        <v>6.9759936446464176E-3</v>
      </c>
      <c r="N3">
        <f>$N$1*0.25*B3</f>
        <v>8.5116938215232842E-3</v>
      </c>
      <c r="O3">
        <f>B3*0.25*H3</f>
        <v>6.9759936446464176E-3</v>
      </c>
    </row>
    <row r="4" spans="1:15" x14ac:dyDescent="0.45">
      <c r="A4">
        <v>0.5</v>
      </c>
      <c r="B4">
        <f>EXP(C4)</f>
        <v>0.98571187446618536</v>
      </c>
      <c r="C4">
        <f>$C$3+($C$6-$C$3)*(A4-$A$3)/($A$6-$A$3)</f>
        <v>-1.4391183648816551E-2</v>
      </c>
      <c r="G4">
        <f t="shared" ref="G4:G42" si="0">-C4/A4</f>
        <v>2.8782367297633102E-2</v>
      </c>
      <c r="H4">
        <f>(B3/B4-1)/0.25</f>
        <v>2.9672491845055937E-2</v>
      </c>
      <c r="J4">
        <f t="shared" ref="J4:J42" si="1">$J$1*0.25*B4</f>
        <v>8.5387291125633303E-3</v>
      </c>
      <c r="K4">
        <f t="shared" ref="K4:K42" si="2">H4*0.25*B4</f>
        <v>7.3121318891681717E-3</v>
      </c>
      <c r="N4">
        <f t="shared" ref="N4:N34" si="3">$N$1*0.25*B4</f>
        <v>8.4490179673396299E-3</v>
      </c>
      <c r="O4">
        <f t="shared" ref="O4:O34" si="4">B4*0.25*H4</f>
        <v>7.3121318891681717E-3</v>
      </c>
    </row>
    <row r="5" spans="1:15" x14ac:dyDescent="0.45">
      <c r="A5">
        <v>0.75</v>
      </c>
      <c r="B5">
        <f>EXP(C5)</f>
        <v>0.97845358545737282</v>
      </c>
      <c r="C5">
        <f>$C$3+($C$6-$C$3)*(A5-$A$3)/($A$6-$A$3)</f>
        <v>-2.1781927652888618E-2</v>
      </c>
      <c r="G5">
        <f t="shared" si="0"/>
        <v>2.9042570203851491E-2</v>
      </c>
      <c r="H5">
        <f t="shared" ref="H5:H42" si="5">(B4/B5-1)/0.25</f>
        <v>2.9672491845056825E-2</v>
      </c>
      <c r="J5">
        <f t="shared" si="1"/>
        <v>8.4758541840244915E-3</v>
      </c>
      <c r="K5">
        <f t="shared" si="2"/>
        <v>7.2582890088126271E-3</v>
      </c>
      <c r="N5">
        <f t="shared" si="3"/>
        <v>8.3868036267841697E-3</v>
      </c>
      <c r="O5">
        <f t="shared" si="4"/>
        <v>7.2582890088126271E-3</v>
      </c>
    </row>
    <row r="6" spans="1:15" x14ac:dyDescent="0.45">
      <c r="A6">
        <v>1</v>
      </c>
      <c r="B6">
        <v>0.97124874285688734</v>
      </c>
      <c r="C6">
        <f>LN(B6)</f>
        <v>-2.9172671656960688E-2</v>
      </c>
      <c r="D6">
        <f>(1-B6)/(SUM($B$3:B6) *0.25)</f>
        <v>2.9275000000000034E-2</v>
      </c>
      <c r="E6">
        <f>VLOOKUP(A6,Sheet1!$A$15:$B$25,2)/100</f>
        <v>2.9274999999999999E-2</v>
      </c>
      <c r="F6">
        <f>D6-E6</f>
        <v>3.4694469519536142E-17</v>
      </c>
      <c r="G6">
        <f t="shared" si="0"/>
        <v>2.9172671656960688E-2</v>
      </c>
      <c r="H6">
        <f t="shared" si="5"/>
        <v>2.9672491845055937E-2</v>
      </c>
      <c r="J6">
        <f t="shared" si="1"/>
        <v>8.413442234997787E-3</v>
      </c>
      <c r="K6">
        <f t="shared" si="2"/>
        <v>7.2048426004854551E-3</v>
      </c>
      <c r="N6">
        <f t="shared" si="3"/>
        <v>8.32504740150148E-3</v>
      </c>
      <c r="O6">
        <f t="shared" si="4"/>
        <v>7.2048426004854551E-3</v>
      </c>
    </row>
    <row r="7" spans="1:15" x14ac:dyDescent="0.45">
      <c r="A7">
        <v>1.25</v>
      </c>
      <c r="B7">
        <f>EXP(C7)</f>
        <v>0.96336616372387374</v>
      </c>
      <c r="C7">
        <f>$C$6+($C$10-$C$6)*(A7-$A$6)/($A$10-$A$6)</f>
        <v>-3.7321707134298165E-2</v>
      </c>
      <c r="G7">
        <f t="shared" si="0"/>
        <v>2.9857365707438532E-2</v>
      </c>
      <c r="H7">
        <f t="shared" si="5"/>
        <v>3.2729316971414235E-2</v>
      </c>
      <c r="J7">
        <f t="shared" si="1"/>
        <v>8.3451593932580559E-3</v>
      </c>
      <c r="K7">
        <f t="shared" si="2"/>
        <v>7.8825791330135019E-3</v>
      </c>
      <c r="N7">
        <f t="shared" si="3"/>
        <v>8.257481965344109E-3</v>
      </c>
      <c r="O7">
        <f t="shared" si="4"/>
        <v>7.8825791330135019E-3</v>
      </c>
    </row>
    <row r="8" spans="1:15" x14ac:dyDescent="0.45">
      <c r="A8">
        <v>1.5</v>
      </c>
      <c r="B8">
        <f>EXP(C8)</f>
        <v>0.95554755898902055</v>
      </c>
      <c r="C8">
        <f>$C$6+($C$10-$C$6)*(A8-$A$6)/($A$10-$A$6)</f>
        <v>-4.5470742611635639E-2</v>
      </c>
      <c r="G8">
        <f t="shared" si="0"/>
        <v>3.0313828407757093E-2</v>
      </c>
      <c r="H8">
        <f t="shared" si="5"/>
        <v>3.2729316971414235E-2</v>
      </c>
      <c r="J8">
        <f t="shared" si="1"/>
        <v>8.2774307297423903E-3</v>
      </c>
      <c r="K8">
        <f t="shared" si="2"/>
        <v>7.818604734853199E-3</v>
      </c>
      <c r="N8">
        <f t="shared" si="3"/>
        <v>8.1904648850029838E-3</v>
      </c>
      <c r="O8">
        <f t="shared" si="4"/>
        <v>7.818604734853199E-3</v>
      </c>
    </row>
    <row r="9" spans="1:15" x14ac:dyDescent="0.45">
      <c r="A9">
        <v>1.75</v>
      </c>
      <c r="B9">
        <f>EXP(C9)</f>
        <v>0.947792409441096</v>
      </c>
      <c r="C9">
        <f>$C$6+($C$10-$C$6)*(A9-$A$6)/($A$10-$A$6)</f>
        <v>-5.3619778088973113E-2</v>
      </c>
      <c r="G9">
        <f t="shared" si="0"/>
        <v>3.0639873193698923E-2</v>
      </c>
      <c r="H9">
        <f t="shared" si="5"/>
        <v>3.2729316971414235E-2</v>
      </c>
      <c r="J9">
        <f t="shared" si="1"/>
        <v>8.2102517467834944E-3</v>
      </c>
      <c r="K9">
        <f t="shared" si="2"/>
        <v>7.7551495479245133E-3</v>
      </c>
      <c r="N9">
        <f t="shared" si="3"/>
        <v>8.1239917100650177E-3</v>
      </c>
      <c r="O9">
        <f t="shared" si="4"/>
        <v>7.7551495479245133E-3</v>
      </c>
    </row>
    <row r="10" spans="1:15" x14ac:dyDescent="0.45">
      <c r="A10">
        <v>2</v>
      </c>
      <c r="B10">
        <v>0.94010020008274642</v>
      </c>
      <c r="C10">
        <f>LN(B10)</f>
        <v>-6.1768813566310588E-2</v>
      </c>
      <c r="D10">
        <f>(1-B10)/(SUM($B$3:B10) *0.25)</f>
        <v>3.0975000000000006E-2</v>
      </c>
      <c r="E10">
        <f>VLOOKUP(A10,Sheet1!$A$15:$B$25,2)/100</f>
        <v>3.0974999999999996E-2</v>
      </c>
      <c r="F10">
        <f>D10-E10</f>
        <v>0</v>
      </c>
      <c r="G10">
        <f t="shared" si="0"/>
        <v>3.0884406783155294E-2</v>
      </c>
      <c r="H10">
        <f t="shared" si="5"/>
        <v>3.2729316971414235E-2</v>
      </c>
      <c r="J10">
        <f t="shared" si="1"/>
        <v>8.1436179832167915E-3</v>
      </c>
      <c r="K10">
        <f t="shared" si="2"/>
        <v>7.6922093583495377E-3</v>
      </c>
      <c r="N10">
        <f t="shared" si="3"/>
        <v>8.0580580262363342E-3</v>
      </c>
      <c r="O10">
        <f t="shared" si="4"/>
        <v>7.6922093583495377E-3</v>
      </c>
    </row>
    <row r="11" spans="1:15" x14ac:dyDescent="0.45">
      <c r="A11">
        <v>2.25</v>
      </c>
      <c r="B11">
        <f>EXP(C11)</f>
        <v>0.93206943946656484</v>
      </c>
      <c r="C11">
        <f>$C$10+($C$14-$C$10)*(A11-$A$10)/($A$14-$A$10)</f>
        <v>-7.0347961206557105E-2</v>
      </c>
      <c r="G11">
        <f t="shared" si="0"/>
        <v>3.1265760536247605E-2</v>
      </c>
      <c r="H11">
        <f t="shared" si="5"/>
        <v>3.4464215974199242E-2</v>
      </c>
      <c r="J11">
        <f t="shared" si="1"/>
        <v>8.0740515193791183E-3</v>
      </c>
      <c r="K11">
        <f t="shared" si="2"/>
        <v>8.0307606161816297E-3</v>
      </c>
      <c r="N11">
        <f t="shared" si="3"/>
        <v>7.9892224542044282E-3</v>
      </c>
      <c r="O11">
        <f t="shared" si="4"/>
        <v>8.0307606161816297E-3</v>
      </c>
    </row>
    <row r="12" spans="1:15" x14ac:dyDescent="0.45">
      <c r="A12">
        <v>2.5</v>
      </c>
      <c r="B12">
        <f>EXP(C12)</f>
        <v>0.92410728123560637</v>
      </c>
      <c r="C12">
        <f>$C$10+($C$14-$C$10)*(A12-$A$10)/($A$14-$A$10)</f>
        <v>-7.8927108846803623E-2</v>
      </c>
      <c r="G12">
        <f t="shared" si="0"/>
        <v>3.1570843538721451E-2</v>
      </c>
      <c r="H12">
        <f t="shared" si="5"/>
        <v>3.4464215974199242E-2</v>
      </c>
      <c r="J12">
        <f t="shared" si="1"/>
        <v>8.0050793237034408E-3</v>
      </c>
      <c r="K12">
        <f t="shared" si="2"/>
        <v>7.9621582309585045E-3</v>
      </c>
      <c r="N12">
        <f t="shared" si="3"/>
        <v>7.9209749067265193E-3</v>
      </c>
      <c r="O12">
        <f t="shared" si="4"/>
        <v>7.9621582309585045E-3</v>
      </c>
    </row>
    <row r="13" spans="1:15" x14ac:dyDescent="0.45">
      <c r="A13">
        <v>2.75</v>
      </c>
      <c r="B13">
        <f>EXP(C13)</f>
        <v>0.91621313935730408</v>
      </c>
      <c r="C13">
        <f>$C$10+($C$14-$C$10)*(A13-$A$10)/($A$14-$A$10)</f>
        <v>-8.7506256487050127E-2</v>
      </c>
      <c r="G13">
        <f t="shared" si="0"/>
        <v>3.1820456904381865E-2</v>
      </c>
      <c r="H13">
        <f t="shared" si="5"/>
        <v>3.4464215974199242E-2</v>
      </c>
      <c r="J13">
        <f t="shared" si="1"/>
        <v>7.9366963196826467E-3</v>
      </c>
      <c r="K13">
        <f t="shared" si="2"/>
        <v>7.894141878302308E-3</v>
      </c>
      <c r="N13">
        <f t="shared" si="3"/>
        <v>7.8533103606312164E-3</v>
      </c>
      <c r="O13">
        <f t="shared" si="4"/>
        <v>7.894141878302308E-3</v>
      </c>
    </row>
    <row r="14" spans="1:15" x14ac:dyDescent="0.45">
      <c r="A14">
        <v>3</v>
      </c>
      <c r="B14">
        <v>0.908386432805246</v>
      </c>
      <c r="C14">
        <f>LN(B14)</f>
        <v>-9.6085404127296645E-2</v>
      </c>
      <c r="D14">
        <f>(1-B14)/(SUM($B$3:B14) *0.25)</f>
        <v>3.2100000000000004E-2</v>
      </c>
      <c r="E14">
        <f>VLOOKUP(A14,Sheet1!$A$15:$B$25,2)/100</f>
        <v>3.2099999999999997E-2</v>
      </c>
      <c r="F14">
        <f>D14-E14</f>
        <v>0</v>
      </c>
      <c r="G14">
        <f t="shared" si="0"/>
        <v>3.2028468042432215E-2</v>
      </c>
      <c r="H14">
        <f t="shared" si="5"/>
        <v>3.4464215974199242E-2</v>
      </c>
      <c r="J14">
        <f t="shared" si="1"/>
        <v>7.8688974741754434E-3</v>
      </c>
      <c r="K14">
        <f t="shared" si="2"/>
        <v>7.8267065520581068E-3</v>
      </c>
      <c r="N14">
        <f t="shared" si="3"/>
        <v>7.786223835657329E-3</v>
      </c>
      <c r="O14">
        <f t="shared" si="4"/>
        <v>7.8267065520581068E-3</v>
      </c>
    </row>
    <row r="15" spans="1:15" x14ac:dyDescent="0.45">
      <c r="A15">
        <v>3.25</v>
      </c>
      <c r="B15">
        <f>EXP(C15)</f>
        <v>0.90049635725268673</v>
      </c>
      <c r="C15">
        <f>$C$14+($C$18-$C$14)*(A15-$A$14)/($A$18-$A$14)</f>
        <v>-0.10480915962396217</v>
      </c>
      <c r="G15">
        <f t="shared" si="0"/>
        <v>3.2248972191988363E-2</v>
      </c>
      <c r="H15">
        <f t="shared" si="5"/>
        <v>3.5047673381516375E-2</v>
      </c>
      <c r="J15">
        <f t="shared" si="1"/>
        <v>7.8005496947013992E-3</v>
      </c>
      <c r="K15">
        <f t="shared" si="2"/>
        <v>7.8900755525593627E-3</v>
      </c>
      <c r="N15">
        <f t="shared" si="3"/>
        <v>7.7185941440262506E-3</v>
      </c>
      <c r="O15">
        <f t="shared" si="4"/>
        <v>7.8900755525593627E-3</v>
      </c>
    </row>
    <row r="16" spans="1:15" x14ac:dyDescent="0.45">
      <c r="A16">
        <v>3.5</v>
      </c>
      <c r="B16">
        <f>EXP(C16)</f>
        <v>0.89267481342845012</v>
      </c>
      <c r="C16">
        <f>$C$14+($C$18-$C$14)*(A16-$A$14)/($A$18-$A$14)</f>
        <v>-0.11353291512062771</v>
      </c>
      <c r="G16">
        <f t="shared" si="0"/>
        <v>3.2437975748750777E-2</v>
      </c>
      <c r="H16">
        <f t="shared" si="5"/>
        <v>3.5047673381516375E-2</v>
      </c>
      <c r="J16">
        <f t="shared" si="1"/>
        <v>7.7327955713239489E-3</v>
      </c>
      <c r="K16">
        <f t="shared" si="2"/>
        <v>7.8215438242365976E-3</v>
      </c>
      <c r="N16">
        <f t="shared" si="3"/>
        <v>7.6515518713143613E-3</v>
      </c>
      <c r="O16">
        <f t="shared" si="4"/>
        <v>7.8215438242365976E-3</v>
      </c>
    </row>
    <row r="17" spans="1:15" x14ac:dyDescent="0.45">
      <c r="A17">
        <v>3.75</v>
      </c>
      <c r="B17">
        <f>EXP(C17)</f>
        <v>0.88492120607869429</v>
      </c>
      <c r="C17">
        <f>$C$14+($C$18-$C$14)*(A17-$A$14)/($A$18-$A$14)</f>
        <v>-0.12225667061729324</v>
      </c>
      <c r="G17">
        <f t="shared" si="0"/>
        <v>3.2601778831278197E-2</v>
      </c>
      <c r="H17">
        <f t="shared" si="5"/>
        <v>3.5047673381516375E-2</v>
      </c>
      <c r="J17">
        <f t="shared" si="1"/>
        <v>7.6656299476566894E-3</v>
      </c>
      <c r="K17">
        <f t="shared" si="2"/>
        <v>7.7536073497559048E-3</v>
      </c>
      <c r="N17">
        <f t="shared" si="3"/>
        <v>7.5850919153102186E-3</v>
      </c>
      <c r="O17">
        <f t="shared" si="4"/>
        <v>7.7536073497559048E-3</v>
      </c>
    </row>
    <row r="18" spans="1:15" x14ac:dyDescent="0.45">
      <c r="A18">
        <v>4</v>
      </c>
      <c r="B18">
        <v>0.87723494511984124</v>
      </c>
      <c r="C18">
        <f>LN(B18)</f>
        <v>-0.13098042611395877</v>
      </c>
      <c r="D18">
        <f>(1-B18)/(SUM($B$3:B18) *0.25)</f>
        <v>3.2799999999999989E-2</v>
      </c>
      <c r="E18">
        <f>VLOOKUP(A18,Sheet1!$A$15:$B$25,2)/100</f>
        <v>3.2799999999999996E-2</v>
      </c>
      <c r="F18">
        <f>D18-E18</f>
        <v>0</v>
      </c>
      <c r="G18">
        <f t="shared" si="0"/>
        <v>3.2745106528489692E-2</v>
      </c>
      <c r="H18">
        <f t="shared" si="5"/>
        <v>3.5047673381515487E-2</v>
      </c>
      <c r="J18">
        <f t="shared" si="1"/>
        <v>7.5990477121006244E-3</v>
      </c>
      <c r="K18">
        <f t="shared" si="2"/>
        <v>7.6862609588529644E-3</v>
      </c>
      <c r="N18">
        <f t="shared" si="3"/>
        <v>7.5192092181192369E-3</v>
      </c>
      <c r="O18">
        <f t="shared" si="4"/>
        <v>7.6862609588529644E-3</v>
      </c>
    </row>
    <row r="19" spans="1:15" x14ac:dyDescent="0.45">
      <c r="A19">
        <v>4.25</v>
      </c>
      <c r="B19">
        <f>EXP(C19)</f>
        <v>0.86946425792875193</v>
      </c>
      <c r="C19">
        <f>$C$18+($C$22-$C$18)*(A19-$A$18)/($A$22-$A$18)</f>
        <v>-0.1398780524976134</v>
      </c>
      <c r="G19">
        <f t="shared" si="0"/>
        <v>3.2912482940614919E-2</v>
      </c>
      <c r="H19">
        <f t="shared" si="5"/>
        <v>3.5749311695000507E-2</v>
      </c>
      <c r="J19">
        <f t="shared" si="1"/>
        <v>7.531734134307814E-3</v>
      </c>
      <c r="K19">
        <f t="shared" si="2"/>
        <v>7.7706871910893172E-3</v>
      </c>
      <c r="N19">
        <f t="shared" si="3"/>
        <v>7.4526028624520247E-3</v>
      </c>
      <c r="O19">
        <f t="shared" si="4"/>
        <v>7.7706871910893172E-3</v>
      </c>
    </row>
    <row r="20" spans="1:15" x14ac:dyDescent="0.45">
      <c r="A20">
        <v>4.5</v>
      </c>
      <c r="B20">
        <f>EXP(C20)</f>
        <v>0.86176240472536181</v>
      </c>
      <c r="C20">
        <f>$C$18+($C$22-$C$18)*(A20-$A$18)/($A$22-$A$18)</f>
        <v>-0.14877567888126803</v>
      </c>
      <c r="G20">
        <f t="shared" si="0"/>
        <v>3.3061261973615114E-2</v>
      </c>
      <c r="H20">
        <f t="shared" si="5"/>
        <v>3.5749311695000507E-2</v>
      </c>
      <c r="J20">
        <f t="shared" si="1"/>
        <v>7.4650168309334467E-3</v>
      </c>
      <c r="K20">
        <f t="shared" si="2"/>
        <v>7.7018532033900347E-3</v>
      </c>
      <c r="N20">
        <f t="shared" si="3"/>
        <v>7.3865865165167622E-3</v>
      </c>
      <c r="O20">
        <f t="shared" si="4"/>
        <v>7.7018532033900347E-3</v>
      </c>
    </row>
    <row r="21" spans="1:15" x14ac:dyDescent="0.45">
      <c r="A21">
        <v>4.75</v>
      </c>
      <c r="B21">
        <f>EXP(C21)</f>
        <v>0.85412877576721891</v>
      </c>
      <c r="C21">
        <f>$C$18+($C$22-$C$18)*(A21-$A$18)/($A$22-$A$18)</f>
        <v>-0.15767330526492268</v>
      </c>
      <c r="G21">
        <f t="shared" si="0"/>
        <v>3.3194380055773194E-2</v>
      </c>
      <c r="H21">
        <f t="shared" si="5"/>
        <v>3.5749311695000507E-2</v>
      </c>
      <c r="J21">
        <f t="shared" si="1"/>
        <v>7.3988905200835335E-3</v>
      </c>
      <c r="K21">
        <f t="shared" si="2"/>
        <v>7.6336289581428766E-3</v>
      </c>
      <c r="N21">
        <f t="shared" si="3"/>
        <v>7.3211549539130534E-3</v>
      </c>
      <c r="O21">
        <f t="shared" si="4"/>
        <v>7.6336289581428766E-3</v>
      </c>
    </row>
    <row r="22" spans="1:15" x14ac:dyDescent="0.45">
      <c r="A22">
        <v>5</v>
      </c>
      <c r="B22">
        <v>0.84656276671306707</v>
      </c>
      <c r="C22">
        <f>LN(B22)</f>
        <v>-0.16657093164857731</v>
      </c>
      <c r="D22">
        <f>(1-B22)/(SUM($B$3:B22) *0.25)</f>
        <v>3.3349999999999998E-2</v>
      </c>
      <c r="E22">
        <f>VLOOKUP(A22,Sheet1!$A$15:$B$25,2)/100</f>
        <v>3.3349999999999998E-2</v>
      </c>
      <c r="F22">
        <f>D22-E22</f>
        <v>0</v>
      </c>
      <c r="G22">
        <f t="shared" si="0"/>
        <v>3.3314186329715459E-2</v>
      </c>
      <c r="H22">
        <f t="shared" si="5"/>
        <v>3.5749311695000507E-2</v>
      </c>
      <c r="J22">
        <f t="shared" si="1"/>
        <v>7.3333499666519437E-3</v>
      </c>
      <c r="K22">
        <f t="shared" si="2"/>
        <v>7.5660090541518586E-3</v>
      </c>
      <c r="N22">
        <f t="shared" si="3"/>
        <v>7.2563029945367881E-3</v>
      </c>
      <c r="O22">
        <f t="shared" si="4"/>
        <v>7.5660090541518586E-3</v>
      </c>
    </row>
    <row r="23" spans="1:15" x14ac:dyDescent="0.45">
      <c r="A23">
        <v>5.25</v>
      </c>
      <c r="B23">
        <f t="shared" ref="B23:B29" si="6">EXP(C23)</f>
        <v>0.83894558161452915</v>
      </c>
      <c r="C23">
        <f>$C$22+($C$30-$C$22)*(A23-$A$22)/($A$30-$A$22)</f>
        <v>-0.17560943562620956</v>
      </c>
      <c r="G23">
        <f t="shared" si="0"/>
        <v>3.3449416309754204E-2</v>
      </c>
      <c r="H23">
        <f t="shared" si="5"/>
        <v>3.6317898397552284E-2</v>
      </c>
      <c r="J23">
        <f t="shared" si="1"/>
        <v>7.2673661007358588E-3</v>
      </c>
      <c r="K23">
        <f t="shared" si="2"/>
        <v>7.6171850985379689E-3</v>
      </c>
      <c r="N23">
        <f t="shared" si="3"/>
        <v>7.1910123802860961E-3</v>
      </c>
      <c r="O23">
        <f t="shared" si="4"/>
        <v>7.6171850985379689E-3</v>
      </c>
    </row>
    <row r="24" spans="1:15" x14ac:dyDescent="0.45">
      <c r="A24">
        <v>5.5</v>
      </c>
      <c r="B24">
        <f t="shared" si="6"/>
        <v>0.83139693426783523</v>
      </c>
      <c r="C24">
        <f t="shared" ref="C24:C29" si="7">$C$22+($C$30-$C$22)*(A24-$A$22)/($A$30-$A$22)</f>
        <v>-0.18464793960384185</v>
      </c>
      <c r="G24">
        <f t="shared" si="0"/>
        <v>3.357235265524397E-2</v>
      </c>
      <c r="H24">
        <f t="shared" si="5"/>
        <v>3.6317898397552284E-2</v>
      </c>
      <c r="J24">
        <f t="shared" si="1"/>
        <v>7.201975943095123E-3</v>
      </c>
      <c r="K24">
        <f t="shared" si="2"/>
        <v>7.5486473466939239E-3</v>
      </c>
      <c r="N24">
        <f t="shared" si="3"/>
        <v>7.1263092365851368E-3</v>
      </c>
      <c r="O24">
        <f t="shared" si="4"/>
        <v>7.5486473466939239E-3</v>
      </c>
    </row>
    <row r="25" spans="1:15" x14ac:dyDescent="0.45">
      <c r="A25">
        <v>5.75</v>
      </c>
      <c r="B25">
        <f t="shared" si="6"/>
        <v>0.82391620798540766</v>
      </c>
      <c r="C25">
        <f t="shared" si="7"/>
        <v>-0.19368644358147413</v>
      </c>
      <c r="G25">
        <f t="shared" si="0"/>
        <v>3.368459888373463E-2</v>
      </c>
      <c r="H25">
        <f t="shared" si="5"/>
        <v>3.6317898397552284E-2</v>
      </c>
      <c r="J25">
        <f t="shared" si="1"/>
        <v>7.1371741516735943E-3</v>
      </c>
      <c r="K25">
        <f t="shared" si="2"/>
        <v>7.4807262824276482E-3</v>
      </c>
      <c r="N25">
        <f t="shared" si="3"/>
        <v>7.0621882775034487E-3</v>
      </c>
      <c r="O25">
        <f t="shared" si="4"/>
        <v>7.4807262824276482E-3</v>
      </c>
    </row>
    <row r="26" spans="1:15" x14ac:dyDescent="0.45">
      <c r="A26">
        <v>6</v>
      </c>
      <c r="B26">
        <f t="shared" si="6"/>
        <v>0.81650279162848738</v>
      </c>
      <c r="C26">
        <f t="shared" si="7"/>
        <v>-0.20272494755910639</v>
      </c>
      <c r="G26">
        <f t="shared" si="0"/>
        <v>3.3787491259851067E-2</v>
      </c>
      <c r="H26">
        <f t="shared" si="5"/>
        <v>3.6317898397552284E-2</v>
      </c>
      <c r="J26">
        <f t="shared" si="1"/>
        <v>7.0729554324817723E-3</v>
      </c>
      <c r="K26">
        <f t="shared" si="2"/>
        <v>7.4134163569203023E-3</v>
      </c>
      <c r="N26">
        <f t="shared" si="3"/>
        <v>6.9986442646722043E-3</v>
      </c>
      <c r="O26">
        <f t="shared" si="4"/>
        <v>7.4134163569203023E-3</v>
      </c>
    </row>
    <row r="27" spans="1:15" x14ac:dyDescent="0.45">
      <c r="A27">
        <v>6.25</v>
      </c>
      <c r="B27">
        <f t="shared" si="6"/>
        <v>0.80915607955720736</v>
      </c>
      <c r="C27">
        <f t="shared" si="7"/>
        <v>-0.21176345153673864</v>
      </c>
      <c r="G27">
        <f t="shared" si="0"/>
        <v>3.3882152245878185E-2</v>
      </c>
      <c r="H27">
        <f t="shared" si="5"/>
        <v>3.6317898397552284E-2</v>
      </c>
      <c r="J27">
        <f t="shared" si="1"/>
        <v>7.0093145391643087E-3</v>
      </c>
      <c r="K27">
        <f t="shared" si="2"/>
        <v>7.3467120712800973E-3</v>
      </c>
      <c r="N27">
        <f t="shared" si="3"/>
        <v>6.9356720068562668E-3</v>
      </c>
      <c r="O27">
        <f t="shared" si="4"/>
        <v>7.3467120712800973E-3</v>
      </c>
    </row>
    <row r="28" spans="1:15" x14ac:dyDescent="0.45">
      <c r="A28">
        <v>6.5</v>
      </c>
      <c r="B28">
        <f t="shared" si="6"/>
        <v>0.80187547158111439</v>
      </c>
      <c r="C28">
        <f t="shared" si="7"/>
        <v>-0.22080195551437093</v>
      </c>
      <c r="G28">
        <f t="shared" si="0"/>
        <v>3.3969531617595528E-2</v>
      </c>
      <c r="H28">
        <f t="shared" si="5"/>
        <v>3.6317898397552284E-2</v>
      </c>
      <c r="J28">
        <f t="shared" si="1"/>
        <v>6.9462462725714035E-3</v>
      </c>
      <c r="K28">
        <f t="shared" si="2"/>
        <v>7.2806079760930594E-3</v>
      </c>
      <c r="N28">
        <f t="shared" si="3"/>
        <v>6.8732663595300857E-3</v>
      </c>
      <c r="O28">
        <f t="shared" si="4"/>
        <v>7.2806079760930594E-3</v>
      </c>
    </row>
    <row r="29" spans="1:15" x14ac:dyDescent="0.45">
      <c r="A29">
        <v>6.75</v>
      </c>
      <c r="B29">
        <f t="shared" si="6"/>
        <v>0.79466037291013658</v>
      </c>
      <c r="C29">
        <f t="shared" si="7"/>
        <v>-0.22984045949200321</v>
      </c>
      <c r="G29">
        <f t="shared" si="0"/>
        <v>3.4050438443259737E-2</v>
      </c>
      <c r="H29">
        <f t="shared" si="5"/>
        <v>3.6317898397552284E-2</v>
      </c>
      <c r="J29">
        <f t="shared" si="1"/>
        <v>6.8837454803340583E-3</v>
      </c>
      <c r="K29">
        <f t="shared" si="2"/>
        <v>7.2150986709778372E-3</v>
      </c>
      <c r="N29">
        <f t="shared" si="3"/>
        <v>6.8114222244574172E-3</v>
      </c>
      <c r="O29">
        <f t="shared" si="4"/>
        <v>7.2150986709778372E-3</v>
      </c>
    </row>
    <row r="30" spans="1:15" x14ac:dyDescent="0.45">
      <c r="A30">
        <v>7</v>
      </c>
      <c r="B30">
        <v>0.7875101941059921</v>
      </c>
      <c r="C30">
        <f>LN(B30)</f>
        <v>-0.23887896346963547</v>
      </c>
      <c r="D30">
        <f>(1-B30)/(SUM($B$3:B30) *0.25)</f>
        <v>3.4124999999999989E-2</v>
      </c>
      <c r="E30">
        <f>VLOOKUP(A30,Sheet1!$A$15:$B$25,2)/100</f>
        <v>3.4124999999999996E-2</v>
      </c>
      <c r="F30">
        <f>D30-E30</f>
        <v>0</v>
      </c>
      <c r="G30">
        <f t="shared" si="0"/>
        <v>3.4125566209947923E-2</v>
      </c>
      <c r="H30">
        <f t="shared" si="5"/>
        <v>3.6317898397552284E-2</v>
      </c>
      <c r="J30">
        <f t="shared" si="1"/>
        <v>6.8218070564431566E-3</v>
      </c>
      <c r="K30">
        <f t="shared" si="2"/>
        <v>7.1501788041445245E-3</v>
      </c>
      <c r="N30">
        <f t="shared" si="3"/>
        <v>6.7501345492748249E-3</v>
      </c>
      <c r="O30">
        <f t="shared" si="4"/>
        <v>7.1501788041445245E-3</v>
      </c>
    </row>
    <row r="31" spans="1:15" x14ac:dyDescent="0.45">
      <c r="A31">
        <v>7.25</v>
      </c>
      <c r="B31">
        <f>EXP(C31)</f>
        <v>0.78038979972274458</v>
      </c>
      <c r="C31">
        <f>$C$30+($C$42-$C$30)*(A31-$A$30)/($A$42-$A$30)</f>
        <v>-0.24796174089427483</v>
      </c>
      <c r="G31">
        <f t="shared" si="0"/>
        <v>3.4201619433693084E-2</v>
      </c>
      <c r="H31">
        <f t="shared" si="5"/>
        <v>3.649660406005939E-2</v>
      </c>
      <c r="J31">
        <f t="shared" si="1"/>
        <v>6.7601266400982747E-3</v>
      </c>
      <c r="K31">
        <f t="shared" si="2"/>
        <v>7.1203943832475131E-3</v>
      </c>
      <c r="N31">
        <f t="shared" si="3"/>
        <v>6.6891021709125555E-3</v>
      </c>
      <c r="O31">
        <f t="shared" si="4"/>
        <v>7.1203943832475131E-3</v>
      </c>
    </row>
    <row r="32" spans="1:15" x14ac:dyDescent="0.45">
      <c r="A32">
        <v>7.5</v>
      </c>
      <c r="B32">
        <f t="shared" ref="B32:B41" si="8">EXP(C32)</f>
        <v>0.77333378547902099</v>
      </c>
      <c r="C32">
        <f t="shared" ref="C32:C41" si="9">$C$30+($C$42-$C$30)*(A32-$A$30)/($A$42-$A$30)</f>
        <v>-0.25704451831891417</v>
      </c>
      <c r="G32">
        <f t="shared" si="0"/>
        <v>3.4272602442521886E-2</v>
      </c>
      <c r="H32">
        <f t="shared" si="5"/>
        <v>3.6496604060058502E-2</v>
      </c>
      <c r="J32">
        <f t="shared" si="1"/>
        <v>6.699003916712019E-3</v>
      </c>
      <c r="K32">
        <f t="shared" si="2"/>
        <v>7.0560142437235121E-3</v>
      </c>
      <c r="N32">
        <f t="shared" si="3"/>
        <v>6.6286216261739516E-3</v>
      </c>
      <c r="O32">
        <f t="shared" si="4"/>
        <v>7.0560142437235121E-3</v>
      </c>
    </row>
    <row r="33" spans="1:15" x14ac:dyDescent="0.45">
      <c r="A33">
        <v>7.75</v>
      </c>
      <c r="B33">
        <f t="shared" si="8"/>
        <v>0.76634156927190078</v>
      </c>
      <c r="C33">
        <f t="shared" si="9"/>
        <v>-0.26612729574355354</v>
      </c>
      <c r="G33">
        <f t="shared" si="0"/>
        <v>3.4339005902394006E-2</v>
      </c>
      <c r="H33">
        <f t="shared" si="5"/>
        <v>3.649660406005939E-2</v>
      </c>
      <c r="J33">
        <f t="shared" si="1"/>
        <v>6.6384338438178403E-3</v>
      </c>
      <c r="K33">
        <f t="shared" si="2"/>
        <v>6.9922162071202843E-3</v>
      </c>
      <c r="N33">
        <f t="shared" si="3"/>
        <v>6.5686879255705422E-3</v>
      </c>
      <c r="O33">
        <f t="shared" si="4"/>
        <v>6.9922162071202843E-3</v>
      </c>
    </row>
    <row r="34" spans="1:15" x14ac:dyDescent="0.45">
      <c r="A34">
        <v>8</v>
      </c>
      <c r="B34">
        <f t="shared" si="8"/>
        <v>0.75941257426163644</v>
      </c>
      <c r="C34">
        <f t="shared" si="9"/>
        <v>-0.2752100731681929</v>
      </c>
      <c r="G34">
        <f t="shared" si="0"/>
        <v>3.4401259146024113E-2</v>
      </c>
      <c r="H34">
        <f t="shared" si="5"/>
        <v>3.649660406005939E-2</v>
      </c>
      <c r="J34">
        <f t="shared" si="1"/>
        <v>6.5784114245414256E-3</v>
      </c>
      <c r="K34">
        <f t="shared" si="2"/>
        <v>6.9289950102643487E-3</v>
      </c>
      <c r="N34">
        <f t="shared" si="3"/>
        <v>6.5092961247270814E-3</v>
      </c>
      <c r="O34">
        <f t="shared" si="4"/>
        <v>6.9289950102643487E-3</v>
      </c>
    </row>
    <row r="35" spans="1:15" x14ac:dyDescent="0.45">
      <c r="A35">
        <v>8.25</v>
      </c>
      <c r="B35">
        <f t="shared" si="8"/>
        <v>0.75254622882406574</v>
      </c>
      <c r="C35">
        <f t="shared" si="9"/>
        <v>-0.28429285059283227</v>
      </c>
      <c r="G35">
        <f t="shared" si="0"/>
        <v>3.4459739465797848E-2</v>
      </c>
      <c r="H35">
        <f t="shared" si="5"/>
        <v>3.649660406005939E-2</v>
      </c>
      <c r="J35">
        <f t="shared" si="1"/>
        <v>6.5189317071884696E-3</v>
      </c>
      <c r="K35">
        <f t="shared" si="2"/>
        <v>6.8663454375706952E-3</v>
      </c>
      <c r="M35" t="s">
        <v>17</v>
      </c>
      <c r="N35">
        <f>SUM(N3:N34)</f>
        <v>0.23988774258375484</v>
      </c>
      <c r="O35">
        <f>SUM(O3:O34)</f>
        <v>0.24058742573836392</v>
      </c>
    </row>
    <row r="36" spans="1:15" x14ac:dyDescent="0.45">
      <c r="A36">
        <v>8.5</v>
      </c>
      <c r="B36">
        <f t="shared" si="8"/>
        <v>0.74574196650345415</v>
      </c>
      <c r="C36">
        <f t="shared" si="9"/>
        <v>-0.29337562801747163</v>
      </c>
      <c r="G36">
        <f t="shared" si="0"/>
        <v>3.4514779766761372E-2</v>
      </c>
      <c r="H36">
        <f t="shared" si="5"/>
        <v>3.649660406005939E-2</v>
      </c>
      <c r="J36">
        <f t="shared" si="1"/>
        <v>6.4599897848361719E-3</v>
      </c>
      <c r="K36">
        <f t="shared" si="2"/>
        <v>6.8042623206116598E-3</v>
      </c>
    </row>
    <row r="37" spans="1:15" x14ac:dyDescent="0.45">
      <c r="A37">
        <v>8.75</v>
      </c>
      <c r="B37">
        <f t="shared" si="8"/>
        <v>0.73899922596576351</v>
      </c>
      <c r="C37">
        <f t="shared" si="9"/>
        <v>-0.302458405442111</v>
      </c>
      <c r="G37">
        <f t="shared" si="0"/>
        <v>3.4566674907669827E-2</v>
      </c>
      <c r="H37">
        <f t="shared" si="5"/>
        <v>3.649660406005939E-2</v>
      </c>
      <c r="J37">
        <f t="shared" si="1"/>
        <v>6.4015807949284265E-3</v>
      </c>
      <c r="K37">
        <f t="shared" si="2"/>
        <v>6.7427405376907076E-3</v>
      </c>
    </row>
    <row r="38" spans="1:15" x14ac:dyDescent="0.45">
      <c r="A38">
        <v>9</v>
      </c>
      <c r="B38">
        <f t="shared" si="8"/>
        <v>0.73231745095234368</v>
      </c>
      <c r="C38">
        <f t="shared" si="9"/>
        <v>-0.31154118286675037</v>
      </c>
      <c r="G38">
        <f t="shared" si="0"/>
        <v>3.4615686985194488E-2</v>
      </c>
      <c r="H38">
        <f t="shared" si="5"/>
        <v>3.6496604060058502E-2</v>
      </c>
      <c r="J38">
        <f t="shared" si="1"/>
        <v>6.3436999188746773E-3</v>
      </c>
      <c r="K38">
        <f t="shared" si="2"/>
        <v>6.6817750134197497E-3</v>
      </c>
    </row>
    <row r="39" spans="1:15" x14ac:dyDescent="0.45">
      <c r="A39">
        <v>9.25</v>
      </c>
      <c r="B39">
        <f t="shared" si="8"/>
        <v>0.72569609023404247</v>
      </c>
      <c r="C39">
        <f t="shared" si="9"/>
        <v>-0.32062396029138973</v>
      </c>
      <c r="G39">
        <f t="shared" si="0"/>
        <v>3.4662049761231321E-2</v>
      </c>
      <c r="H39">
        <f t="shared" si="5"/>
        <v>3.649660406005939E-2</v>
      </c>
      <c r="J39">
        <f t="shared" si="1"/>
        <v>6.2863423816523932E-3</v>
      </c>
      <c r="K39">
        <f t="shared" si="2"/>
        <v>6.6213607183012446E-3</v>
      </c>
    </row>
    <row r="40" spans="1:15" x14ac:dyDescent="0.45">
      <c r="A40">
        <v>9.5</v>
      </c>
      <c r="B40">
        <f t="shared" si="8"/>
        <v>0.71913459756573084</v>
      </c>
      <c r="C40">
        <f t="shared" si="9"/>
        <v>-0.3297067377160291</v>
      </c>
      <c r="G40">
        <f t="shared" si="0"/>
        <v>3.4705972391160959E-2</v>
      </c>
      <c r="H40">
        <f t="shared" si="5"/>
        <v>3.649660406005939E-2</v>
      </c>
      <c r="J40">
        <f t="shared" si="1"/>
        <v>6.2295034514131438E-3</v>
      </c>
      <c r="K40">
        <f t="shared" si="2"/>
        <v>6.5614926683116572E-3</v>
      </c>
    </row>
    <row r="41" spans="1:15" x14ac:dyDescent="0.45">
      <c r="A41">
        <v>9.75</v>
      </c>
      <c r="B41">
        <f t="shared" si="8"/>
        <v>0.71263243164123891</v>
      </c>
      <c r="C41">
        <f t="shared" si="9"/>
        <v>-0.33878951514066846</v>
      </c>
      <c r="G41">
        <f t="shared" si="0"/>
        <v>3.4747642578530101E-2</v>
      </c>
      <c r="H41">
        <f t="shared" si="5"/>
        <v>3.649660406005939E-2</v>
      </c>
      <c r="J41">
        <f t="shared" si="1"/>
        <v>6.1731784390922318E-3</v>
      </c>
      <c r="K41">
        <f t="shared" si="2"/>
        <v>6.5021659244919091E-3</v>
      </c>
    </row>
    <row r="42" spans="1:15" x14ac:dyDescent="0.45">
      <c r="A42">
        <v>10</v>
      </c>
      <c r="B42">
        <v>0.70618905604869986</v>
      </c>
      <c r="C42">
        <f>LN(B42)</f>
        <v>-0.34787229256530783</v>
      </c>
      <c r="D42">
        <f>(1-B42)/(SUM($B$3:B42) *0.25)</f>
        <v>3.4749999999999996E-2</v>
      </c>
      <c r="E42">
        <f>VLOOKUP(A42,Sheet1!$A$15:$B$25,2)/100</f>
        <v>3.4749999999999996E-2</v>
      </c>
      <c r="F42">
        <f>D42-E42</f>
        <v>0</v>
      </c>
      <c r="G42">
        <f t="shared" si="0"/>
        <v>3.4787229256530786E-2</v>
      </c>
      <c r="H42">
        <f t="shared" si="5"/>
        <v>3.649660406005939E-2</v>
      </c>
      <c r="J42">
        <f t="shared" si="1"/>
        <v>6.1173626980218629E-3</v>
      </c>
      <c r="K42">
        <f t="shared" si="2"/>
        <v>6.4433755925391223E-3</v>
      </c>
    </row>
    <row r="43" spans="1:15" x14ac:dyDescent="0.45">
      <c r="I43" t="s">
        <v>17</v>
      </c>
      <c r="J43">
        <f>SUM(J3:J42)</f>
        <v>0.29296544483201586</v>
      </c>
      <c r="K43">
        <f>SUM(K3:K42)</f>
        <v>0.29381094395130064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3728-E3E1-4CDB-9E1D-44675775A2DB}">
  <dimension ref="A1:O43"/>
  <sheetViews>
    <sheetView topLeftCell="A13" workbookViewId="0">
      <selection activeCell="F42" sqref="F42"/>
    </sheetView>
  </sheetViews>
  <sheetFormatPr defaultRowHeight="17" x14ac:dyDescent="0.45"/>
  <cols>
    <col min="2" max="2" width="15.75" customWidth="1"/>
    <col min="4" max="4" width="9.5" customWidth="1"/>
    <col min="5" max="5" width="10.83203125" customWidth="1"/>
    <col min="7" max="7" width="10.25" bestFit="1" customWidth="1"/>
    <col min="8" max="8" width="13.5" bestFit="1" customWidth="1"/>
    <col min="10" max="10" width="11.83203125" customWidth="1"/>
    <col min="11" max="11" width="11.5" bestFit="1" customWidth="1"/>
  </cols>
  <sheetData>
    <row r="1" spans="1:15" x14ac:dyDescent="0.45">
      <c r="A1" t="s">
        <v>2</v>
      </c>
      <c r="I1" t="s">
        <v>16</v>
      </c>
      <c r="J1">
        <f>Sheet1!B9/100</f>
        <v>3.465E-2</v>
      </c>
      <c r="M1" t="s">
        <v>40</v>
      </c>
      <c r="N1">
        <f>Sheet1!C33</f>
        <v>3.4285953882477946E-2</v>
      </c>
    </row>
    <row r="2" spans="1:15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J2" t="s">
        <v>14</v>
      </c>
      <c r="K2" t="s">
        <v>15</v>
      </c>
      <c r="N2" t="s">
        <v>4</v>
      </c>
      <c r="O2" t="s">
        <v>5</v>
      </c>
    </row>
    <row r="3" spans="1:15" x14ac:dyDescent="0.45">
      <c r="A3" cm="1">
        <f t="array" ref="A3:A42">_xlfn.SEQUENCE(40,,0.25,0.25)</f>
        <v>0.25</v>
      </c>
      <c r="B3">
        <f>1/(1+Sheet1!B2/100*0.25)</f>
        <v>0.99304865938430997</v>
      </c>
      <c r="C3">
        <f>LN(B3)</f>
        <v>-6.9756137364250992E-3</v>
      </c>
      <c r="G3">
        <f>-C3/A3</f>
        <v>2.7902454945700397E-2</v>
      </c>
      <c r="H3">
        <f>(1/B3-1)/0.25</f>
        <v>2.7999999999999581E-2</v>
      </c>
      <c r="J3">
        <f>$J$1*0.25*B3</f>
        <v>8.6022840119165857E-3</v>
      </c>
      <c r="K3">
        <f>H3*0.25*B3</f>
        <v>6.9513406156900661E-3</v>
      </c>
      <c r="N3">
        <f>$N$1*0.25*B3</f>
        <v>8.5119051346767508E-3</v>
      </c>
      <c r="O3">
        <f>B3*0.25*H3</f>
        <v>6.9513406156900661E-3</v>
      </c>
    </row>
    <row r="4" spans="1:15" x14ac:dyDescent="0.45">
      <c r="A4">
        <v>0.5</v>
      </c>
      <c r="B4">
        <f>EXP(C4)</f>
        <v>0.9857280690097292</v>
      </c>
      <c r="C4">
        <f>$C$3+($C$6-$C$3)*(A4-$A$3)/($A$6-$A$3)</f>
        <v>-1.4374754496513124E-2</v>
      </c>
      <c r="G4">
        <f t="shared" ref="G4:G42" si="0">-C4/A4</f>
        <v>2.8749508993026248E-2</v>
      </c>
      <c r="H4">
        <f>(B3/B4-1)/0.25</f>
        <v>2.9706328163851659E-2</v>
      </c>
      <c r="J4">
        <f t="shared" ref="J4:J42" si="1">$J$1*0.25*B4</f>
        <v>8.5388693977967792E-3</v>
      </c>
      <c r="K4">
        <f t="shared" ref="K4:K42" si="2">H4*0.25*B4</f>
        <v>7.3205903745807077E-3</v>
      </c>
      <c r="N4">
        <f t="shared" ref="N4:N34" si="3">$N$1*0.25*B4</f>
        <v>8.4491567786829039E-3</v>
      </c>
      <c r="O4">
        <f t="shared" ref="O4:O34" si="4">B4*0.25*H4</f>
        <v>7.3205903745807077E-3</v>
      </c>
    </row>
    <row r="5" spans="1:15" x14ac:dyDescent="0.45">
      <c r="A5">
        <v>0.75</v>
      </c>
      <c r="B5">
        <f>EXP(C5)</f>
        <v>0.97846144481588482</v>
      </c>
      <c r="C5">
        <f>$C$3+($C$6-$C$3)*(A5-$A$3)/($A$6-$A$3)</f>
        <v>-2.1773895256601148E-2</v>
      </c>
      <c r="G5">
        <f t="shared" si="0"/>
        <v>2.9031860342134865E-2</v>
      </c>
      <c r="H5">
        <f t="shared" ref="H5:H42" si="5">(B4/B5-1)/0.25</f>
        <v>2.9706328163851659E-2</v>
      </c>
      <c r="J5">
        <f t="shared" si="1"/>
        <v>8.4759222657176028E-3</v>
      </c>
      <c r="K5">
        <f t="shared" si="2"/>
        <v>7.2666241938442759E-3</v>
      </c>
      <c r="N5">
        <f t="shared" si="3"/>
        <v>8.3868709931850423E-3</v>
      </c>
      <c r="O5">
        <f t="shared" si="4"/>
        <v>7.2666241938442759E-3</v>
      </c>
    </row>
    <row r="6" spans="1:15" x14ac:dyDescent="0.45">
      <c r="A6">
        <v>1</v>
      </c>
      <c r="B6">
        <v>0.97124838897302357</v>
      </c>
      <c r="C6">
        <f>LN(B6)</f>
        <v>-2.9173036016689174E-2</v>
      </c>
      <c r="D6">
        <f>(1-B6)/(SUM($B$3:B6) *0.25)</f>
        <v>2.9274999999999982E-2</v>
      </c>
      <c r="E6">
        <f>VLOOKUP(A6,Sheet1!$D$15:$E$25,2)/100</f>
        <v>2.9274999999999999E-2</v>
      </c>
      <c r="F6">
        <f>D6-E6</f>
        <v>0</v>
      </c>
      <c r="G6">
        <f t="shared" si="0"/>
        <v>2.9173036016689174E-2</v>
      </c>
      <c r="H6">
        <f t="shared" si="5"/>
        <v>2.9706328163851659E-2</v>
      </c>
      <c r="J6">
        <f t="shared" si="1"/>
        <v>8.4134391694788164E-3</v>
      </c>
      <c r="K6">
        <f t="shared" si="2"/>
        <v>7.2130558428612204E-3</v>
      </c>
      <c r="N6">
        <f t="shared" si="3"/>
        <v>8.3250443681900221E-3</v>
      </c>
      <c r="O6">
        <f t="shared" si="4"/>
        <v>7.2130558428612204E-3</v>
      </c>
    </row>
    <row r="7" spans="1:15" x14ac:dyDescent="0.45">
      <c r="A7">
        <v>1.25</v>
      </c>
      <c r="B7">
        <f>EXP(C7)</f>
        <v>0.96341440032289816</v>
      </c>
      <c r="C7">
        <f>$C$6+($C$10-$C$6)*(A7-$A$6)/($A$10-$A$6)</f>
        <v>-3.7271637500075672E-2</v>
      </c>
      <c r="G7">
        <f t="shared" si="0"/>
        <v>2.9817310000060538E-2</v>
      </c>
      <c r="H7">
        <f t="shared" si="5"/>
        <v>3.2525935454150279E-2</v>
      </c>
      <c r="J7">
        <f t="shared" si="1"/>
        <v>8.3455772427971052E-3</v>
      </c>
      <c r="K7">
        <f t="shared" si="2"/>
        <v>7.8339886501253703E-3</v>
      </c>
      <c r="N7">
        <f t="shared" si="3"/>
        <v>8.2578954247965082E-3</v>
      </c>
      <c r="O7">
        <f t="shared" si="4"/>
        <v>7.8339886501253703E-3</v>
      </c>
    </row>
    <row r="8" spans="1:15" x14ac:dyDescent="0.45">
      <c r="A8">
        <v>1.5</v>
      </c>
      <c r="B8">
        <f>EXP(C8)</f>
        <v>0.95564359981173597</v>
      </c>
      <c r="C8">
        <f>$C$6+($C$10-$C$6)*(A8-$A$6)/($A$10-$A$6)</f>
        <v>-4.5370238983462166E-2</v>
      </c>
      <c r="G8">
        <f t="shared" si="0"/>
        <v>3.0246825988974779E-2</v>
      </c>
      <c r="H8">
        <f t="shared" si="5"/>
        <v>3.2525935454150279E-2</v>
      </c>
      <c r="J8">
        <f t="shared" si="1"/>
        <v>8.2782626833691631E-3</v>
      </c>
      <c r="K8">
        <f t="shared" si="2"/>
        <v>7.7708005111620862E-3</v>
      </c>
      <c r="N8">
        <f t="shared" si="3"/>
        <v>8.1912880978075968E-3</v>
      </c>
      <c r="O8">
        <f t="shared" si="4"/>
        <v>7.7708005111620862E-3</v>
      </c>
    </row>
    <row r="9" spans="1:15" x14ac:dyDescent="0.45">
      <c r="A9">
        <v>1.75</v>
      </c>
      <c r="B9">
        <f>EXP(C9)</f>
        <v>0.94793547777056975</v>
      </c>
      <c r="C9">
        <f>$C$6+($C$10-$C$6)*(A9-$A$6)/($A$10-$A$6)</f>
        <v>-5.3468840466848661E-2</v>
      </c>
      <c r="G9">
        <f t="shared" si="0"/>
        <v>3.055362312391352E-2</v>
      </c>
      <c r="H9">
        <f t="shared" si="5"/>
        <v>3.2525935454150279E-2</v>
      </c>
      <c r="J9">
        <f t="shared" si="1"/>
        <v>8.2114910761875611E-3</v>
      </c>
      <c r="K9">
        <f t="shared" si="2"/>
        <v>7.7081220411661646E-3</v>
      </c>
      <c r="N9">
        <f t="shared" si="3"/>
        <v>8.1252180186016133E-3</v>
      </c>
      <c r="O9">
        <f t="shared" si="4"/>
        <v>7.7081220411661646E-3</v>
      </c>
    </row>
    <row r="10" spans="1:15" x14ac:dyDescent="0.45">
      <c r="A10">
        <v>2</v>
      </c>
      <c r="B10">
        <v>0.94028952864136905</v>
      </c>
      <c r="C10">
        <f>LN(B10)</f>
        <v>-6.1567441950235148E-2</v>
      </c>
      <c r="D10">
        <f>(1-B10)/(SUM($B$3:B10) *0.25)</f>
        <v>3.0874999999999982E-2</v>
      </c>
      <c r="E10">
        <f>VLOOKUP(A10,Sheet1!$D$15:$E$25,2)/100</f>
        <v>3.0875E-2</v>
      </c>
      <c r="F10">
        <f>D10-E10</f>
        <v>0</v>
      </c>
      <c r="G10">
        <f t="shared" si="0"/>
        <v>3.0783720975117574E-2</v>
      </c>
      <c r="H10">
        <f t="shared" si="5"/>
        <v>3.2525935454150279E-2</v>
      </c>
      <c r="J10">
        <f t="shared" si="1"/>
        <v>8.1452580418558598E-3</v>
      </c>
      <c r="K10">
        <f t="shared" si="2"/>
        <v>7.6459491292006397E-3</v>
      </c>
      <c r="N10">
        <f t="shared" si="3"/>
        <v>8.0596808537937263E-3</v>
      </c>
      <c r="O10">
        <f t="shared" si="4"/>
        <v>7.6459491292006397E-3</v>
      </c>
    </row>
    <row r="11" spans="1:15" x14ac:dyDescent="0.45">
      <c r="A11">
        <v>2.25</v>
      </c>
      <c r="B11">
        <f>EXP(C11)</f>
        <v>0.93228036539278758</v>
      </c>
      <c r="C11">
        <f>$C$10+($C$14-$C$10)*(A11-$A$10)/($A$14-$A$10)</f>
        <v>-7.0121688297285573E-2</v>
      </c>
      <c r="G11">
        <f t="shared" si="0"/>
        <v>3.1165194798793587E-2</v>
      </c>
      <c r="H11">
        <f t="shared" si="5"/>
        <v>3.4363753848691836E-2</v>
      </c>
      <c r="J11">
        <f t="shared" si="1"/>
        <v>8.0758786652150218E-3</v>
      </c>
      <c r="K11">
        <f t="shared" si="2"/>
        <v>8.0091632485815595E-3</v>
      </c>
      <c r="N11">
        <f t="shared" si="3"/>
        <v>7.9910304033492009E-3</v>
      </c>
      <c r="O11">
        <f t="shared" si="4"/>
        <v>8.0091632485815595E-3</v>
      </c>
    </row>
    <row r="12" spans="1:15" x14ac:dyDescent="0.45">
      <c r="A12">
        <v>2.5</v>
      </c>
      <c r="B12">
        <f>EXP(C12)</f>
        <v>0.92433942229766786</v>
      </c>
      <c r="C12">
        <f>$C$10+($C$14-$C$10)*(A12-$A$10)/($A$14-$A$10)</f>
        <v>-7.8675934644336004E-2</v>
      </c>
      <c r="G12">
        <f t="shared" si="0"/>
        <v>3.14703738577344E-2</v>
      </c>
      <c r="H12">
        <f t="shared" si="5"/>
        <v>3.4363753848691836E-2</v>
      </c>
      <c r="J12">
        <f t="shared" si="1"/>
        <v>8.0070902456535475E-3</v>
      </c>
      <c r="K12">
        <f t="shared" si="2"/>
        <v>7.9409430951197686E-3</v>
      </c>
      <c r="N12">
        <f t="shared" si="3"/>
        <v>7.9229647011635363E-3</v>
      </c>
      <c r="O12">
        <f t="shared" si="4"/>
        <v>7.9409430951197686E-3</v>
      </c>
    </row>
    <row r="13" spans="1:15" x14ac:dyDescent="0.45">
      <c r="A13">
        <v>2.75</v>
      </c>
      <c r="B13">
        <f>EXP(C13)</f>
        <v>0.91646611827291868</v>
      </c>
      <c r="C13">
        <f>$C$10+($C$14-$C$10)*(A13-$A$10)/($A$14-$A$10)</f>
        <v>-8.7230180991386436E-2</v>
      </c>
      <c r="G13">
        <f t="shared" si="0"/>
        <v>3.172006581504961E-2</v>
      </c>
      <c r="H13">
        <f t="shared" si="5"/>
        <v>3.4363753848691836E-2</v>
      </c>
      <c r="J13">
        <f t="shared" si="1"/>
        <v>7.9388877495391585E-3</v>
      </c>
      <c r="K13">
        <f t="shared" si="2"/>
        <v>7.8733040247491691E-3</v>
      </c>
      <c r="N13">
        <f t="shared" si="3"/>
        <v>7.855478766489718E-3</v>
      </c>
      <c r="O13">
        <f t="shared" si="4"/>
        <v>7.8733040247491691E-3</v>
      </c>
    </row>
    <row r="14" spans="1:15" x14ac:dyDescent="0.45">
      <c r="A14">
        <v>3</v>
      </c>
      <c r="B14">
        <v>0.90865987718497698</v>
      </c>
      <c r="C14">
        <f>LN(B14)</f>
        <v>-9.5784427338436867E-2</v>
      </c>
      <c r="D14">
        <f>(1-B14)/(SUM($B$3:B14) *0.25)</f>
        <v>3.2000000000000015E-2</v>
      </c>
      <c r="E14">
        <f>VLOOKUP(A14,Sheet1!$D$15:$E$25,2)/100</f>
        <v>3.2000000000000001E-2</v>
      </c>
      <c r="F14">
        <f>D14-E14</f>
        <v>0</v>
      </c>
      <c r="G14">
        <f t="shared" si="0"/>
        <v>3.192814244614562E-2</v>
      </c>
      <c r="H14">
        <f t="shared" si="5"/>
        <v>3.4363753848691836E-2</v>
      </c>
      <c r="J14">
        <f t="shared" si="1"/>
        <v>7.8712661861148631E-3</v>
      </c>
      <c r="K14">
        <f t="shared" si="2"/>
        <v>7.8062410879417756E-3</v>
      </c>
      <c r="N14">
        <f t="shared" si="3"/>
        <v>7.7885676610055486E-3</v>
      </c>
      <c r="O14">
        <f t="shared" si="4"/>
        <v>7.8062410879417756E-3</v>
      </c>
    </row>
    <row r="15" spans="1:15" x14ac:dyDescent="0.45">
      <c r="A15">
        <v>3.25</v>
      </c>
      <c r="B15">
        <f>EXP(C15)</f>
        <v>0.9007898671284712</v>
      </c>
      <c r="C15">
        <f>$C$14+($C$18-$C$14)*(A15-$A$14)/($A$18-$A$14)</f>
        <v>-0.10448327040723546</v>
      </c>
      <c r="G15">
        <f t="shared" si="0"/>
        <v>3.2148698586841676E-2</v>
      </c>
      <c r="H15">
        <f t="shared" si="5"/>
        <v>3.4947151799536336E-2</v>
      </c>
      <c r="J15">
        <f t="shared" si="1"/>
        <v>7.8030922240003818E-3</v>
      </c>
      <c r="K15">
        <f t="shared" si="2"/>
        <v>7.8700100565057118E-3</v>
      </c>
      <c r="N15">
        <f t="shared" si="3"/>
        <v>7.7211099605425503E-3</v>
      </c>
      <c r="O15">
        <f t="shared" si="4"/>
        <v>7.8700100565057118E-3</v>
      </c>
    </row>
    <row r="16" spans="1:15" x14ac:dyDescent="0.45">
      <c r="A16">
        <v>3.5</v>
      </c>
      <c r="B16">
        <f>EXP(C16)</f>
        <v>0.89298802015459355</v>
      </c>
      <c r="C16">
        <f>$C$14+($C$18-$C$14)*(A16-$A$14)/($A$18-$A$14)</f>
        <v>-0.11318211347603405</v>
      </c>
      <c r="G16">
        <f t="shared" si="0"/>
        <v>3.2337746707438296E-2</v>
      </c>
      <c r="H16">
        <f t="shared" si="5"/>
        <v>3.4947151799537224E-2</v>
      </c>
      <c r="J16">
        <f t="shared" si="1"/>
        <v>7.7355087245891668E-3</v>
      </c>
      <c r="K16">
        <f t="shared" si="2"/>
        <v>7.8018469738776967E-3</v>
      </c>
      <c r="N16">
        <f t="shared" si="3"/>
        <v>7.6542365191564201E-3</v>
      </c>
      <c r="O16">
        <f t="shared" si="4"/>
        <v>7.8018469738776967E-3</v>
      </c>
    </row>
    <row r="17" spans="1:15" x14ac:dyDescent="0.45">
      <c r="A17">
        <v>3.75</v>
      </c>
      <c r="B17">
        <f>EXP(C17)</f>
        <v>0.88525374589486938</v>
      </c>
      <c r="C17">
        <f>$C$14+($C$18-$C$14)*(A17-$A$14)/($A$18-$A$14)</f>
        <v>-0.12188095654483264</v>
      </c>
      <c r="G17">
        <f t="shared" si="0"/>
        <v>3.2501588411955371E-2</v>
      </c>
      <c r="H17">
        <f t="shared" si="5"/>
        <v>3.4947151799537224E-2</v>
      </c>
      <c r="J17">
        <f t="shared" si="1"/>
        <v>7.6685105738143059E-3</v>
      </c>
      <c r="K17">
        <f t="shared" si="2"/>
        <v>7.734274259724238E-3</v>
      </c>
      <c r="N17">
        <f t="shared" si="3"/>
        <v>7.5879422765105856E-3</v>
      </c>
      <c r="O17">
        <f t="shared" si="4"/>
        <v>7.734274259724238E-3</v>
      </c>
    </row>
    <row r="18" spans="1:15" x14ac:dyDescent="0.45">
      <c r="A18">
        <v>4</v>
      </c>
      <c r="B18">
        <v>0.87758645909407473</v>
      </c>
      <c r="C18">
        <f>LN(B18)</f>
        <v>-0.13057979961363123</v>
      </c>
      <c r="D18">
        <f>(1-B18)/(SUM($B$3:B18) *0.25)</f>
        <v>3.2699999999999993E-2</v>
      </c>
      <c r="E18">
        <f>VLOOKUP(A18,Sheet1!$D$15:$E$25,2)/100</f>
        <v>3.27E-2</v>
      </c>
      <c r="F18">
        <f>D18-E18</f>
        <v>0</v>
      </c>
      <c r="G18">
        <f t="shared" si="0"/>
        <v>3.2644949903407806E-2</v>
      </c>
      <c r="H18">
        <f t="shared" si="5"/>
        <v>3.4947151799536336E-2</v>
      </c>
      <c r="J18">
        <f t="shared" si="1"/>
        <v>7.602092701902422E-3</v>
      </c>
      <c r="K18">
        <f t="shared" si="2"/>
        <v>7.6672868007945537E-3</v>
      </c>
      <c r="N18">
        <f t="shared" si="3"/>
        <v>7.5222222160966409E-3</v>
      </c>
      <c r="O18">
        <f t="shared" si="4"/>
        <v>7.6672868007945537E-3</v>
      </c>
    </row>
    <row r="19" spans="1:15" x14ac:dyDescent="0.45">
      <c r="A19">
        <v>4.25</v>
      </c>
      <c r="B19">
        <f>EXP(C19)</f>
        <v>0.86983435442816359</v>
      </c>
      <c r="C19">
        <f>$C$18+($C$22-$C$18)*(A19-$A$18)/($A$22-$A$18)</f>
        <v>-0.1394524826703647</v>
      </c>
      <c r="G19">
        <f t="shared" si="0"/>
        <v>3.2812348863615226E-2</v>
      </c>
      <c r="H19">
        <f t="shared" si="5"/>
        <v>3.5648647935996536E-2</v>
      </c>
      <c r="J19">
        <f t="shared" si="1"/>
        <v>7.5349400952339669E-3</v>
      </c>
      <c r="K19">
        <f t="shared" si="2"/>
        <v>7.7521046659111085E-3</v>
      </c>
      <c r="N19">
        <f t="shared" si="3"/>
        <v>7.4557751403297482E-3</v>
      </c>
      <c r="O19">
        <f t="shared" si="4"/>
        <v>7.7521046659111085E-3</v>
      </c>
    </row>
    <row r="20" spans="1:15" x14ac:dyDescent="0.45">
      <c r="A20">
        <v>4.5</v>
      </c>
      <c r="B20">
        <f>EXP(C20)</f>
        <v>0.86215072749014865</v>
      </c>
      <c r="C20">
        <f>$C$18+($C$22-$C$18)*(A20-$A$18)/($A$22-$A$18)</f>
        <v>-0.14832516572709814</v>
      </c>
      <c r="G20">
        <f t="shared" si="0"/>
        <v>3.2961147939355145E-2</v>
      </c>
      <c r="H20">
        <f t="shared" si="5"/>
        <v>3.5648647935996536E-2</v>
      </c>
      <c r="J20">
        <f t="shared" si="1"/>
        <v>7.4683806768834123E-3</v>
      </c>
      <c r="K20">
        <f t="shared" si="2"/>
        <v>7.6836269380149E-3</v>
      </c>
      <c r="N20">
        <f t="shared" si="3"/>
        <v>7.389915020618012E-3</v>
      </c>
      <c r="O20">
        <f t="shared" si="4"/>
        <v>7.6836269380149E-3</v>
      </c>
    </row>
    <row r="21" spans="1:15" x14ac:dyDescent="0.45">
      <c r="A21">
        <v>4.75</v>
      </c>
      <c r="B21">
        <f>EXP(C21)</f>
        <v>0.8545349733863371</v>
      </c>
      <c r="C21">
        <f>$C$18+($C$22-$C$18)*(A21-$A$18)/($A$22-$A$18)</f>
        <v>-0.15719784878383161</v>
      </c>
      <c r="G21">
        <f t="shared" si="0"/>
        <v>3.3094283954490863E-2</v>
      </c>
      <c r="H21">
        <f t="shared" si="5"/>
        <v>3.5648647935997424E-2</v>
      </c>
      <c r="J21">
        <f t="shared" si="1"/>
        <v>7.4024092069591456E-3</v>
      </c>
      <c r="K21">
        <f t="shared" si="2"/>
        <v>7.6157541038116153E-3</v>
      </c>
      <c r="N21">
        <f t="shared" si="3"/>
        <v>7.3246366721221182E-3</v>
      </c>
      <c r="O21">
        <f t="shared" si="4"/>
        <v>7.6157541038116153E-3</v>
      </c>
    </row>
    <row r="22" spans="1:15" x14ac:dyDescent="0.45">
      <c r="A22">
        <v>5</v>
      </c>
      <c r="B22">
        <v>0.84698649256632663</v>
      </c>
      <c r="C22">
        <f>LN(B22)</f>
        <v>-0.16607053184056508</v>
      </c>
      <c r="D22">
        <f>(1-B22)/(SUM($B$3:B22) *0.25)</f>
        <v>3.3249999999999995E-2</v>
      </c>
      <c r="E22">
        <f>VLOOKUP(A22,Sheet1!$D$15:$E$25,2)/100</f>
        <v>3.3250000000000002E-2</v>
      </c>
      <c r="F22">
        <f>D22-E22</f>
        <v>0</v>
      </c>
      <c r="G22">
        <f t="shared" si="0"/>
        <v>3.3214106368113019E-2</v>
      </c>
      <c r="H22">
        <f t="shared" si="5"/>
        <v>3.5648647935996536E-2</v>
      </c>
      <c r="J22">
        <f t="shared" si="1"/>
        <v>7.3370204918558049E-3</v>
      </c>
      <c r="K22">
        <f t="shared" si="2"/>
        <v>7.5484808200103814E-3</v>
      </c>
      <c r="N22">
        <f t="shared" si="3"/>
        <v>7.2599349558027061E-3</v>
      </c>
      <c r="O22">
        <f t="shared" si="4"/>
        <v>7.5484808200103814E-3</v>
      </c>
    </row>
    <row r="23" spans="1:15" x14ac:dyDescent="0.45">
      <c r="A23">
        <v>5.25</v>
      </c>
      <c r="B23">
        <f t="shared" ref="B23:B29" si="6">EXP(C23)</f>
        <v>0.83938646124283389</v>
      </c>
      <c r="C23">
        <f>$C$22+($C$30-$C$22)*(A23-$A$22)/($A$30-$A$22)</f>
        <v>-0.17508405730155432</v>
      </c>
      <c r="G23">
        <f t="shared" si="0"/>
        <v>3.3349344247915108E-2</v>
      </c>
      <c r="H23">
        <f t="shared" si="5"/>
        <v>3.62170784229221E-2</v>
      </c>
      <c r="J23">
        <f t="shared" si="1"/>
        <v>7.2711852205160485E-3</v>
      </c>
      <c r="K23">
        <f t="shared" si="2"/>
        <v>7.6000313234926946E-3</v>
      </c>
      <c r="N23">
        <f t="shared" si="3"/>
        <v>7.1947913749370413E-3</v>
      </c>
      <c r="O23">
        <f t="shared" si="4"/>
        <v>7.6000313234926946E-3</v>
      </c>
    </row>
    <row r="24" spans="1:15" x14ac:dyDescent="0.45">
      <c r="A24">
        <v>5.5</v>
      </c>
      <c r="B24">
        <f t="shared" si="6"/>
        <v>0.83185462519355746</v>
      </c>
      <c r="C24">
        <f t="shared" ref="C24:C29" si="7">$C$22+($C$30-$C$22)*(A24-$A$22)/($A$30-$A$22)</f>
        <v>-0.18409758276254354</v>
      </c>
      <c r="G24">
        <f t="shared" si="0"/>
        <v>3.3472287775007915E-2</v>
      </c>
      <c r="H24">
        <f t="shared" si="5"/>
        <v>3.62170784229221E-2</v>
      </c>
      <c r="J24">
        <f t="shared" si="1"/>
        <v>7.2059406907391916E-3</v>
      </c>
      <c r="K24">
        <f t="shared" si="2"/>
        <v>7.5318360492763851E-3</v>
      </c>
      <c r="N24">
        <f t="shared" si="3"/>
        <v>7.1302323290780723E-3</v>
      </c>
      <c r="O24">
        <f t="shared" si="4"/>
        <v>7.5318360492763851E-3</v>
      </c>
    </row>
    <row r="25" spans="1:15" x14ac:dyDescent="0.45">
      <c r="A25">
        <v>5.75</v>
      </c>
      <c r="B25">
        <f t="shared" si="6"/>
        <v>0.82439037250056868</v>
      </c>
      <c r="C25">
        <f t="shared" si="7"/>
        <v>-0.19311110822353278</v>
      </c>
      <c r="G25">
        <f t="shared" si="0"/>
        <v>3.3584540560614398E-2</v>
      </c>
      <c r="H25">
        <f t="shared" si="5"/>
        <v>3.62170784229221E-2</v>
      </c>
      <c r="J25">
        <f t="shared" si="1"/>
        <v>7.1412816017861766E-3</v>
      </c>
      <c r="K25">
        <f t="shared" si="2"/>
        <v>7.4642526929887647E-3</v>
      </c>
      <c r="N25">
        <f t="shared" si="3"/>
        <v>7.066252573178328E-3</v>
      </c>
      <c r="O25">
        <f t="shared" si="4"/>
        <v>7.4642526929887647E-3</v>
      </c>
    </row>
    <row r="26" spans="1:15" x14ac:dyDescent="0.45">
      <c r="A26">
        <v>6</v>
      </c>
      <c r="B26">
        <f t="shared" si="6"/>
        <v>0.81699309673669396</v>
      </c>
      <c r="C26">
        <f t="shared" si="7"/>
        <v>-0.20212463368452199</v>
      </c>
      <c r="G26">
        <f t="shared" si="0"/>
        <v>3.368743894742033E-2</v>
      </c>
      <c r="H26">
        <f t="shared" si="5"/>
        <v>3.62170784229221E-2</v>
      </c>
      <c r="J26">
        <f t="shared" si="1"/>
        <v>7.0772027004816114E-3</v>
      </c>
      <c r="K26">
        <f t="shared" si="2"/>
        <v>7.3972757638747066E-3</v>
      </c>
      <c r="N26">
        <f t="shared" si="3"/>
        <v>7.002846909254283E-3</v>
      </c>
      <c r="O26">
        <f t="shared" si="4"/>
        <v>7.3972757638747066E-3</v>
      </c>
    </row>
    <row r="27" spans="1:15" x14ac:dyDescent="0.45">
      <c r="A27">
        <v>6.25</v>
      </c>
      <c r="B27">
        <f t="shared" si="6"/>
        <v>0.80966219691624619</v>
      </c>
      <c r="C27">
        <f t="shared" si="7"/>
        <v>-0.21113815914551123</v>
      </c>
      <c r="G27">
        <f t="shared" si="0"/>
        <v>3.3782105463281795E-2</v>
      </c>
      <c r="H27">
        <f t="shared" si="5"/>
        <v>3.62170784229221E-2</v>
      </c>
      <c r="J27">
        <f t="shared" si="1"/>
        <v>7.0136987807869824E-3</v>
      </c>
      <c r="K27">
        <f t="shared" si="2"/>
        <v>7.3308998204477714E-3</v>
      </c>
      <c r="N27">
        <f t="shared" si="3"/>
        <v>6.9400101859640488E-3</v>
      </c>
      <c r="O27">
        <f t="shared" si="4"/>
        <v>7.3308998204477714E-3</v>
      </c>
    </row>
    <row r="28" spans="1:15" x14ac:dyDescent="0.45">
      <c r="A28">
        <v>6.5</v>
      </c>
      <c r="B28">
        <f t="shared" si="6"/>
        <v>0.80239707744619804</v>
      </c>
      <c r="C28">
        <f t="shared" si="7"/>
        <v>-0.22015168460650048</v>
      </c>
      <c r="G28">
        <f t="shared" si="0"/>
        <v>3.3869489939461608E-2</v>
      </c>
      <c r="H28">
        <f t="shared" si="5"/>
        <v>3.62170784229221E-2</v>
      </c>
      <c r="J28">
        <f t="shared" si="1"/>
        <v>6.9507646833776903E-3</v>
      </c>
      <c r="K28">
        <f t="shared" si="2"/>
        <v>7.2651194700481128E-3</v>
      </c>
      <c r="N28">
        <f t="shared" si="3"/>
        <v>6.8777372981888574E-3</v>
      </c>
      <c r="O28">
        <f t="shared" si="4"/>
        <v>7.2651194700481128E-3</v>
      </c>
    </row>
    <row r="29" spans="1:15" x14ac:dyDescent="0.45">
      <c r="A29">
        <v>6.75</v>
      </c>
      <c r="B29">
        <f t="shared" si="6"/>
        <v>0.79519714807779363</v>
      </c>
      <c r="C29">
        <f t="shared" si="7"/>
        <v>-0.22916521006748969</v>
      </c>
      <c r="G29">
        <f t="shared" si="0"/>
        <v>3.3950401491479952E-2</v>
      </c>
      <c r="H29">
        <f t="shared" si="5"/>
        <v>3.62170784229221E-2</v>
      </c>
      <c r="J29">
        <f t="shared" si="1"/>
        <v>6.8883952952238873E-3</v>
      </c>
      <c r="K29">
        <f t="shared" si="2"/>
        <v>7.1999293684043624E-3</v>
      </c>
      <c r="N29">
        <f t="shared" si="3"/>
        <v>6.8160231866183042E-3</v>
      </c>
      <c r="O29">
        <f t="shared" si="4"/>
        <v>7.1999293684043624E-3</v>
      </c>
    </row>
    <row r="30" spans="1:15" x14ac:dyDescent="0.45">
      <c r="A30">
        <v>7</v>
      </c>
      <c r="B30">
        <v>0.78806182385859413</v>
      </c>
      <c r="C30">
        <f>LN(B30)</f>
        <v>-0.23817873552847893</v>
      </c>
      <c r="D30">
        <f>(1-B30)/(SUM($B$3:B30) *0.25)</f>
        <v>3.4024999999999993E-2</v>
      </c>
      <c r="E30">
        <f>VLOOKUP(A30,Sheet1!$D$15:$E$25,2)/100</f>
        <v>3.4025E-2</v>
      </c>
      <c r="F30">
        <f>D30-E30</f>
        <v>0</v>
      </c>
      <c r="G30">
        <f t="shared" si="0"/>
        <v>3.4025533646925558E-2</v>
      </c>
      <c r="H30">
        <f t="shared" si="5"/>
        <v>3.62170784229221E-2</v>
      </c>
      <c r="J30">
        <f t="shared" si="1"/>
        <v>6.8265855491750713E-3</v>
      </c>
      <c r="K30">
        <f t="shared" si="2"/>
        <v>7.1353242191994314E-3</v>
      </c>
      <c r="N30">
        <f t="shared" si="3"/>
        <v>6.7548628373393042E-3</v>
      </c>
      <c r="O30">
        <f t="shared" si="4"/>
        <v>7.1353242191994314E-3</v>
      </c>
    </row>
    <row r="31" spans="1:15" x14ac:dyDescent="0.45">
      <c r="A31">
        <v>7.25</v>
      </c>
      <c r="B31">
        <f>EXP(C31)</f>
        <v>0.78095596647373167</v>
      </c>
      <c r="C31">
        <f>$C$30+($C$42-$C$30)*(A31-$A$30)/($A$42-$A$30)</f>
        <v>-0.24723651168744609</v>
      </c>
      <c r="G31">
        <f t="shared" si="0"/>
        <v>3.4101587818958085E-2</v>
      </c>
      <c r="H31">
        <f t="shared" si="5"/>
        <v>3.6395687797599052E-2</v>
      </c>
      <c r="J31">
        <f t="shared" si="1"/>
        <v>6.7650310595787008E-3</v>
      </c>
      <c r="K31">
        <f t="shared" si="2"/>
        <v>7.1058573848625422E-3</v>
      </c>
      <c r="N31">
        <f t="shared" si="3"/>
        <v>6.693955062691089E-3</v>
      </c>
      <c r="O31">
        <f t="shared" si="4"/>
        <v>7.1058573848625422E-3</v>
      </c>
    </row>
    <row r="32" spans="1:15" x14ac:dyDescent="0.45">
      <c r="A32">
        <v>7.5</v>
      </c>
      <c r="B32">
        <f t="shared" ref="B32:B41" si="8">EXP(C32)</f>
        <v>0.77391418173855908</v>
      </c>
      <c r="C32">
        <f t="shared" ref="C32:C41" si="9">$C$30+($C$42-$C$30)*(A32-$A$30)/($A$42-$A$30)</f>
        <v>-0.25629428784641328</v>
      </c>
      <c r="G32">
        <f t="shared" si="0"/>
        <v>3.4172571712855107E-2</v>
      </c>
      <c r="H32">
        <f t="shared" si="5"/>
        <v>3.6395687797598164E-2</v>
      </c>
      <c r="J32">
        <f t="shared" si="1"/>
        <v>6.7040315993102681E-3</v>
      </c>
      <c r="K32">
        <f t="shared" si="2"/>
        <v>7.0417847351725606E-3</v>
      </c>
      <c r="N32">
        <f t="shared" si="3"/>
        <v>6.6335964860209729E-3</v>
      </c>
      <c r="O32">
        <f t="shared" si="4"/>
        <v>7.0417847351725606E-3</v>
      </c>
    </row>
    <row r="33" spans="1:15" x14ac:dyDescent="0.45">
      <c r="A33">
        <v>7.75</v>
      </c>
      <c r="B33">
        <f t="shared" si="8"/>
        <v>0.76693589191780576</v>
      </c>
      <c r="C33">
        <f t="shared" si="9"/>
        <v>-0.26535206400538047</v>
      </c>
      <c r="G33">
        <f t="shared" si="0"/>
        <v>3.4238976000694255E-2</v>
      </c>
      <c r="H33">
        <f t="shared" si="5"/>
        <v>3.6395687797599052E-2</v>
      </c>
      <c r="J33">
        <f t="shared" si="1"/>
        <v>6.6435821637379922E-3</v>
      </c>
      <c r="K33">
        <f t="shared" si="2"/>
        <v>6.9782898207534074E-3</v>
      </c>
      <c r="N33">
        <f t="shared" si="3"/>
        <v>6.5737821552777449E-3</v>
      </c>
      <c r="O33">
        <f t="shared" si="4"/>
        <v>6.9782898207534074E-3</v>
      </c>
    </row>
    <row r="34" spans="1:15" x14ac:dyDescent="0.45">
      <c r="A34">
        <v>8</v>
      </c>
      <c r="B34">
        <f t="shared" si="8"/>
        <v>0.76002052448556978</v>
      </c>
      <c r="C34">
        <f t="shared" si="9"/>
        <v>-0.27440984016434761</v>
      </c>
      <c r="G34">
        <f t="shared" si="0"/>
        <v>3.4301230020543451E-2</v>
      </c>
      <c r="H34">
        <f t="shared" si="5"/>
        <v>3.6395687797598164E-2</v>
      </c>
      <c r="J34">
        <f t="shared" si="1"/>
        <v>6.5836777933562483E-3</v>
      </c>
      <c r="K34">
        <f t="shared" si="2"/>
        <v>6.915367432235902E-3</v>
      </c>
      <c r="N34">
        <f t="shared" si="3"/>
        <v>6.5145071630622366E-3</v>
      </c>
      <c r="O34">
        <f t="shared" si="4"/>
        <v>6.915367432235902E-3</v>
      </c>
    </row>
    <row r="35" spans="1:15" x14ac:dyDescent="0.45">
      <c r="A35">
        <v>8.25</v>
      </c>
      <c r="B35">
        <f t="shared" si="8"/>
        <v>0.75316751207834542</v>
      </c>
      <c r="C35">
        <f t="shared" si="9"/>
        <v>-0.2834676163233148</v>
      </c>
      <c r="G35">
        <f t="shared" si="0"/>
        <v>3.4359711069492704E-2</v>
      </c>
      <c r="H35">
        <f t="shared" si="5"/>
        <v>3.6395687797598164E-2</v>
      </c>
      <c r="J35">
        <f t="shared" si="1"/>
        <v>6.5243135733786669E-3</v>
      </c>
      <c r="K35">
        <f t="shared" si="2"/>
        <v>6.8530124072243015E-3</v>
      </c>
      <c r="M35" t="s">
        <v>17</v>
      </c>
      <c r="N35">
        <f>SUM(N3:N34)</f>
        <v>0.23997947152453122</v>
      </c>
      <c r="O35">
        <f>SUM(O3:O34)</f>
        <v>0.23997947551442964</v>
      </c>
    </row>
    <row r="36" spans="1:15" x14ac:dyDescent="0.45">
      <c r="A36">
        <v>8.5</v>
      </c>
      <c r="B36">
        <f t="shared" si="8"/>
        <v>0.74637629244847437</v>
      </c>
      <c r="C36">
        <f t="shared" si="9"/>
        <v>-0.29252539248228199</v>
      </c>
      <c r="G36">
        <f t="shared" si="0"/>
        <v>3.4414752056739058E-2</v>
      </c>
      <c r="H36">
        <f t="shared" si="5"/>
        <v>3.6395687797599052E-2</v>
      </c>
      <c r="J36">
        <f t="shared" si="1"/>
        <v>6.4654846333349093E-3</v>
      </c>
      <c r="K36">
        <f t="shared" si="2"/>
        <v>6.7912196298710401E-3</v>
      </c>
    </row>
    <row r="37" spans="1:15" x14ac:dyDescent="0.45">
      <c r="A37">
        <v>8.75</v>
      </c>
      <c r="B37">
        <f t="shared" si="8"/>
        <v>0.73964630841801737</v>
      </c>
      <c r="C37">
        <f t="shared" si="9"/>
        <v>-0.30158316864124912</v>
      </c>
      <c r="G37">
        <f t="shared" si="0"/>
        <v>3.4466647844714184E-2</v>
      </c>
      <c r="H37">
        <f t="shared" si="5"/>
        <v>3.6395687797598164E-2</v>
      </c>
      <c r="J37">
        <f t="shared" si="1"/>
        <v>6.4071861466710759E-3</v>
      </c>
      <c r="K37">
        <f t="shared" si="2"/>
        <v>6.729984030457041E-3</v>
      </c>
    </row>
    <row r="38" spans="1:15" x14ac:dyDescent="0.45">
      <c r="A38">
        <v>9</v>
      </c>
      <c r="B38">
        <f t="shared" si="8"/>
        <v>0.73297700783303998</v>
      </c>
      <c r="C38">
        <f t="shared" si="9"/>
        <v>-0.31064094480021631</v>
      </c>
      <c r="G38">
        <f t="shared" si="0"/>
        <v>3.4515660533357369E-2</v>
      </c>
      <c r="H38">
        <f t="shared" si="5"/>
        <v>3.6395687797599052E-2</v>
      </c>
      <c r="J38">
        <f t="shared" si="1"/>
        <v>6.3494133303537087E-3</v>
      </c>
      <c r="K38">
        <f t="shared" si="2"/>
        <v>6.6693005849774098E-3</v>
      </c>
    </row>
    <row r="39" spans="1:15" x14ac:dyDescent="0.45">
      <c r="A39">
        <v>9.25</v>
      </c>
      <c r="B39">
        <f t="shared" si="8"/>
        <v>0.72636784351831307</v>
      </c>
      <c r="C39">
        <f t="shared" si="9"/>
        <v>-0.3196987209591835</v>
      </c>
      <c r="G39">
        <f t="shared" si="0"/>
        <v>3.4562023887479296E-2</v>
      </c>
      <c r="H39">
        <f t="shared" si="5"/>
        <v>3.6395687797599052E-2</v>
      </c>
      <c r="J39">
        <f t="shared" si="1"/>
        <v>6.2921614444773873E-3</v>
      </c>
      <c r="K39">
        <f t="shared" si="2"/>
        <v>6.6091643147269509E-3</v>
      </c>
    </row>
    <row r="40" spans="1:15" x14ac:dyDescent="0.45">
      <c r="A40">
        <v>9.5</v>
      </c>
      <c r="B40">
        <f t="shared" si="8"/>
        <v>0.71981827323241965</v>
      </c>
      <c r="C40">
        <f t="shared" si="9"/>
        <v>-0.32875649711815069</v>
      </c>
      <c r="G40">
        <f t="shared" si="0"/>
        <v>3.4605947065068497E-2</v>
      </c>
      <c r="H40">
        <f t="shared" si="5"/>
        <v>3.6395687797599052E-2</v>
      </c>
      <c r="J40">
        <f t="shared" si="1"/>
        <v>6.235425791875835E-3</v>
      </c>
      <c r="K40">
        <f t="shared" si="2"/>
        <v>6.5495702858934992E-3</v>
      </c>
    </row>
    <row r="41" spans="1:15" x14ac:dyDescent="0.45">
      <c r="A41">
        <v>9.75</v>
      </c>
      <c r="B41">
        <f t="shared" si="8"/>
        <v>0.71332775962326755</v>
      </c>
      <c r="C41">
        <f t="shared" si="9"/>
        <v>-0.33781427327711783</v>
      </c>
      <c r="G41">
        <f t="shared" si="0"/>
        <v>3.4647617772012085E-2</v>
      </c>
      <c r="H41">
        <f t="shared" si="5"/>
        <v>3.6395687797598164E-2</v>
      </c>
      <c r="J41">
        <f t="shared" si="1"/>
        <v>6.1792017177365556E-3</v>
      </c>
      <c r="K41">
        <f t="shared" si="2"/>
        <v>6.4905136091521487E-3</v>
      </c>
    </row>
    <row r="42" spans="1:15" x14ac:dyDescent="0.45">
      <c r="A42">
        <v>10</v>
      </c>
      <c r="B42">
        <v>0.70689577018400251</v>
      </c>
      <c r="C42">
        <f>LN(B42)</f>
        <v>-0.34687204943608502</v>
      </c>
      <c r="D42">
        <f>(1-B42)/(SUM($B$3:B42) *0.25)</f>
        <v>3.4649999999999986E-2</v>
      </c>
      <c r="E42">
        <f>VLOOKUP(A42,Sheet1!$D$15:$E$25,2)/100</f>
        <v>3.465E-2</v>
      </c>
      <c r="F42">
        <f>D42-E42</f>
        <v>0</v>
      </c>
      <c r="G42">
        <f t="shared" si="0"/>
        <v>3.4687204943608503E-2</v>
      </c>
      <c r="H42">
        <f t="shared" si="5"/>
        <v>3.6395687797599052E-2</v>
      </c>
      <c r="J42">
        <f t="shared" si="1"/>
        <v>6.1234846092189221E-3</v>
      </c>
      <c r="K42">
        <f t="shared" si="2"/>
        <v>6.4319894392650713E-3</v>
      </c>
    </row>
    <row r="43" spans="1:15" x14ac:dyDescent="0.45">
      <c r="I43" t="s">
        <v>17</v>
      </c>
      <c r="J43">
        <f>SUM(J3:J42)</f>
        <v>0.2931042298159976</v>
      </c>
      <c r="K43">
        <f>SUM(K3:K42)</f>
        <v>0.2931042298159971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12F5-F5EF-4D86-B892-2E143EC9E35B}">
  <dimension ref="A1:O43"/>
  <sheetViews>
    <sheetView topLeftCell="A16" workbookViewId="0">
      <selection activeCell="F42" sqref="F42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  <col min="10" max="10" width="11.83203125" customWidth="1"/>
    <col min="11" max="11" width="11.5" bestFit="1" customWidth="1"/>
  </cols>
  <sheetData>
    <row r="1" spans="1:15" x14ac:dyDescent="0.45">
      <c r="A1" t="s">
        <v>2</v>
      </c>
      <c r="I1" t="s">
        <v>16</v>
      </c>
      <c r="J1">
        <f>Sheet1!B9/100</f>
        <v>3.465E-2</v>
      </c>
      <c r="M1" t="s">
        <v>40</v>
      </c>
      <c r="N1">
        <f>Sheet1!C33</f>
        <v>3.4285953882477946E-2</v>
      </c>
    </row>
    <row r="2" spans="1:15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J2" t="s">
        <v>14</v>
      </c>
      <c r="K2" t="s">
        <v>15</v>
      </c>
      <c r="N2" t="s">
        <v>4</v>
      </c>
      <c r="O2" t="s">
        <v>5</v>
      </c>
    </row>
    <row r="3" spans="1:15" x14ac:dyDescent="0.45">
      <c r="A3" cm="1">
        <f t="array" ref="A3:A42">_xlfn.SEQUENCE(40,,0.25,0.25)</f>
        <v>0.25</v>
      </c>
      <c r="B3">
        <f>1/(1+Sheet1!B2/100*0.25)</f>
        <v>0.99304865938430997</v>
      </c>
      <c r="C3">
        <f>LN(B3)</f>
        <v>-6.9756137364250992E-3</v>
      </c>
      <c r="G3">
        <f>-C3/A3</f>
        <v>2.7902454945700397E-2</v>
      </c>
      <c r="H3">
        <f>(1/B3-1)/0.25</f>
        <v>2.7999999999999581E-2</v>
      </c>
      <c r="J3">
        <f>$J$1*0.25*B3</f>
        <v>8.6022840119165857E-3</v>
      </c>
      <c r="K3">
        <f>H3*0.25*B3</f>
        <v>6.9513406156900661E-3</v>
      </c>
      <c r="N3">
        <f>$N$1*0.25*B3</f>
        <v>8.5119051346767508E-3</v>
      </c>
      <c r="O3">
        <f>B3*0.25*H3</f>
        <v>6.9513406156900661E-3</v>
      </c>
    </row>
    <row r="4" spans="1:15" x14ac:dyDescent="0.45">
      <c r="A4">
        <v>0.5</v>
      </c>
      <c r="B4">
        <f>EXP(C4)</f>
        <v>0.98576081333172305</v>
      </c>
      <c r="C4">
        <f>$C$3+($C$6-$C$3)*(A4-$A$3)/($A$6-$A$3)</f>
        <v>-1.43415366353421E-2</v>
      </c>
      <c r="G4">
        <f t="shared" ref="G4:G42" si="0">-C4/A4</f>
        <v>2.8683073270684201E-2</v>
      </c>
      <c r="H4">
        <f>(B3/B4-1)/0.25</f>
        <v>2.957247216170078E-2</v>
      </c>
      <c r="J4">
        <f t="shared" ref="J4:J42" si="1">$J$1*0.25*B4</f>
        <v>8.5391530454860514E-3</v>
      </c>
      <c r="K4">
        <f t="shared" ref="K4:K42" si="2">H4*0.25*B4</f>
        <v>7.2878460525869744E-3</v>
      </c>
      <c r="N4">
        <f t="shared" ref="N4:N34" si="3">$N$1*0.25*B4</f>
        <v>8.4494374462613514E-3</v>
      </c>
      <c r="O4">
        <f t="shared" ref="O4:O34" si="4">B4*0.25*H4</f>
        <v>7.2878460525869744E-3</v>
      </c>
    </row>
    <row r="5" spans="1:15" x14ac:dyDescent="0.45">
      <c r="A5">
        <v>0.75</v>
      </c>
      <c r="B5">
        <f>EXP(C5)</f>
        <v>0.97852645176812303</v>
      </c>
      <c r="C5">
        <f>$C$3+($C$6-$C$3)*(A5-$A$3)/($A$6-$A$3)</f>
        <v>-2.1707459534259101E-2</v>
      </c>
      <c r="G5">
        <f t="shared" si="0"/>
        <v>2.8943279379012133E-2</v>
      </c>
      <c r="H5">
        <f t="shared" ref="H5:H42" si="5">(B4/B5-1)/0.25</f>
        <v>2.9572472161699892E-2</v>
      </c>
      <c r="J5">
        <f t="shared" si="1"/>
        <v>8.4764853884413665E-3</v>
      </c>
      <c r="K5">
        <f t="shared" si="2"/>
        <v>7.2343615635999479E-3</v>
      </c>
      <c r="N5">
        <f t="shared" si="3"/>
        <v>8.3874281995266614E-3</v>
      </c>
      <c r="O5">
        <f t="shared" si="4"/>
        <v>7.2343615635999479E-3</v>
      </c>
    </row>
    <row r="6" spans="1:15" x14ac:dyDescent="0.45">
      <c r="A6">
        <v>1</v>
      </c>
      <c r="B6">
        <v>0.97134518217828081</v>
      </c>
      <c r="C6">
        <f>LN(B6)</f>
        <v>-2.9073382433176101E-2</v>
      </c>
      <c r="D6">
        <f>(1-B6)/(SUM($B$3:B6) *0.25)</f>
        <v>2.9175000000000045E-2</v>
      </c>
      <c r="E6">
        <f>VLOOKUP(A6,Sheet1!$G$15:$H$25,2)/100</f>
        <v>2.9175E-2</v>
      </c>
      <c r="F6">
        <f>D6-E6</f>
        <v>4.5102810375396984E-17</v>
      </c>
      <c r="G6">
        <f t="shared" si="0"/>
        <v>2.9073382433176101E-2</v>
      </c>
      <c r="H6">
        <f t="shared" si="5"/>
        <v>2.9572472161699892E-2</v>
      </c>
      <c r="J6">
        <f t="shared" si="1"/>
        <v>8.4142776406193574E-3</v>
      </c>
      <c r="K6">
        <f t="shared" si="2"/>
        <v>7.1812695898421297E-3</v>
      </c>
      <c r="N6">
        <f t="shared" si="3"/>
        <v>8.3258740300329193E-3</v>
      </c>
      <c r="O6">
        <f t="shared" si="4"/>
        <v>7.1812695898421297E-3</v>
      </c>
    </row>
    <row r="7" spans="1:15" x14ac:dyDescent="0.45">
      <c r="A7">
        <v>1.25</v>
      </c>
      <c r="B7">
        <f>EXP(C7)</f>
        <v>0.96343715491143789</v>
      </c>
      <c r="C7">
        <f>$C$6+($C$10-$C$6)*(A7-$A$6)/($A$10-$A$6)</f>
        <v>-3.7248019086421572E-2</v>
      </c>
      <c r="G7">
        <f t="shared" si="0"/>
        <v>2.9798415269137256E-2</v>
      </c>
      <c r="H7">
        <f t="shared" si="5"/>
        <v>3.283256090562503E-2</v>
      </c>
      <c r="J7">
        <f t="shared" si="1"/>
        <v>8.3457743544203301E-3</v>
      </c>
      <c r="K7">
        <f t="shared" si="2"/>
        <v>7.9080272668429711E-3</v>
      </c>
      <c r="N7">
        <f t="shared" si="3"/>
        <v>8.2580904654898299E-3</v>
      </c>
      <c r="O7">
        <f t="shared" si="4"/>
        <v>7.9080272668429711E-3</v>
      </c>
    </row>
    <row r="8" spans="1:15" x14ac:dyDescent="0.45">
      <c r="A8">
        <v>1.5</v>
      </c>
      <c r="B8">
        <f>EXP(C8)</f>
        <v>0.9555935093869462</v>
      </c>
      <c r="C8">
        <f>$C$6+($C$10-$C$6)*(A8-$A$6)/($A$10-$A$6)</f>
        <v>-4.5422655739667042E-2</v>
      </c>
      <c r="G8">
        <f t="shared" si="0"/>
        <v>3.028177049311136E-2</v>
      </c>
      <c r="H8">
        <f t="shared" si="5"/>
        <v>3.283256090562503E-2</v>
      </c>
      <c r="J8">
        <f t="shared" si="1"/>
        <v>8.2778287750644216E-3</v>
      </c>
      <c r="K8">
        <f t="shared" si="2"/>
        <v>7.8436455244917189E-3</v>
      </c>
      <c r="N8">
        <f t="shared" si="3"/>
        <v>8.1908587483090229E-3</v>
      </c>
      <c r="O8">
        <f t="shared" si="4"/>
        <v>7.8436455244917189E-3</v>
      </c>
    </row>
    <row r="9" spans="1:15" x14ac:dyDescent="0.45">
      <c r="A9">
        <v>1.75</v>
      </c>
      <c r="B9">
        <f>EXP(C9)</f>
        <v>0.94781372145275</v>
      </c>
      <c r="C9">
        <f>$C$6+($C$10-$C$6)*(A9-$A$6)/($A$10-$A$6)</f>
        <v>-5.3597292392912506E-2</v>
      </c>
      <c r="G9">
        <f t="shared" si="0"/>
        <v>3.0627024224521432E-2</v>
      </c>
      <c r="H9">
        <f t="shared" si="5"/>
        <v>3.283256090562503E-2</v>
      </c>
      <c r="J9">
        <f t="shared" si="1"/>
        <v>8.2104363620844473E-3</v>
      </c>
      <c r="K9">
        <f t="shared" si="2"/>
        <v>7.7797879341961326E-3</v>
      </c>
      <c r="N9">
        <f t="shared" si="3"/>
        <v>8.1241743857271963E-3</v>
      </c>
      <c r="O9">
        <f t="shared" si="4"/>
        <v>7.7797879341961326E-3</v>
      </c>
    </row>
    <row r="10" spans="1:15" x14ac:dyDescent="0.45">
      <c r="A10">
        <v>2</v>
      </c>
      <c r="B10">
        <v>0.94009727122408093</v>
      </c>
      <c r="C10">
        <f>LN(B10)</f>
        <v>-6.1771929046157976E-2</v>
      </c>
      <c r="D10">
        <f>(1-B10)/(SUM($B$3:B10) *0.25)</f>
        <v>3.0974999999999999E-2</v>
      </c>
      <c r="E10">
        <f>VLOOKUP(A10,Sheet1!$G$15:$H$25,2)/100</f>
        <v>3.0974999999999996E-2</v>
      </c>
      <c r="F10">
        <f>D10-E10</f>
        <v>0</v>
      </c>
      <c r="G10">
        <f t="shared" si="0"/>
        <v>3.0885964523078988E-2</v>
      </c>
      <c r="H10">
        <f t="shared" si="5"/>
        <v>3.283256090562503E-2</v>
      </c>
      <c r="J10">
        <f t="shared" si="1"/>
        <v>8.1435926119786013E-3</v>
      </c>
      <c r="K10">
        <f t="shared" si="2"/>
        <v>7.7164502286691328E-3</v>
      </c>
      <c r="N10">
        <f t="shared" si="3"/>
        <v>8.0580329215580501E-3</v>
      </c>
      <c r="O10">
        <f t="shared" si="4"/>
        <v>7.7164502286691328E-3</v>
      </c>
    </row>
    <row r="11" spans="1:15" x14ac:dyDescent="0.45">
      <c r="A11">
        <v>2.25</v>
      </c>
      <c r="B11">
        <f>EXP(C11)</f>
        <v>0.93213826391901222</v>
      </c>
      <c r="C11">
        <f>$C$10+($C$14-$C$10)*(A11-$A$10)/($A$14-$A$10)</f>
        <v>-7.027412345515878E-2</v>
      </c>
      <c r="G11">
        <f t="shared" si="0"/>
        <v>3.1232943757848346E-2</v>
      </c>
      <c r="H11">
        <f t="shared" si="5"/>
        <v>3.4153762861772741E-2</v>
      </c>
      <c r="J11">
        <f t="shared" si="1"/>
        <v>8.0746477111984429E-3</v>
      </c>
      <c r="K11">
        <f t="shared" si="2"/>
        <v>7.9590073050686185E-3</v>
      </c>
      <c r="N11">
        <f t="shared" si="3"/>
        <v>7.9898123822050773E-3</v>
      </c>
      <c r="O11">
        <f t="shared" si="4"/>
        <v>7.9590073050686185E-3</v>
      </c>
    </row>
    <row r="12" spans="1:15" x14ac:dyDescent="0.45">
      <c r="A12">
        <v>2.5</v>
      </c>
      <c r="B12">
        <f>EXP(C12)</f>
        <v>0.92424663878727942</v>
      </c>
      <c r="C12">
        <f>$C$10+($C$14-$C$10)*(A12-$A$10)/($A$14-$A$10)</f>
        <v>-7.8776317864159576E-2</v>
      </c>
      <c r="G12">
        <f t="shared" si="0"/>
        <v>3.1510527145663832E-2</v>
      </c>
      <c r="H12">
        <f t="shared" si="5"/>
        <v>3.4153762861772741E-2</v>
      </c>
      <c r="J12">
        <f t="shared" si="1"/>
        <v>8.0062865084948084E-3</v>
      </c>
      <c r="K12">
        <f t="shared" si="2"/>
        <v>7.8916251317328167E-3</v>
      </c>
      <c r="N12">
        <f t="shared" si="3"/>
        <v>7.9221694083739785E-3</v>
      </c>
      <c r="O12">
        <f t="shared" si="4"/>
        <v>7.8916251317328167E-3</v>
      </c>
    </row>
    <row r="13" spans="1:15" x14ac:dyDescent="0.45">
      <c r="A13">
        <v>2.75</v>
      </c>
      <c r="B13">
        <f>EXP(C13)</f>
        <v>0.9164218253610954</v>
      </c>
      <c r="C13">
        <f>$C$10+($C$14-$C$10)*(A13-$A$10)/($A$14-$A$10)</f>
        <v>-8.7278512273160372E-2</v>
      </c>
      <c r="G13">
        <f t="shared" si="0"/>
        <v>3.1737640826603769E-2</v>
      </c>
      <c r="H13">
        <f t="shared" si="5"/>
        <v>3.4153762861772741E-2</v>
      </c>
      <c r="J13">
        <f t="shared" si="1"/>
        <v>7.9385040621904896E-3</v>
      </c>
      <c r="K13">
        <f t="shared" si="2"/>
        <v>7.8248134261839405E-3</v>
      </c>
      <c r="N13">
        <f t="shared" si="3"/>
        <v>7.8550991103066934E-3</v>
      </c>
      <c r="O13">
        <f t="shared" si="4"/>
        <v>7.8248134261839405E-3</v>
      </c>
    </row>
    <row r="14" spans="1:15" x14ac:dyDescent="0.45">
      <c r="A14">
        <v>3</v>
      </c>
      <c r="B14">
        <v>0.90866325800234093</v>
      </c>
      <c r="C14">
        <f>LN(B14)</f>
        <v>-9.5780706682161168E-2</v>
      </c>
      <c r="D14">
        <f>(1-B14)/(SUM($B$3:B14) *0.25)</f>
        <v>3.2000000000000015E-2</v>
      </c>
      <c r="E14">
        <f>VLOOKUP(A14,Sheet1!$G$15:$H$25,2)/100</f>
        <v>3.2000000000000001E-2</v>
      </c>
      <c r="F14">
        <f>D14-E14</f>
        <v>0</v>
      </c>
      <c r="G14">
        <f t="shared" si="0"/>
        <v>3.1926902227387054E-2</v>
      </c>
      <c r="H14">
        <f t="shared" si="5"/>
        <v>3.4153762861772741E-2</v>
      </c>
      <c r="J14">
        <f t="shared" si="1"/>
        <v>7.8712954724452777E-3</v>
      </c>
      <c r="K14">
        <f t="shared" si="2"/>
        <v>7.7585673587544438E-3</v>
      </c>
      <c r="N14">
        <f t="shared" si="3"/>
        <v>7.7885966396426054E-3</v>
      </c>
      <c r="O14">
        <f t="shared" si="4"/>
        <v>7.7585673587544438E-3</v>
      </c>
    </row>
    <row r="15" spans="1:15" x14ac:dyDescent="0.45">
      <c r="A15">
        <v>3.25</v>
      </c>
      <c r="B15">
        <f>EXP(C15)</f>
        <v>0.90079323912764753</v>
      </c>
      <c r="C15">
        <f>$C$14+($C$18-$C$14)*(A15-$A$14)/($A$18-$A$14)</f>
        <v>-0.10447952703379385</v>
      </c>
      <c r="G15">
        <f t="shared" si="0"/>
        <v>3.2147546779628874E-2</v>
      </c>
      <c r="H15">
        <f t="shared" si="5"/>
        <v>3.4947060136974351E-2</v>
      </c>
      <c r="J15">
        <f t="shared" si="1"/>
        <v>7.8031214339432465E-3</v>
      </c>
      <c r="K15">
        <f t="shared" si="2"/>
        <v>7.8700188746934543E-3</v>
      </c>
      <c r="N15">
        <f t="shared" si="3"/>
        <v>7.7211388635946131E-3</v>
      </c>
      <c r="O15">
        <f t="shared" si="4"/>
        <v>7.8700188746934543E-3</v>
      </c>
    </row>
    <row r="16" spans="1:15" x14ac:dyDescent="0.45">
      <c r="A16">
        <v>3.5</v>
      </c>
      <c r="B16">
        <f>EXP(C16)</f>
        <v>0.89299138323472171</v>
      </c>
      <c r="C16">
        <f>$C$14+($C$18-$C$14)*(A16-$A$14)/($A$18-$A$14)</f>
        <v>-0.11317834738542651</v>
      </c>
      <c r="G16">
        <f t="shared" si="0"/>
        <v>3.2336670681550432E-2</v>
      </c>
      <c r="H16">
        <f t="shared" si="5"/>
        <v>3.4947060136973462E-2</v>
      </c>
      <c r="J16">
        <f t="shared" si="1"/>
        <v>7.7355378572707767E-3</v>
      </c>
      <c r="K16">
        <f t="shared" si="2"/>
        <v>7.8018558929257341E-3</v>
      </c>
      <c r="N16">
        <f t="shared" si="3"/>
        <v>7.6542653457589644E-3</v>
      </c>
      <c r="O16">
        <f t="shared" si="4"/>
        <v>7.8018558929257341E-3</v>
      </c>
    </row>
    <row r="17" spans="1:15" x14ac:dyDescent="0.45">
      <c r="A17">
        <v>3.75</v>
      </c>
      <c r="B17">
        <f>EXP(C17)</f>
        <v>0.88525709995749724</v>
      </c>
      <c r="C17">
        <f>$C$14+($C$18-$C$14)*(A17-$A$14)/($A$18-$A$14)</f>
        <v>-0.12187716773705919</v>
      </c>
      <c r="G17">
        <f t="shared" si="0"/>
        <v>3.2500578063215782E-2</v>
      </c>
      <c r="H17">
        <f t="shared" si="5"/>
        <v>3.4947060136974351E-2</v>
      </c>
      <c r="J17">
        <f t="shared" si="1"/>
        <v>7.6685396283818199E-3</v>
      </c>
      <c r="K17">
        <f t="shared" si="2"/>
        <v>7.7342832772245426E-3</v>
      </c>
      <c r="N17">
        <f t="shared" si="3"/>
        <v>7.5879710258197298E-3</v>
      </c>
      <c r="O17">
        <f t="shared" si="4"/>
        <v>7.7342832772245426E-3</v>
      </c>
    </row>
    <row r="18" spans="1:15" x14ac:dyDescent="0.45">
      <c r="A18">
        <v>4</v>
      </c>
      <c r="B18">
        <v>0.8775898040431247</v>
      </c>
      <c r="C18">
        <f>LN(B18)</f>
        <v>-0.13057598808869186</v>
      </c>
      <c r="D18">
        <f>(1-B18)/(SUM($B$3:B18) *0.25)</f>
        <v>3.2700000000000007E-2</v>
      </c>
      <c r="E18">
        <f>VLOOKUP(A18,Sheet1!$G$15:$H$25,2)/100</f>
        <v>3.27E-2</v>
      </c>
      <c r="F18">
        <f>D18-E18</f>
        <v>0</v>
      </c>
      <c r="G18">
        <f t="shared" si="0"/>
        <v>3.2643997022172966E-2</v>
      </c>
      <c r="H18">
        <f t="shared" si="5"/>
        <v>3.4947060136973462E-2</v>
      </c>
      <c r="J18">
        <f t="shared" si="1"/>
        <v>7.6021216775235675E-3</v>
      </c>
      <c r="K18">
        <f t="shared" si="2"/>
        <v>7.667295914372459E-3</v>
      </c>
      <c r="N18">
        <f t="shared" si="3"/>
        <v>7.5222508872888581E-3</v>
      </c>
      <c r="O18">
        <f t="shared" si="4"/>
        <v>7.667295914372459E-3</v>
      </c>
    </row>
    <row r="19" spans="1:15" x14ac:dyDescent="0.45">
      <c r="A19">
        <v>4.25</v>
      </c>
      <c r="B19">
        <f>EXP(C19)</f>
        <v>0.86983768595121769</v>
      </c>
      <c r="C19">
        <f>$C$18+($C$22-$C$18)*(A19-$A$18)/($A$22-$A$18)</f>
        <v>-0.13944865261162168</v>
      </c>
      <c r="G19">
        <f t="shared" si="0"/>
        <v>3.2811447673322745E-2</v>
      </c>
      <c r="H19">
        <f t="shared" si="5"/>
        <v>3.5648573140077744E-2</v>
      </c>
      <c r="J19">
        <f t="shared" si="1"/>
        <v>7.5349689545524236E-3</v>
      </c>
      <c r="K19">
        <f t="shared" si="2"/>
        <v>7.7521180919069895E-3</v>
      </c>
      <c r="N19">
        <f t="shared" si="3"/>
        <v>7.4558036964411959E-3</v>
      </c>
      <c r="O19">
        <f t="shared" si="4"/>
        <v>7.7521180919069895E-3</v>
      </c>
    </row>
    <row r="20" spans="1:15" x14ac:dyDescent="0.45">
      <c r="A20">
        <v>4.5</v>
      </c>
      <c r="B20">
        <f>EXP(C20)</f>
        <v>0.86215404556339748</v>
      </c>
      <c r="C20">
        <f>$C$18+($C$22-$C$18)*(A20-$A$18)/($A$22-$A$18)</f>
        <v>-0.14832131713455149</v>
      </c>
      <c r="G20">
        <f t="shared" si="0"/>
        <v>3.2960292696567001E-2</v>
      </c>
      <c r="H20">
        <f t="shared" si="5"/>
        <v>3.5648573140077744E-2</v>
      </c>
      <c r="J20">
        <f t="shared" si="1"/>
        <v>7.4684094196929311E-3</v>
      </c>
      <c r="K20">
        <f t="shared" si="2"/>
        <v>7.6836403878201738E-3</v>
      </c>
      <c r="N20">
        <f t="shared" si="3"/>
        <v>7.3899434614446086E-3</v>
      </c>
      <c r="O20">
        <f t="shared" si="4"/>
        <v>7.6836403878201738E-3</v>
      </c>
    </row>
    <row r="21" spans="1:15" x14ac:dyDescent="0.45">
      <c r="A21">
        <v>4.75</v>
      </c>
      <c r="B21">
        <f>EXP(C21)</f>
        <v>0.85453827798743964</v>
      </c>
      <c r="C21">
        <f>$C$18+($C$22-$C$18)*(A21-$A$18)/($A$22-$A$18)</f>
        <v>-0.1571939816574813</v>
      </c>
      <c r="G21">
        <f t="shared" si="0"/>
        <v>3.309346982262764E-2</v>
      </c>
      <c r="H21">
        <f t="shared" si="5"/>
        <v>3.5648573140077744E-2</v>
      </c>
      <c r="J21">
        <f t="shared" si="1"/>
        <v>7.4024378330661963E-3</v>
      </c>
      <c r="K21">
        <f t="shared" si="2"/>
        <v>7.6157675759578325E-3</v>
      </c>
      <c r="N21">
        <f t="shared" si="3"/>
        <v>7.3246649974723684E-3</v>
      </c>
      <c r="O21">
        <f t="shared" si="4"/>
        <v>7.6157675759578325E-3</v>
      </c>
    </row>
    <row r="22" spans="1:15" x14ac:dyDescent="0.45">
      <c r="A22">
        <v>5</v>
      </c>
      <c r="B22">
        <v>0.84698978367438582</v>
      </c>
      <c r="C22">
        <f>LN(B22)</f>
        <v>-0.16606664618041111</v>
      </c>
      <c r="D22">
        <f>(1-B22)/(SUM($B$3:B22) *0.25)</f>
        <v>3.3250000000000016E-2</v>
      </c>
      <c r="E22">
        <f>VLOOKUP(A22,Sheet1!$G$15:$H$25,2)/100</f>
        <v>3.3250000000000002E-2</v>
      </c>
      <c r="F22">
        <f>D22-E22</f>
        <v>0</v>
      </c>
      <c r="G22">
        <f t="shared" si="0"/>
        <v>3.3213329236082223E-2</v>
      </c>
      <c r="H22">
        <f t="shared" si="5"/>
        <v>3.5648573140077744E-2</v>
      </c>
      <c r="J22">
        <f t="shared" si="1"/>
        <v>7.3370490010793675E-3</v>
      </c>
      <c r="K22">
        <f t="shared" si="2"/>
        <v>7.548494313053742E-3</v>
      </c>
      <c r="N22">
        <f t="shared" si="3"/>
        <v>7.2599631654974911E-3</v>
      </c>
      <c r="O22">
        <f t="shared" si="4"/>
        <v>7.548494313053742E-3</v>
      </c>
    </row>
    <row r="23" spans="1:15" x14ac:dyDescent="0.45">
      <c r="A23">
        <v>5.25</v>
      </c>
      <c r="B23">
        <f t="shared" ref="B23:B29" si="6">EXP(C23)</f>
        <v>0.83938973442431641</v>
      </c>
      <c r="C23">
        <f>$C$22+($C$30-$C$22)*(A23-$A$22)/($A$30-$A$22)</f>
        <v>-0.17508015781633293</v>
      </c>
      <c r="G23">
        <f t="shared" si="0"/>
        <v>3.3348601488825319E-2</v>
      </c>
      <c r="H23">
        <f t="shared" si="5"/>
        <v>3.6217022621949368E-2</v>
      </c>
      <c r="J23">
        <f t="shared" si="1"/>
        <v>7.271213574450641E-3</v>
      </c>
      <c r="K23">
        <f t="shared" si="2"/>
        <v>7.6000492500693847E-3</v>
      </c>
      <c r="N23">
        <f t="shared" si="3"/>
        <v>7.194819430974381E-3</v>
      </c>
      <c r="O23">
        <f t="shared" si="4"/>
        <v>7.6000492500693847E-3</v>
      </c>
    </row>
    <row r="24" spans="1:15" x14ac:dyDescent="0.45">
      <c r="A24">
        <v>5.5</v>
      </c>
      <c r="B24">
        <f t="shared" si="6"/>
        <v>0.83185788050519061</v>
      </c>
      <c r="C24">
        <f t="shared" ref="C24:C29" si="7">$C$22+($C$30-$C$22)*(A24-$A$22)/($A$30-$A$22)</f>
        <v>-0.18409366945225475</v>
      </c>
      <c r="G24">
        <f t="shared" si="0"/>
        <v>3.3471576264046315E-2</v>
      </c>
      <c r="H24">
        <f t="shared" si="5"/>
        <v>3.6217022621949368E-2</v>
      </c>
      <c r="J24">
        <f t="shared" si="1"/>
        <v>7.2059688898762136E-3</v>
      </c>
      <c r="K24">
        <f t="shared" si="2"/>
        <v>7.531853919125836E-3</v>
      </c>
      <c r="N24">
        <f t="shared" si="3"/>
        <v>7.1302602319442037E-3</v>
      </c>
      <c r="O24">
        <f t="shared" si="4"/>
        <v>7.531853919125836E-3</v>
      </c>
    </row>
    <row r="25" spans="1:15" x14ac:dyDescent="0.45">
      <c r="A25">
        <v>5.75</v>
      </c>
      <c r="B25">
        <f t="shared" si="6"/>
        <v>0.82439360999950484</v>
      </c>
      <c r="C25">
        <f t="shared" si="7"/>
        <v>-0.19310718108817659</v>
      </c>
      <c r="G25">
        <f t="shared" si="0"/>
        <v>3.3583857580552448E-2</v>
      </c>
      <c r="H25">
        <f t="shared" si="5"/>
        <v>3.6217022621950257E-2</v>
      </c>
      <c r="J25">
        <f t="shared" si="1"/>
        <v>7.1413096466207103E-3</v>
      </c>
      <c r="K25">
        <f t="shared" si="2"/>
        <v>7.464270505685826E-3</v>
      </c>
      <c r="N25">
        <f t="shared" si="3"/>
        <v>7.0662803233631334E-3</v>
      </c>
      <c r="O25">
        <f t="shared" si="4"/>
        <v>7.464270505685826E-3</v>
      </c>
    </row>
    <row r="26" spans="1:15" x14ac:dyDescent="0.45">
      <c r="A26">
        <v>6</v>
      </c>
      <c r="B26">
        <f t="shared" si="6"/>
        <v>0.81699631648049897</v>
      </c>
      <c r="C26">
        <f t="shared" si="7"/>
        <v>-0.20212069272409841</v>
      </c>
      <c r="G26">
        <f t="shared" si="0"/>
        <v>3.3686782120683066E-2</v>
      </c>
      <c r="H26">
        <f t="shared" si="5"/>
        <v>3.6217022621949368E-2</v>
      </c>
      <c r="J26">
        <f t="shared" si="1"/>
        <v>7.0772305915123221E-3</v>
      </c>
      <c r="K26">
        <f t="shared" si="2"/>
        <v>7.3972935190058844E-3</v>
      </c>
      <c r="N26">
        <f t="shared" si="3"/>
        <v>7.0028745072511864E-3</v>
      </c>
      <c r="O26">
        <f t="shared" si="4"/>
        <v>7.3972935190058844E-3</v>
      </c>
    </row>
    <row r="27" spans="1:15" x14ac:dyDescent="0.45">
      <c r="A27">
        <v>6.25</v>
      </c>
      <c r="B27">
        <f t="shared" si="6"/>
        <v>0.80966539896288681</v>
      </c>
      <c r="C27">
        <f t="shared" si="7"/>
        <v>-0.21113420436002023</v>
      </c>
      <c r="G27">
        <f t="shared" si="0"/>
        <v>3.3781472697603239E-2</v>
      </c>
      <c r="H27">
        <f t="shared" si="5"/>
        <v>3.6217022621949368E-2</v>
      </c>
      <c r="J27">
        <f t="shared" si="1"/>
        <v>7.0137265185160067E-3</v>
      </c>
      <c r="K27">
        <f t="shared" si="2"/>
        <v>7.330917517612133E-3</v>
      </c>
      <c r="N27">
        <f t="shared" si="3"/>
        <v>6.9400376322699114E-3</v>
      </c>
      <c r="O27">
        <f t="shared" si="4"/>
        <v>7.330917517612133E-3</v>
      </c>
    </row>
    <row r="28" spans="1:15" x14ac:dyDescent="0.45">
      <c r="A28">
        <v>6.5</v>
      </c>
      <c r="B28">
        <f t="shared" si="6"/>
        <v>0.80240026185403046</v>
      </c>
      <c r="C28">
        <f t="shared" si="7"/>
        <v>-0.22014771599594207</v>
      </c>
      <c r="G28">
        <f t="shared" si="0"/>
        <v>3.3868879383991086E-2</v>
      </c>
      <c r="H28">
        <f t="shared" si="5"/>
        <v>3.6217022621949368E-2</v>
      </c>
      <c r="J28">
        <f t="shared" si="1"/>
        <v>6.9507922683105386E-3</v>
      </c>
      <c r="K28">
        <f t="shared" si="2"/>
        <v>7.2651371088563793E-3</v>
      </c>
      <c r="N28">
        <f t="shared" si="3"/>
        <v>6.8777645933038789E-3</v>
      </c>
      <c r="O28">
        <f t="shared" si="4"/>
        <v>7.2651371088563793E-3</v>
      </c>
    </row>
    <row r="29" spans="1:15" x14ac:dyDescent="0.45">
      <c r="A29">
        <v>6.75</v>
      </c>
      <c r="B29">
        <f t="shared" si="6"/>
        <v>0.79520031490555154</v>
      </c>
      <c r="C29">
        <f t="shared" si="7"/>
        <v>-0.22916122763186389</v>
      </c>
      <c r="G29">
        <f t="shared" si="0"/>
        <v>3.394981150101687E-2</v>
      </c>
      <c r="H29">
        <f t="shared" si="5"/>
        <v>3.6217022621949368E-2</v>
      </c>
      <c r="J29">
        <f t="shared" si="1"/>
        <v>6.8884227278693403E-3</v>
      </c>
      <c r="K29">
        <f t="shared" si="2"/>
        <v>7.1999469484789053E-3</v>
      </c>
      <c r="N29">
        <f t="shared" si="3"/>
        <v>6.8160503310459204E-3</v>
      </c>
      <c r="O29">
        <f t="shared" si="4"/>
        <v>7.1999469484789053E-3</v>
      </c>
    </row>
    <row r="30" spans="1:15" x14ac:dyDescent="0.45">
      <c r="A30">
        <v>7</v>
      </c>
      <c r="B30">
        <v>0.78806497316537738</v>
      </c>
      <c r="C30">
        <f>LN(B30)</f>
        <v>-0.23817473926778571</v>
      </c>
      <c r="D30">
        <f>(1-B30)/(SUM($B$3:B30) *0.25)</f>
        <v>3.4025000000000007E-2</v>
      </c>
      <c r="E30">
        <f>VLOOKUP(A30,Sheet1!$G$15:$H$25,2)/100</f>
        <v>3.4025E-2</v>
      </c>
      <c r="F30">
        <f>D30-E30</f>
        <v>0</v>
      </c>
      <c r="G30">
        <f t="shared" si="0"/>
        <v>3.4024962752540813E-2</v>
      </c>
      <c r="H30">
        <f t="shared" si="5"/>
        <v>3.6217022621949368E-2</v>
      </c>
      <c r="J30">
        <f t="shared" si="1"/>
        <v>6.8266128300450814E-3</v>
      </c>
      <c r="K30">
        <f t="shared" si="2"/>
        <v>7.135341740174099E-3</v>
      </c>
      <c r="N30">
        <f t="shared" si="3"/>
        <v>6.7548898315860873E-3</v>
      </c>
      <c r="O30">
        <f t="shared" si="4"/>
        <v>7.135341740174099E-3</v>
      </c>
    </row>
    <row r="31" spans="1:15" x14ac:dyDescent="0.45">
      <c r="A31">
        <v>7.25</v>
      </c>
      <c r="B31">
        <f>EXP(C31)</f>
        <v>0.78095909376986739</v>
      </c>
      <c r="C31">
        <f>$C$30+($C$42-$C$30)*(A31-$A$30)/($A$42-$A$30)</f>
        <v>-0.24723250724928517</v>
      </c>
      <c r="G31">
        <f t="shared" si="0"/>
        <v>3.4101035482660025E-2</v>
      </c>
      <c r="H31">
        <f t="shared" si="5"/>
        <v>3.6395654790103649E-2</v>
      </c>
      <c r="J31">
        <f t="shared" si="1"/>
        <v>6.7650581497814763E-3</v>
      </c>
      <c r="K31">
        <f t="shared" si="2"/>
        <v>7.1058793955100698E-3</v>
      </c>
      <c r="N31">
        <f t="shared" si="3"/>
        <v>6.6939818682738607E-3</v>
      </c>
      <c r="O31">
        <f t="shared" si="4"/>
        <v>7.1058793955100698E-3</v>
      </c>
    </row>
    <row r="32" spans="1:15" x14ac:dyDescent="0.45">
      <c r="A32">
        <v>7.5</v>
      </c>
      <c r="B32">
        <f t="shared" ref="B32:B41" si="8">EXP(C32)</f>
        <v>0.77391728716493036</v>
      </c>
      <c r="C32">
        <f t="shared" ref="C32:C41" si="9">$C$30+($C$42-$C$30)*(A32-$A$30)/($A$42-$A$30)</f>
        <v>-0.25629027523078463</v>
      </c>
      <c r="G32">
        <f t="shared" si="0"/>
        <v>3.4172036697437951E-2</v>
      </c>
      <c r="H32">
        <f t="shared" si="5"/>
        <v>3.6395654790103649E-2</v>
      </c>
      <c r="J32">
        <f t="shared" si="1"/>
        <v>6.7040585000662095E-3</v>
      </c>
      <c r="K32">
        <f t="shared" si="2"/>
        <v>7.0418066049370799E-3</v>
      </c>
      <c r="N32">
        <f t="shared" si="3"/>
        <v>6.6336231041473105E-3</v>
      </c>
      <c r="O32">
        <f t="shared" si="4"/>
        <v>7.0418066049370799E-3</v>
      </c>
    </row>
    <row r="33" spans="1:15" x14ac:dyDescent="0.45">
      <c r="A33">
        <v>7.75</v>
      </c>
      <c r="B33">
        <f t="shared" si="8"/>
        <v>0.76693897561454483</v>
      </c>
      <c r="C33">
        <f t="shared" si="9"/>
        <v>-0.26534804321228406</v>
      </c>
      <c r="G33">
        <f t="shared" si="0"/>
        <v>3.4238457188681813E-2</v>
      </c>
      <c r="H33">
        <f t="shared" si="5"/>
        <v>3.6395654790102761E-2</v>
      </c>
      <c r="J33">
        <f t="shared" si="1"/>
        <v>6.6436088762609948E-3</v>
      </c>
      <c r="K33">
        <f t="shared" si="2"/>
        <v>6.9783115503855029E-3</v>
      </c>
      <c r="N33">
        <f t="shared" si="3"/>
        <v>6.5738085871487901E-3</v>
      </c>
      <c r="O33">
        <f t="shared" si="4"/>
        <v>6.9783115503855029E-3</v>
      </c>
    </row>
    <row r="34" spans="1:15" x14ac:dyDescent="0.45">
      <c r="A34">
        <v>8</v>
      </c>
      <c r="B34">
        <f t="shared" si="8"/>
        <v>0.7600235865920596</v>
      </c>
      <c r="C34">
        <f t="shared" si="9"/>
        <v>-0.27440581119378349</v>
      </c>
      <c r="G34">
        <f t="shared" si="0"/>
        <v>3.4300726399222936E-2</v>
      </c>
      <c r="H34">
        <f t="shared" si="5"/>
        <v>3.6395654790103649E-2</v>
      </c>
      <c r="J34">
        <f t="shared" si="1"/>
        <v>6.5837043188537161E-3</v>
      </c>
      <c r="K34">
        <f t="shared" si="2"/>
        <v>6.915389022485262E-3</v>
      </c>
      <c r="N34">
        <f t="shared" si="3"/>
        <v>6.5145334098727099E-3</v>
      </c>
      <c r="O34">
        <f t="shared" si="4"/>
        <v>6.915389022485262E-3</v>
      </c>
    </row>
    <row r="35" spans="1:15" x14ac:dyDescent="0.45">
      <c r="A35">
        <v>8.25</v>
      </c>
      <c r="B35">
        <f t="shared" si="8"/>
        <v>0.7531705527332222</v>
      </c>
      <c r="C35">
        <f t="shared" si="9"/>
        <v>-0.28346357917528298</v>
      </c>
      <c r="G35">
        <f t="shared" si="0"/>
        <v>3.4359221718216121E-2</v>
      </c>
      <c r="H35">
        <f t="shared" si="5"/>
        <v>3.6395654790103649E-2</v>
      </c>
      <c r="J35">
        <f t="shared" si="1"/>
        <v>6.5243399130515377E-3</v>
      </c>
      <c r="K35">
        <f t="shared" si="2"/>
        <v>6.8530338588374774E-3</v>
      </c>
      <c r="M35" t="s">
        <v>17</v>
      </c>
      <c r="N35">
        <f>SUM(N3:N34)</f>
        <v>0.23997640416660934</v>
      </c>
      <c r="O35">
        <f>SUM(O3:O34)</f>
        <v>0.23997641340794021</v>
      </c>
    </row>
    <row r="36" spans="1:15" x14ac:dyDescent="0.45">
      <c r="A36">
        <v>8.5</v>
      </c>
      <c r="B36">
        <f t="shared" si="8"/>
        <v>0.74637931178962968</v>
      </c>
      <c r="C36">
        <f t="shared" si="9"/>
        <v>-0.29252134715678241</v>
      </c>
      <c r="G36">
        <f t="shared" si="0"/>
        <v>3.4414276136092048E-2</v>
      </c>
      <c r="H36">
        <f t="shared" si="5"/>
        <v>3.6395654790102761E-2</v>
      </c>
      <c r="J36">
        <f t="shared" si="1"/>
        <v>6.4655107883776668E-3</v>
      </c>
      <c r="K36">
        <f t="shared" si="2"/>
        <v>6.791240943592459E-3</v>
      </c>
    </row>
    <row r="37" spans="1:15" x14ac:dyDescent="0.45">
      <c r="A37">
        <v>8.75</v>
      </c>
      <c r="B37">
        <f t="shared" si="8"/>
        <v>0.73964930658259975</v>
      </c>
      <c r="C37">
        <f t="shared" si="9"/>
        <v>-0.30157911513828184</v>
      </c>
      <c r="G37">
        <f t="shared" si="0"/>
        <v>3.4466184587232211E-2</v>
      </c>
      <c r="H37">
        <f t="shared" si="5"/>
        <v>3.6395654790103649E-2</v>
      </c>
      <c r="J37">
        <f t="shared" si="1"/>
        <v>6.4072121182717707E-3</v>
      </c>
      <c r="K37">
        <f t="shared" si="2"/>
        <v>6.7300052070299599E-3</v>
      </c>
    </row>
    <row r="38" spans="1:15" x14ac:dyDescent="0.45">
      <c r="A38">
        <v>9</v>
      </c>
      <c r="B38">
        <f t="shared" si="8"/>
        <v>0.73297998495745809</v>
      </c>
      <c r="C38">
        <f t="shared" si="9"/>
        <v>-0.31063688311978133</v>
      </c>
      <c r="G38">
        <f t="shared" si="0"/>
        <v>3.4515209235531259E-2</v>
      </c>
      <c r="H38">
        <f t="shared" si="5"/>
        <v>3.6395654790102761E-2</v>
      </c>
      <c r="J38">
        <f t="shared" si="1"/>
        <v>6.3494391196939805E-3</v>
      </c>
      <c r="K38">
        <f t="shared" si="2"/>
        <v>6.6693216251415893E-3</v>
      </c>
    </row>
    <row r="39" spans="1:15" x14ac:dyDescent="0.45">
      <c r="A39">
        <v>9.25</v>
      </c>
      <c r="B39">
        <f t="shared" si="8"/>
        <v>0.72637079973823704</v>
      </c>
      <c r="C39">
        <f t="shared" si="9"/>
        <v>-0.31969465110128076</v>
      </c>
      <c r="G39">
        <f t="shared" si="0"/>
        <v>3.4561583902841163E-2</v>
      </c>
      <c r="H39">
        <f t="shared" si="5"/>
        <v>3.6395654790103649E-2</v>
      </c>
      <c r="J39">
        <f t="shared" si="1"/>
        <v>6.2921870527324784E-3</v>
      </c>
      <c r="K39">
        <f t="shared" si="2"/>
        <v>6.6091852192210962E-3</v>
      </c>
    </row>
    <row r="40" spans="1:15" x14ac:dyDescent="0.45">
      <c r="A40">
        <v>9.5</v>
      </c>
      <c r="B40">
        <f t="shared" si="8"/>
        <v>0.71982120868278365</v>
      </c>
      <c r="C40">
        <f t="shared" si="9"/>
        <v>-0.32875241908278019</v>
      </c>
      <c r="G40">
        <f t="shared" si="0"/>
        <v>3.4605517798187387E-2</v>
      </c>
      <c r="H40">
        <f t="shared" si="5"/>
        <v>3.6395654790103649E-2</v>
      </c>
      <c r="J40">
        <f t="shared" si="1"/>
        <v>6.2354512202146134E-3</v>
      </c>
      <c r="K40">
        <f t="shared" si="2"/>
        <v>6.5495910554534383E-3</v>
      </c>
    </row>
    <row r="41" spans="1:15" x14ac:dyDescent="0.45">
      <c r="A41">
        <v>9.75</v>
      </c>
      <c r="B41">
        <f t="shared" si="8"/>
        <v>0.71333067443827192</v>
      </c>
      <c r="C41">
        <f t="shared" si="9"/>
        <v>-0.33781018706427968</v>
      </c>
      <c r="G41">
        <f t="shared" si="0"/>
        <v>3.4647198673259452E-2</v>
      </c>
      <c r="H41">
        <f t="shared" si="5"/>
        <v>3.6395654790103649E-2</v>
      </c>
      <c r="J41">
        <f t="shared" si="1"/>
        <v>6.1792269673215305E-3</v>
      </c>
      <c r="K41">
        <f t="shared" si="2"/>
        <v>6.4905342445117893E-3</v>
      </c>
    </row>
    <row r="42" spans="1:15" x14ac:dyDescent="0.45">
      <c r="A42">
        <v>10</v>
      </c>
      <c r="B42">
        <v>0.70689866449711647</v>
      </c>
      <c r="C42">
        <f>LN(B42)</f>
        <v>-0.34686795504577911</v>
      </c>
      <c r="D42">
        <f>(1-B42)/(SUM($B$3:B42) *0.25)</f>
        <v>3.4649999999999993E-2</v>
      </c>
      <c r="E42">
        <f>VLOOKUP(A42,Sheet1!$G$15:$H$25,2)/100</f>
        <v>3.465E-2</v>
      </c>
      <c r="F42">
        <f>D42-E42</f>
        <v>0</v>
      </c>
      <c r="G42">
        <f t="shared" si="0"/>
        <v>3.4686795504577914E-2</v>
      </c>
      <c r="H42">
        <f t="shared" si="5"/>
        <v>3.6395654790102761E-2</v>
      </c>
      <c r="J42">
        <f t="shared" si="1"/>
        <v>6.1235096812062711E-3</v>
      </c>
      <c r="K42">
        <f t="shared" si="2"/>
        <v>6.4320099411554303E-3</v>
      </c>
    </row>
    <row r="43" spans="1:15" x14ac:dyDescent="0.45">
      <c r="I43" t="s">
        <v>17</v>
      </c>
      <c r="J43">
        <f>SUM(J3:J42)</f>
        <v>0.2931013355028837</v>
      </c>
      <c r="K43">
        <f>SUM(K3:K42)</f>
        <v>0.29310133550288353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FB8A-53EC-4405-A986-34FF25BB0B8D}">
  <dimension ref="A1:O43"/>
  <sheetViews>
    <sheetView topLeftCell="A13" workbookViewId="0">
      <selection activeCell="M39" sqref="M39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  <col min="10" max="10" width="11.83203125" customWidth="1"/>
    <col min="11" max="11" width="11.5" customWidth="1"/>
  </cols>
  <sheetData>
    <row r="1" spans="1:15" x14ac:dyDescent="0.45">
      <c r="A1" t="s">
        <v>2</v>
      </c>
      <c r="I1" t="s">
        <v>16</v>
      </c>
      <c r="J1">
        <f>Sheet1!B9/100</f>
        <v>3.465E-2</v>
      </c>
      <c r="M1" t="s">
        <v>40</v>
      </c>
      <c r="N1">
        <f>Sheet1!C33</f>
        <v>3.4285953882477946E-2</v>
      </c>
    </row>
    <row r="2" spans="1:15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J2" t="s">
        <v>14</v>
      </c>
      <c r="K2" t="s">
        <v>15</v>
      </c>
      <c r="N2" t="s">
        <v>4</v>
      </c>
      <c r="O2" t="s">
        <v>5</v>
      </c>
    </row>
    <row r="3" spans="1:15" x14ac:dyDescent="0.45">
      <c r="A3" cm="1">
        <f t="array" ref="A3:A42">_xlfn.SEQUENCE(40,,0.25,0.25)</f>
        <v>0.25</v>
      </c>
      <c r="B3">
        <f>1/(1+Sheet1!B2/100*0.25)</f>
        <v>0.99304865938430997</v>
      </c>
      <c r="C3">
        <f>LN(B3)</f>
        <v>-6.9756137364250992E-3</v>
      </c>
      <c r="G3">
        <f>-C3/A3</f>
        <v>2.7902454945700397E-2</v>
      </c>
      <c r="H3">
        <f>(1/B3-1)/0.25</f>
        <v>2.7999999999999581E-2</v>
      </c>
      <c r="J3">
        <f>$J$1*0.25*B3</f>
        <v>8.6022840119165857E-3</v>
      </c>
      <c r="K3">
        <f>H3*0.25*B3</f>
        <v>6.9513406156900661E-3</v>
      </c>
      <c r="N3">
        <f>$N$1*0.25*B3</f>
        <v>8.5119051346767508E-3</v>
      </c>
      <c r="O3">
        <f>B3*0.25*H3</f>
        <v>6.9513406156900661E-3</v>
      </c>
    </row>
    <row r="4" spans="1:15" x14ac:dyDescent="0.45">
      <c r="A4">
        <v>0.5</v>
      </c>
      <c r="B4">
        <f>EXP(C4)</f>
        <v>0.98576081333172305</v>
      </c>
      <c r="C4">
        <f>$C$3+($C$6-$C$3)*(A4-$A$3)/($A$6-$A$3)</f>
        <v>-1.43415366353421E-2</v>
      </c>
      <c r="G4">
        <f t="shared" ref="G4:G42" si="0">-C4/A4</f>
        <v>2.8683073270684201E-2</v>
      </c>
      <c r="H4">
        <f>(B3/B4-1)/0.25</f>
        <v>2.957247216170078E-2</v>
      </c>
      <c r="J4">
        <f t="shared" ref="J4:J42" si="1">$J$1*0.25*B4</f>
        <v>8.5391530454860514E-3</v>
      </c>
      <c r="K4">
        <f t="shared" ref="K4:K42" si="2">H4*0.25*B4</f>
        <v>7.2878460525869744E-3</v>
      </c>
      <c r="N4">
        <f t="shared" ref="N4:N34" si="3">$N$1*0.25*B4</f>
        <v>8.4494374462613514E-3</v>
      </c>
      <c r="O4">
        <f t="shared" ref="O4:O34" si="4">B4*0.25*H4</f>
        <v>7.2878460525869744E-3</v>
      </c>
    </row>
    <row r="5" spans="1:15" x14ac:dyDescent="0.45">
      <c r="A5">
        <v>0.75</v>
      </c>
      <c r="B5">
        <f>EXP(C5)</f>
        <v>0.97852645176812303</v>
      </c>
      <c r="C5">
        <f>$C$3+($C$6-$C$3)*(A5-$A$3)/($A$6-$A$3)</f>
        <v>-2.1707459534259101E-2</v>
      </c>
      <c r="G5">
        <f t="shared" si="0"/>
        <v>2.8943279379012133E-2</v>
      </c>
      <c r="H5">
        <f t="shared" ref="H5:H42" si="5">(B4/B5-1)/0.25</f>
        <v>2.9572472161699892E-2</v>
      </c>
      <c r="J5">
        <f t="shared" si="1"/>
        <v>8.4764853884413665E-3</v>
      </c>
      <c r="K5">
        <f t="shared" si="2"/>
        <v>7.2343615635999479E-3</v>
      </c>
      <c r="N5">
        <f t="shared" si="3"/>
        <v>8.3874281995266614E-3</v>
      </c>
      <c r="O5">
        <f t="shared" si="4"/>
        <v>7.2343615635999479E-3</v>
      </c>
    </row>
    <row r="6" spans="1:15" x14ac:dyDescent="0.45">
      <c r="A6">
        <v>1</v>
      </c>
      <c r="B6">
        <v>0.97134518217828081</v>
      </c>
      <c r="C6">
        <f>LN(B6)</f>
        <v>-2.9073382433176101E-2</v>
      </c>
      <c r="D6">
        <f>(1-B6)/(SUM($B$3:B6) *0.25)</f>
        <v>2.9175000000000045E-2</v>
      </c>
      <c r="E6">
        <f>VLOOKUP(A6,Sheet1!$J$15:$K$25,2)/100</f>
        <v>2.9175E-2</v>
      </c>
      <c r="F6">
        <f>D6-E6</f>
        <v>4.5102810375396984E-17</v>
      </c>
      <c r="G6">
        <f t="shared" si="0"/>
        <v>2.9073382433176101E-2</v>
      </c>
      <c r="H6">
        <f t="shared" si="5"/>
        <v>2.9572472161699892E-2</v>
      </c>
      <c r="J6">
        <f t="shared" si="1"/>
        <v>8.4142776406193574E-3</v>
      </c>
      <c r="K6">
        <f t="shared" si="2"/>
        <v>7.1812695898421297E-3</v>
      </c>
      <c r="N6">
        <f t="shared" si="3"/>
        <v>8.3258740300329193E-3</v>
      </c>
      <c r="O6">
        <f t="shared" si="4"/>
        <v>7.1812695898421297E-3</v>
      </c>
    </row>
    <row r="7" spans="1:15" x14ac:dyDescent="0.45">
      <c r="A7">
        <v>1.25</v>
      </c>
      <c r="B7">
        <f>EXP(C7)</f>
        <v>0.96348575362774336</v>
      </c>
      <c r="C7">
        <f>$C$6+($C$10-$C$6)*(A7-$A$6)/($A$10-$A$6)</f>
        <v>-3.7197577300608041E-2</v>
      </c>
      <c r="G7">
        <f t="shared" si="0"/>
        <v>2.9758061840486433E-2</v>
      </c>
      <c r="H7">
        <f t="shared" si="5"/>
        <v>3.2629142759796892E-2</v>
      </c>
      <c r="J7">
        <f t="shared" si="1"/>
        <v>8.3461953408003262E-3</v>
      </c>
      <c r="K7">
        <f t="shared" si="2"/>
        <v>7.8594285505375339E-3</v>
      </c>
      <c r="N7">
        <f t="shared" si="3"/>
        <v>8.2585070288263285E-3</v>
      </c>
      <c r="O7">
        <f t="shared" si="4"/>
        <v>7.8594285505375339E-3</v>
      </c>
    </row>
    <row r="8" spans="1:15" x14ac:dyDescent="0.45">
      <c r="A8">
        <v>1.5</v>
      </c>
      <c r="B8">
        <f>EXP(C8)</f>
        <v>0.95568991793613434</v>
      </c>
      <c r="C8">
        <f>$C$6+($C$10-$C$6)*(A8-$A$6)/($A$10-$A$6)</f>
        <v>-4.5321772168039981E-2</v>
      </c>
      <c r="G8">
        <f t="shared" si="0"/>
        <v>3.021451477869332E-2</v>
      </c>
      <c r="H8">
        <f t="shared" si="5"/>
        <v>3.2629142759796004E-2</v>
      </c>
      <c r="J8">
        <f t="shared" si="1"/>
        <v>8.278663914121763E-3</v>
      </c>
      <c r="K8">
        <f t="shared" si="2"/>
        <v>7.7958356916089638E-3</v>
      </c>
      <c r="N8">
        <f t="shared" si="3"/>
        <v>8.1916851130768593E-3</v>
      </c>
      <c r="O8">
        <f t="shared" si="4"/>
        <v>7.7958356916089638E-3</v>
      </c>
    </row>
    <row r="9" spans="1:15" x14ac:dyDescent="0.45">
      <c r="A9">
        <v>1.75</v>
      </c>
      <c r="B9">
        <f>EXP(C9)</f>
        <v>0.94795716055564905</v>
      </c>
      <c r="C9">
        <f>$C$6+($C$10-$C$6)*(A9-$A$6)/($A$10-$A$6)</f>
        <v>-5.3445967035471921E-2</v>
      </c>
      <c r="G9">
        <f t="shared" si="0"/>
        <v>3.0540552591698241E-2</v>
      </c>
      <c r="H9">
        <f t="shared" si="5"/>
        <v>3.2629142759796004E-2</v>
      </c>
      <c r="J9">
        <f t="shared" si="1"/>
        <v>8.2116789033133096E-3</v>
      </c>
      <c r="K9">
        <f t="shared" si="2"/>
        <v>7.7327573804852837E-3</v>
      </c>
      <c r="N9">
        <f t="shared" si="3"/>
        <v>8.1254038723439313E-3</v>
      </c>
      <c r="O9">
        <f t="shared" si="4"/>
        <v>7.7327573804852837E-3</v>
      </c>
    </row>
    <row r="10" spans="1:15" x14ac:dyDescent="0.45">
      <c r="A10">
        <v>2</v>
      </c>
      <c r="B10">
        <v>0.94028697110183446</v>
      </c>
      <c r="C10">
        <f>LN(B10)</f>
        <v>-6.1570161902903861E-2</v>
      </c>
      <c r="D10">
        <f>(1-B10)/(SUM($B$3:B10) *0.25)</f>
        <v>3.0874999999999986E-2</v>
      </c>
      <c r="E10">
        <f>VLOOKUP(A10,Sheet1!$J$15:$K$25,2)/100</f>
        <v>3.0875E-2</v>
      </c>
      <c r="F10">
        <f>D10-E10</f>
        <v>0</v>
      </c>
      <c r="G10">
        <f t="shared" si="0"/>
        <v>3.0785080951451931E-2</v>
      </c>
      <c r="H10">
        <f t="shared" si="5"/>
        <v>3.2629142759796892E-2</v>
      </c>
      <c r="J10">
        <f t="shared" si="1"/>
        <v>8.1452358871696405E-3</v>
      </c>
      <c r="K10">
        <f t="shared" si="2"/>
        <v>7.6701894538146924E-3</v>
      </c>
      <c r="N10">
        <f t="shared" si="3"/>
        <v>8.0596589318730916E-3</v>
      </c>
      <c r="O10">
        <f t="shared" si="4"/>
        <v>7.6701894538146924E-3</v>
      </c>
    </row>
    <row r="11" spans="1:15" x14ac:dyDescent="0.45">
      <c r="A11">
        <v>2.25</v>
      </c>
      <c r="B11">
        <f>EXP(C11)</f>
        <v>0.93220603216553266</v>
      </c>
      <c r="C11">
        <f>$C$10+($C$14-$C$10)*(A11-$A$10)/($A$14-$A$10)</f>
        <v>-7.0201424172421631E-2</v>
      </c>
      <c r="G11">
        <f t="shared" si="0"/>
        <v>3.1200632965520725E-2</v>
      </c>
      <c r="H11">
        <f t="shared" si="5"/>
        <v>3.4674476059888271E-2</v>
      </c>
      <c r="J11">
        <f t="shared" si="1"/>
        <v>8.0752347536339267E-3</v>
      </c>
      <c r="K11">
        <f t="shared" si="2"/>
        <v>8.0809389363017993E-3</v>
      </c>
      <c r="N11">
        <f t="shared" si="3"/>
        <v>7.9903932569488009E-3</v>
      </c>
      <c r="O11">
        <f t="shared" si="4"/>
        <v>8.0809389363017993E-3</v>
      </c>
    </row>
    <row r="12" spans="1:15" x14ac:dyDescent="0.45">
      <c r="A12">
        <v>2.5</v>
      </c>
      <c r="B12">
        <f>EXP(C12)</f>
        <v>0.92419454178706384</v>
      </c>
      <c r="C12">
        <f>$C$10+($C$14-$C$10)*(A12-$A$10)/($A$14-$A$10)</f>
        <v>-7.8832686441939387E-2</v>
      </c>
      <c r="G12">
        <f t="shared" si="0"/>
        <v>3.1533074576775753E-2</v>
      </c>
      <c r="H12">
        <f t="shared" si="5"/>
        <v>3.4674476059888271E-2</v>
      </c>
      <c r="J12">
        <f t="shared" si="1"/>
        <v>8.00583521823044E-3</v>
      </c>
      <c r="K12">
        <f t="shared" si="2"/>
        <v>8.0114903784687386E-3</v>
      </c>
      <c r="N12">
        <f t="shared" si="3"/>
        <v>7.9217228595372773E-3</v>
      </c>
      <c r="O12">
        <f t="shared" si="4"/>
        <v>8.0114903784687386E-3</v>
      </c>
    </row>
    <row r="13" spans="1:15" x14ac:dyDescent="0.45">
      <c r="A13">
        <v>2.75</v>
      </c>
      <c r="B13">
        <f>EXP(C13)</f>
        <v>0.91625190311719784</v>
      </c>
      <c r="C13">
        <f>$C$10+($C$14-$C$10)*(A13-$A$10)/($A$14-$A$10)</f>
        <v>-8.7463948711457157E-2</v>
      </c>
      <c r="G13">
        <f t="shared" si="0"/>
        <v>3.1805072258711695E-2</v>
      </c>
      <c r="H13">
        <f t="shared" si="5"/>
        <v>3.4674476059888271E-2</v>
      </c>
      <c r="J13">
        <f t="shared" si="1"/>
        <v>7.9370321107527265E-3</v>
      </c>
      <c r="K13">
        <f t="shared" si="2"/>
        <v>7.9426386698660863E-3</v>
      </c>
      <c r="N13">
        <f t="shared" si="3"/>
        <v>7.8536426237522244E-3</v>
      </c>
      <c r="O13">
        <f t="shared" si="4"/>
        <v>7.9426386698660863E-3</v>
      </c>
    </row>
    <row r="14" spans="1:15" x14ac:dyDescent="0.45">
      <c r="A14">
        <v>3</v>
      </c>
      <c r="B14">
        <v>0.90837752443609776</v>
      </c>
      <c r="C14">
        <f>LN(B14)</f>
        <v>-9.6095210980974927E-2</v>
      </c>
      <c r="D14">
        <f>(1-B14)/(SUM($B$3:B14) *0.25)</f>
        <v>3.209999999999999E-2</v>
      </c>
      <c r="E14">
        <f>VLOOKUP(A14,Sheet1!$J$15:$K$25,2)/100</f>
        <v>3.2099999999999997E-2</v>
      </c>
      <c r="F14">
        <f>D14-E14</f>
        <v>0</v>
      </c>
      <c r="G14">
        <f t="shared" si="0"/>
        <v>3.2031736993658307E-2</v>
      </c>
      <c r="H14">
        <f t="shared" si="5"/>
        <v>3.4674476059888271E-2</v>
      </c>
      <c r="J14">
        <f t="shared" si="1"/>
        <v>7.8688203054276974E-3</v>
      </c>
      <c r="K14">
        <f t="shared" si="2"/>
        <v>7.874378681100011E-3</v>
      </c>
      <c r="N14">
        <f t="shared" si="3"/>
        <v>7.7861474776738824E-3</v>
      </c>
      <c r="O14">
        <f t="shared" si="4"/>
        <v>7.874378681100011E-3</v>
      </c>
    </row>
    <row r="15" spans="1:15" x14ac:dyDescent="0.45">
      <c r="A15">
        <v>3.25</v>
      </c>
      <c r="B15">
        <f>EXP(C15)</f>
        <v>0.90058157639630776</v>
      </c>
      <c r="C15">
        <f>$C$14+($C$18-$C$14)*(A15-$A$14)/($A$18-$A$14)</f>
        <v>-0.10471452835666109</v>
      </c>
      <c r="G15">
        <f t="shared" si="0"/>
        <v>3.2219854878972644E-2</v>
      </c>
      <c r="H15">
        <f t="shared" si="5"/>
        <v>3.4626282589460544E-2</v>
      </c>
      <c r="J15">
        <f t="shared" si="1"/>
        <v>7.8012879055330163E-3</v>
      </c>
      <c r="K15">
        <f t="shared" si="2"/>
        <v>7.7959480397901005E-3</v>
      </c>
      <c r="N15">
        <f t="shared" si="3"/>
        <v>7.7193245989332741E-3</v>
      </c>
      <c r="O15">
        <f t="shared" si="4"/>
        <v>7.7959480397901005E-3</v>
      </c>
    </row>
    <row r="16" spans="1:15" x14ac:dyDescent="0.45">
      <c r="A16">
        <v>3.5</v>
      </c>
      <c r="B16">
        <f>EXP(C16)</f>
        <v>0.89285253534640263</v>
      </c>
      <c r="C16">
        <f>$C$14+($C$18-$C$14)*(A16-$A$14)/($A$18-$A$14)</f>
        <v>-0.11333384573234725</v>
      </c>
      <c r="G16">
        <f t="shared" si="0"/>
        <v>3.2381098780670643E-2</v>
      </c>
      <c r="H16">
        <f t="shared" si="5"/>
        <v>3.4626282589460544E-2</v>
      </c>
      <c r="J16">
        <f t="shared" si="1"/>
        <v>7.7343350874382131E-3</v>
      </c>
      <c r="K16">
        <f t="shared" si="2"/>
        <v>7.7290410499052118E-3</v>
      </c>
      <c r="N16">
        <f t="shared" si="3"/>
        <v>7.653075212685068E-3</v>
      </c>
      <c r="O16">
        <f t="shared" si="4"/>
        <v>7.7290410499052118E-3</v>
      </c>
    </row>
    <row r="17" spans="1:15" x14ac:dyDescent="0.45">
      <c r="A17">
        <v>3.75</v>
      </c>
      <c r="B17">
        <f>EXP(C17)</f>
        <v>0.88518982707202476</v>
      </c>
      <c r="C17">
        <f>$C$14+($C$18-$C$14)*(A17-$A$14)/($A$18-$A$14)</f>
        <v>-0.12195316310803342</v>
      </c>
      <c r="G17">
        <f t="shared" si="0"/>
        <v>3.2520843495475578E-2</v>
      </c>
      <c r="H17">
        <f t="shared" si="5"/>
        <v>3.4626282589460544E-2</v>
      </c>
      <c r="J17">
        <f t="shared" si="1"/>
        <v>7.667956877011415E-3</v>
      </c>
      <c r="K17">
        <f t="shared" si="2"/>
        <v>7.66270827437791E-3</v>
      </c>
      <c r="N17">
        <f t="shared" si="3"/>
        <v>7.587394397057517E-3</v>
      </c>
      <c r="O17">
        <f t="shared" si="4"/>
        <v>7.66270827437791E-3</v>
      </c>
    </row>
    <row r="18" spans="1:15" x14ac:dyDescent="0.45">
      <c r="A18">
        <v>4</v>
      </c>
      <c r="B18">
        <v>0.87759288228688359</v>
      </c>
      <c r="C18">
        <f>LN(B18)</f>
        <v>-0.13057248048371958</v>
      </c>
      <c r="D18">
        <f>(1-B18)/(SUM($B$3:B18) *0.25)</f>
        <v>3.2699999999999986E-2</v>
      </c>
      <c r="E18">
        <f>VLOOKUP(A18,Sheet1!$J$15:$K$25,2)/100</f>
        <v>3.27E-2</v>
      </c>
      <c r="F18">
        <f>D18-E18</f>
        <v>0</v>
      </c>
      <c r="G18">
        <f t="shared" si="0"/>
        <v>3.2643120120929896E-2</v>
      </c>
      <c r="H18">
        <f t="shared" si="5"/>
        <v>3.4626282589460544E-2</v>
      </c>
      <c r="J18">
        <f t="shared" si="1"/>
        <v>7.6021483428101288E-3</v>
      </c>
      <c r="K18">
        <f t="shared" si="2"/>
        <v>7.5969447851412034E-3</v>
      </c>
      <c r="N18">
        <f t="shared" si="3"/>
        <v>7.5222772724197464E-3</v>
      </c>
      <c r="O18">
        <f t="shared" si="4"/>
        <v>7.5969447851412034E-3</v>
      </c>
    </row>
    <row r="19" spans="1:15" x14ac:dyDescent="0.45">
      <c r="A19">
        <v>4.25</v>
      </c>
      <c r="B19">
        <f>EXP(C19)</f>
        <v>0.86984075183948473</v>
      </c>
      <c r="C19">
        <f>$C$18+($C$22-$C$18)*(A19-$A$18)/($A$22-$A$18)</f>
        <v>-0.13944512795074124</v>
      </c>
      <c r="G19">
        <f t="shared" si="0"/>
        <v>3.2810618341350878E-2</v>
      </c>
      <c r="H19">
        <f t="shared" si="5"/>
        <v>3.5648504308427142E-2</v>
      </c>
      <c r="J19">
        <f t="shared" si="1"/>
        <v>7.5349955128095362E-3</v>
      </c>
      <c r="K19">
        <f t="shared" si="2"/>
        <v>7.752130447398844E-3</v>
      </c>
      <c r="N19">
        <f t="shared" si="3"/>
        <v>7.4558299756671293E-3</v>
      </c>
      <c r="O19">
        <f t="shared" si="4"/>
        <v>7.752130447398844E-3</v>
      </c>
    </row>
    <row r="20" spans="1:15" x14ac:dyDescent="0.45">
      <c r="A20">
        <v>4.5</v>
      </c>
      <c r="B20">
        <f>EXP(C20)</f>
        <v>0.8621570990742623</v>
      </c>
      <c r="C20">
        <f>$C$18+($C$22-$C$18)*(A20-$A$18)/($A$22-$A$18)</f>
        <v>-0.14831777541776292</v>
      </c>
      <c r="G20">
        <f t="shared" si="0"/>
        <v>3.2959505648391757E-2</v>
      </c>
      <c r="H20">
        <f t="shared" si="5"/>
        <v>3.5648504308427142E-2</v>
      </c>
      <c r="J20">
        <f t="shared" si="1"/>
        <v>7.4684358707307972E-3</v>
      </c>
      <c r="K20">
        <f t="shared" si="2"/>
        <v>7.6836527652224713E-3</v>
      </c>
      <c r="N20">
        <f t="shared" si="3"/>
        <v>7.3899696345777815E-3</v>
      </c>
      <c r="O20">
        <f t="shared" si="4"/>
        <v>7.6836527652224713E-3</v>
      </c>
    </row>
    <row r="21" spans="1:15" x14ac:dyDescent="0.45">
      <c r="A21">
        <v>4.75</v>
      </c>
      <c r="B21">
        <f>EXP(C21)</f>
        <v>0.85454131910034292</v>
      </c>
      <c r="C21">
        <f>$C$18+($C$22-$C$18)*(A21-$A$18)/($A$22-$A$18)</f>
        <v>-0.15719042288478458</v>
      </c>
      <c r="G21">
        <f t="shared" si="0"/>
        <v>3.3092720607323066E-2</v>
      </c>
      <c r="H21">
        <f t="shared" si="5"/>
        <v>3.5648504308427142E-2</v>
      </c>
      <c r="J21">
        <f t="shared" si="1"/>
        <v>7.4024641767067205E-3</v>
      </c>
      <c r="K21">
        <f t="shared" si="2"/>
        <v>7.615779973919397E-3</v>
      </c>
      <c r="N21">
        <f t="shared" si="3"/>
        <v>7.3246910643365573E-3</v>
      </c>
      <c r="O21">
        <f t="shared" si="4"/>
        <v>7.615779973919397E-3</v>
      </c>
    </row>
    <row r="22" spans="1:15" x14ac:dyDescent="0.45">
      <c r="A22">
        <v>5</v>
      </c>
      <c r="B22">
        <v>0.84699281237009738</v>
      </c>
      <c r="C22">
        <f>LN(B22)</f>
        <v>-0.16606307035180623</v>
      </c>
      <c r="D22">
        <f>(1-B22)/(SUM($B$3:B22) *0.25)</f>
        <v>3.3250000000000009E-2</v>
      </c>
      <c r="E22">
        <f>VLOOKUP(A22,Sheet1!$J$15:$K$25,2)/100</f>
        <v>3.3250000000000002E-2</v>
      </c>
      <c r="F22">
        <f>D22-E22</f>
        <v>0</v>
      </c>
      <c r="G22">
        <f t="shared" si="0"/>
        <v>3.3212614070361246E-2</v>
      </c>
      <c r="H22">
        <f t="shared" si="5"/>
        <v>3.5648504308427142E-2</v>
      </c>
      <c r="J22">
        <f t="shared" si="1"/>
        <v>7.3370752371559687E-3</v>
      </c>
      <c r="K22">
        <f t="shared" si="2"/>
        <v>7.5485067302455593E-3</v>
      </c>
      <c r="N22">
        <f t="shared" si="3"/>
        <v>7.2599891259278633E-3</v>
      </c>
      <c r="O22">
        <f t="shared" si="4"/>
        <v>7.5485067302455593E-3</v>
      </c>
    </row>
    <row r="23" spans="1:15" x14ac:dyDescent="0.45">
      <c r="A23">
        <v>5.25</v>
      </c>
      <c r="B23">
        <f t="shared" ref="B23:B29" si="6">EXP(C23)</f>
        <v>0.83939274662280328</v>
      </c>
      <c r="C23">
        <f>$C$22+($C$30-$C$22)*(A23-$A$22)/($A$30-$A$22)</f>
        <v>-0.17507656926508122</v>
      </c>
      <c r="G23">
        <f t="shared" si="0"/>
        <v>3.3347917955253568E-2</v>
      </c>
      <c r="H23">
        <f t="shared" si="5"/>
        <v>3.6216971270586207E-2</v>
      </c>
      <c r="J23">
        <f t="shared" si="1"/>
        <v>7.2712396676200336E-3</v>
      </c>
      <c r="K23">
        <f t="shared" si="2"/>
        <v>7.6000657472941281E-3</v>
      </c>
      <c r="N23">
        <f t="shared" si="3"/>
        <v>7.1948452499989825E-3</v>
      </c>
      <c r="O23">
        <f t="shared" si="4"/>
        <v>7.6000657472941281E-3</v>
      </c>
    </row>
    <row r="24" spans="1:15" x14ac:dyDescent="0.45">
      <c r="A24">
        <v>5.5</v>
      </c>
      <c r="B24">
        <f t="shared" si="6"/>
        <v>0.83186087625865723</v>
      </c>
      <c r="C24">
        <f t="shared" ref="C24:C29" si="7">$C$22+($C$30-$C$22)*(A24-$A$22)/($A$30-$A$22)</f>
        <v>-0.18409006817835621</v>
      </c>
      <c r="G24">
        <f t="shared" si="0"/>
        <v>3.3470921486973858E-2</v>
      </c>
      <c r="H24">
        <f t="shared" si="5"/>
        <v>3.6216971270586207E-2</v>
      </c>
      <c r="J24">
        <f t="shared" si="1"/>
        <v>7.2059948405906182E-3</v>
      </c>
      <c r="K24">
        <f t="shared" si="2"/>
        <v>7.5318703641461138E-3</v>
      </c>
      <c r="N24">
        <f t="shared" si="3"/>
        <v>7.1302859100105037E-3</v>
      </c>
      <c r="O24">
        <f t="shared" si="4"/>
        <v>7.5318703641461138E-3</v>
      </c>
    </row>
    <row r="25" spans="1:15" x14ac:dyDescent="0.45">
      <c r="A25">
        <v>5.75</v>
      </c>
      <c r="B25">
        <f t="shared" si="6"/>
        <v>0.82439658936054716</v>
      </c>
      <c r="C25">
        <f t="shared" si="7"/>
        <v>-0.19310356709163121</v>
      </c>
      <c r="G25">
        <f t="shared" si="0"/>
        <v>3.3583229059414126E-2</v>
      </c>
      <c r="H25">
        <f t="shared" si="5"/>
        <v>3.6216971270586207E-2</v>
      </c>
      <c r="J25">
        <f t="shared" si="1"/>
        <v>7.14133545533574E-3</v>
      </c>
      <c r="K25">
        <f t="shared" si="2"/>
        <v>7.4642868981100478E-3</v>
      </c>
      <c r="N25">
        <f t="shared" si="3"/>
        <v>7.0663058609219571E-3</v>
      </c>
      <c r="O25">
        <f t="shared" si="4"/>
        <v>7.4642868981100478E-3</v>
      </c>
    </row>
    <row r="26" spans="1:15" x14ac:dyDescent="0.45">
      <c r="A26">
        <v>6</v>
      </c>
      <c r="B26">
        <f t="shared" si="6"/>
        <v>0.81699927950209295</v>
      </c>
      <c r="C26">
        <f t="shared" si="7"/>
        <v>-0.2021170660049062</v>
      </c>
      <c r="G26">
        <f t="shared" si="0"/>
        <v>3.3686177667484364E-2</v>
      </c>
      <c r="H26">
        <f t="shared" si="5"/>
        <v>3.6216971270586207E-2</v>
      </c>
      <c r="J26">
        <f t="shared" si="1"/>
        <v>7.0772562586868806E-3</v>
      </c>
      <c r="K26">
        <f t="shared" si="2"/>
        <v>7.3973098584542325E-3</v>
      </c>
      <c r="N26">
        <f t="shared" si="3"/>
        <v>7.0028999047566168E-3</v>
      </c>
      <c r="O26">
        <f t="shared" si="4"/>
        <v>7.3973098584542325E-3</v>
      </c>
    </row>
    <row r="27" spans="1:15" x14ac:dyDescent="0.45">
      <c r="A27">
        <v>6.25</v>
      </c>
      <c r="B27">
        <f t="shared" si="6"/>
        <v>0.80966834569837765</v>
      </c>
      <c r="C27">
        <f t="shared" si="7"/>
        <v>-0.21113056491818116</v>
      </c>
      <c r="G27">
        <f t="shared" si="0"/>
        <v>3.3780890386908985E-2</v>
      </c>
      <c r="H27">
        <f t="shared" si="5"/>
        <v>3.6216971270586207E-2</v>
      </c>
      <c r="J27">
        <f t="shared" si="1"/>
        <v>7.0137520446121966E-3</v>
      </c>
      <c r="K27">
        <f t="shared" si="2"/>
        <v>7.3309338037153013E-3</v>
      </c>
      <c r="N27">
        <f t="shared" si="3"/>
        <v>6.9400628901791963E-3</v>
      </c>
      <c r="O27">
        <f t="shared" si="4"/>
        <v>7.3309338037153013E-3</v>
      </c>
    </row>
    <row r="28" spans="1:15" x14ac:dyDescent="0.45">
      <c r="A28">
        <v>6.5</v>
      </c>
      <c r="B28">
        <f t="shared" si="6"/>
        <v>0.80240319235712154</v>
      </c>
      <c r="C28">
        <f t="shared" si="7"/>
        <v>-0.22014406383145615</v>
      </c>
      <c r="G28">
        <f t="shared" si="0"/>
        <v>3.3868317512531713E-2</v>
      </c>
      <c r="H28">
        <f t="shared" si="5"/>
        <v>3.6216971270586207E-2</v>
      </c>
      <c r="J28">
        <f t="shared" si="1"/>
        <v>6.9508176537935651E-3</v>
      </c>
      <c r="K28">
        <f t="shared" si="2"/>
        <v>7.2651533412561317E-3</v>
      </c>
      <c r="N28">
        <f t="shared" si="3"/>
        <v>6.8777897120773377E-3</v>
      </c>
      <c r="O28">
        <f t="shared" si="4"/>
        <v>7.2651533412561317E-3</v>
      </c>
    </row>
    <row r="29" spans="1:15" x14ac:dyDescent="0.45">
      <c r="A29">
        <v>6.75</v>
      </c>
      <c r="B29">
        <f t="shared" si="6"/>
        <v>0.79520322923029385</v>
      </c>
      <c r="C29">
        <f t="shared" si="7"/>
        <v>-0.22915756274473115</v>
      </c>
      <c r="G29">
        <f t="shared" si="0"/>
        <v>3.3949268554774988E-2</v>
      </c>
      <c r="H29">
        <f t="shared" si="5"/>
        <v>3.6216971270586207E-2</v>
      </c>
      <c r="J29">
        <f t="shared" si="1"/>
        <v>6.8884479732074207E-3</v>
      </c>
      <c r="K29">
        <f t="shared" si="2"/>
        <v>7.1999631268277325E-3</v>
      </c>
      <c r="N29">
        <f t="shared" si="3"/>
        <v>6.8160753111468483E-3</v>
      </c>
      <c r="O29">
        <f t="shared" si="4"/>
        <v>7.1999631268277325E-3</v>
      </c>
    </row>
    <row r="30" spans="1:15" x14ac:dyDescent="0.45">
      <c r="A30">
        <v>7</v>
      </c>
      <c r="B30">
        <v>0.78806787136615886</v>
      </c>
      <c r="C30">
        <f>LN(B30)</f>
        <v>-0.23817106165800614</v>
      </c>
      <c r="D30">
        <f>(1-B30)/(SUM($B$3:B30) *0.25)</f>
        <v>3.4025000000000014E-2</v>
      </c>
      <c r="E30">
        <f>VLOOKUP(A30,Sheet1!$J$15:$K$25,2)/100</f>
        <v>3.4025E-2</v>
      </c>
      <c r="F30">
        <f>D30-E30</f>
        <v>0</v>
      </c>
      <c r="G30">
        <f t="shared" si="0"/>
        <v>3.402443737971516E-2</v>
      </c>
      <c r="H30">
        <f t="shared" si="5"/>
        <v>3.6216971270586207E-2</v>
      </c>
      <c r="J30">
        <f t="shared" si="1"/>
        <v>6.8266379357093511E-3</v>
      </c>
      <c r="K30">
        <f t="shared" si="2"/>
        <v>7.1353578641350501E-3</v>
      </c>
      <c r="N30">
        <f t="shared" si="3"/>
        <v>6.7549146734806713E-3</v>
      </c>
      <c r="O30">
        <f t="shared" si="4"/>
        <v>7.1353578641350501E-3</v>
      </c>
    </row>
    <row r="31" spans="1:15" x14ac:dyDescent="0.45">
      <c r="A31">
        <v>7.25</v>
      </c>
      <c r="B31">
        <f>EXP(C31)</f>
        <v>0.78096197171499204</v>
      </c>
      <c r="C31">
        <f>$C$30+($C$42-$C$30)*(A31-$A$30)/($A$42-$A$30)</f>
        <v>-0.24722882211411637</v>
      </c>
      <c r="G31">
        <f t="shared" si="0"/>
        <v>3.4100527188153984E-2</v>
      </c>
      <c r="H31">
        <f t="shared" si="5"/>
        <v>3.6395624414654826E-2</v>
      </c>
      <c r="J31">
        <f t="shared" si="1"/>
        <v>6.7650830799811188E-3</v>
      </c>
      <c r="K31">
        <f t="shared" si="2"/>
        <v>7.1058996511667843E-3</v>
      </c>
      <c r="N31">
        <f t="shared" si="3"/>
        <v>6.6940065365473159E-3</v>
      </c>
      <c r="O31">
        <f t="shared" si="4"/>
        <v>7.1058996511667843E-3</v>
      </c>
    </row>
    <row r="32" spans="1:15" x14ac:dyDescent="0.45">
      <c r="A32">
        <v>7.5</v>
      </c>
      <c r="B32">
        <f t="shared" ref="B32:B41" si="8">EXP(C32)</f>
        <v>0.77392014498404826</v>
      </c>
      <c r="C32">
        <f t="shared" ref="C32:C41" si="9">$C$30+($C$42-$C$30)*(A32-$A$30)/($A$42-$A$30)</f>
        <v>-0.25628658257022663</v>
      </c>
      <c r="G32">
        <f t="shared" si="0"/>
        <v>3.4171544342696883E-2</v>
      </c>
      <c r="H32">
        <f t="shared" si="5"/>
        <v>3.6395624414655714E-2</v>
      </c>
      <c r="J32">
        <f t="shared" si="1"/>
        <v>6.7040832559243178E-3</v>
      </c>
      <c r="K32">
        <f t="shared" si="2"/>
        <v>7.0418267309438291E-3</v>
      </c>
      <c r="N32">
        <f t="shared" si="3"/>
        <v>6.6336475999109312E-3</v>
      </c>
      <c r="O32">
        <f t="shared" si="4"/>
        <v>7.0418267309438291E-3</v>
      </c>
    </row>
    <row r="33" spans="1:15" x14ac:dyDescent="0.45">
      <c r="A33">
        <v>7.75</v>
      </c>
      <c r="B33">
        <f t="shared" si="8"/>
        <v>0.76694181343661494</v>
      </c>
      <c r="C33">
        <f t="shared" si="9"/>
        <v>-0.26534434302633686</v>
      </c>
      <c r="G33">
        <f t="shared" si="0"/>
        <v>3.4237979745333789E-2</v>
      </c>
      <c r="H33">
        <f t="shared" si="5"/>
        <v>3.6395624414654826E-2</v>
      </c>
      <c r="J33">
        <f t="shared" si="1"/>
        <v>6.6436334588946769E-3</v>
      </c>
      <c r="K33">
        <f t="shared" si="2"/>
        <v>6.9783315474333269E-3</v>
      </c>
      <c r="N33">
        <f t="shared" si="3"/>
        <v>6.5738329115079463E-3</v>
      </c>
      <c r="O33">
        <f t="shared" si="4"/>
        <v>6.9783315474333269E-3</v>
      </c>
    </row>
    <row r="34" spans="1:15" x14ac:dyDescent="0.45">
      <c r="A34">
        <v>8</v>
      </c>
      <c r="B34">
        <f t="shared" si="8"/>
        <v>0.76002640454535164</v>
      </c>
      <c r="C34">
        <f t="shared" si="9"/>
        <v>-0.27440210348244709</v>
      </c>
      <c r="G34">
        <f t="shared" si="0"/>
        <v>3.4300262935305886E-2</v>
      </c>
      <c r="H34">
        <f t="shared" si="5"/>
        <v>3.6395624414654826E-2</v>
      </c>
      <c r="J34">
        <f t="shared" si="1"/>
        <v>6.5837287293741085E-3</v>
      </c>
      <c r="K34">
        <f t="shared" si="2"/>
        <v>6.9154088912632816E-3</v>
      </c>
      <c r="N34">
        <f t="shared" si="3"/>
        <v>6.5145575639268634E-3</v>
      </c>
      <c r="O34">
        <f t="shared" si="4"/>
        <v>6.9154088912632816E-3</v>
      </c>
    </row>
    <row r="35" spans="1:15" x14ac:dyDescent="0.45">
      <c r="A35">
        <v>8.25</v>
      </c>
      <c r="B35">
        <f t="shared" si="8"/>
        <v>0.75317335094531834</v>
      </c>
      <c r="C35">
        <f t="shared" si="9"/>
        <v>-0.28345986393855732</v>
      </c>
      <c r="G35">
        <f t="shared" si="0"/>
        <v>3.4358771386491793E-2</v>
      </c>
      <c r="H35">
        <f t="shared" si="5"/>
        <v>3.6395624414655714E-2</v>
      </c>
      <c r="J35">
        <f t="shared" si="1"/>
        <v>6.5243641525638205E-3</v>
      </c>
      <c r="K35">
        <f t="shared" si="2"/>
        <v>6.8530536000333715E-3</v>
      </c>
      <c r="M35" t="s">
        <v>17</v>
      </c>
      <c r="N35">
        <f>SUM(N3:N34)</f>
        <v>0.23997358138060015</v>
      </c>
      <c r="O35">
        <f>SUM(O3:O34)</f>
        <v>0.23997359545464891</v>
      </c>
    </row>
    <row r="36" spans="1:15" x14ac:dyDescent="0.45">
      <c r="A36">
        <v>8.5</v>
      </c>
      <c r="B36">
        <f t="shared" si="8"/>
        <v>0.74638209038742687</v>
      </c>
      <c r="C36">
        <f t="shared" si="9"/>
        <v>-0.29251762439466755</v>
      </c>
      <c r="G36">
        <f t="shared" si="0"/>
        <v>3.4413838164078538E-2</v>
      </c>
      <c r="H36">
        <f t="shared" si="5"/>
        <v>3.6395624414654826E-2</v>
      </c>
      <c r="J36">
        <f t="shared" si="1"/>
        <v>6.4655348579810857E-3</v>
      </c>
      <c r="K36">
        <f t="shared" si="2"/>
        <v>6.7912605578914348E-3</v>
      </c>
    </row>
    <row r="37" spans="1:15" x14ac:dyDescent="0.45">
      <c r="A37">
        <v>8.75</v>
      </c>
      <c r="B37">
        <f t="shared" si="8"/>
        <v>0.73965206569231168</v>
      </c>
      <c r="C37">
        <f t="shared" si="9"/>
        <v>-0.30157538485077778</v>
      </c>
      <c r="G37">
        <f t="shared" si="0"/>
        <v>3.4465758268660315E-2</v>
      </c>
      <c r="H37">
        <f t="shared" si="5"/>
        <v>3.6395624414654826E-2</v>
      </c>
      <c r="J37">
        <f t="shared" si="1"/>
        <v>6.4072360190596499E-3</v>
      </c>
      <c r="K37">
        <f t="shared" si="2"/>
        <v>6.7300246951152434E-3</v>
      </c>
    </row>
    <row r="38" spans="1:15" x14ac:dyDescent="0.45">
      <c r="A38">
        <v>9</v>
      </c>
      <c r="B38">
        <f t="shared" si="8"/>
        <v>0.73298272470461667</v>
      </c>
      <c r="C38">
        <f t="shared" si="9"/>
        <v>-0.31063314530688801</v>
      </c>
      <c r="G38">
        <f t="shared" si="0"/>
        <v>3.4514793922987556E-2</v>
      </c>
      <c r="H38">
        <f t="shared" si="5"/>
        <v>3.6395624414655714E-2</v>
      </c>
      <c r="J38">
        <f t="shared" si="1"/>
        <v>6.3494628527537419E-3</v>
      </c>
      <c r="K38">
        <f t="shared" si="2"/>
        <v>6.6693409876950535E-3</v>
      </c>
    </row>
    <row r="39" spans="1:15" x14ac:dyDescent="0.45">
      <c r="A39">
        <v>9.25</v>
      </c>
      <c r="B39">
        <f t="shared" si="8"/>
        <v>0.72637352024769519</v>
      </c>
      <c r="C39">
        <f t="shared" si="9"/>
        <v>-0.3196909057629983</v>
      </c>
      <c r="G39">
        <f t="shared" si="0"/>
        <v>3.4561179001405221E-2</v>
      </c>
      <c r="H39">
        <f t="shared" si="5"/>
        <v>3.6395624414654826E-2</v>
      </c>
      <c r="J39">
        <f t="shared" si="1"/>
        <v>6.2922106191456596E-3</v>
      </c>
      <c r="K39">
        <f t="shared" si="2"/>
        <v>6.6092044569214465E-3</v>
      </c>
    </row>
    <row r="40" spans="1:15" x14ac:dyDescent="0.45">
      <c r="A40">
        <v>9.5</v>
      </c>
      <c r="B40">
        <f t="shared" si="8"/>
        <v>0.71982391007871682</v>
      </c>
      <c r="C40">
        <f t="shared" si="9"/>
        <v>-0.32874866621910853</v>
      </c>
      <c r="G40">
        <f t="shared" si="0"/>
        <v>3.4605122759906161E-2</v>
      </c>
      <c r="H40">
        <f t="shared" si="5"/>
        <v>3.6395624414654826E-2</v>
      </c>
      <c r="J40">
        <f t="shared" si="1"/>
        <v>6.2354746210568843E-3</v>
      </c>
      <c r="K40">
        <f t="shared" si="2"/>
        <v>6.5496101689783114E-3</v>
      </c>
    </row>
    <row r="41" spans="1:15" x14ac:dyDescent="0.45">
      <c r="A41">
        <v>9.75</v>
      </c>
      <c r="B41">
        <f t="shared" si="8"/>
        <v>0.71333335684418042</v>
      </c>
      <c r="C41">
        <f t="shared" si="9"/>
        <v>-0.33780642667521876</v>
      </c>
      <c r="G41">
        <f t="shared" si="0"/>
        <v>3.4646812992330127E-2</v>
      </c>
      <c r="H41">
        <f t="shared" si="5"/>
        <v>3.6395624414654826E-2</v>
      </c>
      <c r="J41">
        <f t="shared" si="1"/>
        <v>6.1792502036627133E-3</v>
      </c>
      <c r="K41">
        <f t="shared" si="2"/>
        <v>6.4905532345364341E-3</v>
      </c>
    </row>
    <row r="42" spans="1:15" x14ac:dyDescent="0.45">
      <c r="A42">
        <v>10</v>
      </c>
      <c r="B42">
        <v>0.70690132803582717</v>
      </c>
      <c r="C42">
        <f>LN(B42)</f>
        <v>-0.34686418713132899</v>
      </c>
      <c r="D42">
        <f>(1-B42)/(SUM($B$3:B42) *0.25)</f>
        <v>3.465E-2</v>
      </c>
      <c r="E42">
        <f>VLOOKUP(A42,Sheet1!$J$15:$K$25,2)/100</f>
        <v>3.465E-2</v>
      </c>
      <c r="F42">
        <f>D42-E42</f>
        <v>0</v>
      </c>
      <c r="G42">
        <f t="shared" si="0"/>
        <v>3.4686418713132897E-2</v>
      </c>
      <c r="H42">
        <f t="shared" si="5"/>
        <v>3.6395624414655714E-2</v>
      </c>
      <c r="J42">
        <f t="shared" si="1"/>
        <v>6.1235327541103533E-3</v>
      </c>
      <c r="K42">
        <f t="shared" si="2"/>
        <v>6.4320288083533246E-3</v>
      </c>
    </row>
    <row r="43" spans="1:15" x14ac:dyDescent="0.45">
      <c r="I43" t="s">
        <v>17</v>
      </c>
      <c r="J43">
        <f>SUM(J3:J42)</f>
        <v>0.29309867196417283</v>
      </c>
      <c r="K43">
        <f>SUM(K3:K42)</f>
        <v>0.29309867196417355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DC17-CEC1-4DA3-AB2A-7BC37FABCDAA}">
  <dimension ref="A1:O43"/>
  <sheetViews>
    <sheetView topLeftCell="A13" workbookViewId="0">
      <selection activeCell="O40" sqref="O40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  <col min="10" max="10" width="11.83203125" customWidth="1"/>
    <col min="11" max="11" width="11.5" bestFit="1" customWidth="1"/>
  </cols>
  <sheetData>
    <row r="1" spans="1:15" x14ac:dyDescent="0.45">
      <c r="A1" t="s">
        <v>2</v>
      </c>
      <c r="I1" t="s">
        <v>16</v>
      </c>
      <c r="J1">
        <f>Sheet1!B9/100</f>
        <v>3.465E-2</v>
      </c>
      <c r="M1" t="s">
        <v>40</v>
      </c>
      <c r="N1">
        <f>Sheet1!C33</f>
        <v>3.4285953882477946E-2</v>
      </c>
    </row>
    <row r="2" spans="1:15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J2" t="s">
        <v>14</v>
      </c>
      <c r="K2" t="s">
        <v>15</v>
      </c>
      <c r="N2" t="s">
        <v>4</v>
      </c>
      <c r="O2" t="s">
        <v>5</v>
      </c>
    </row>
    <row r="3" spans="1:15" x14ac:dyDescent="0.45">
      <c r="A3" cm="1">
        <f t="array" ref="A3:A42">_xlfn.SEQUENCE(40,,0.25,0.25)</f>
        <v>0.25</v>
      </c>
      <c r="B3">
        <f>1/(1+Sheet1!B2/100*0.25)</f>
        <v>0.99304865938430997</v>
      </c>
      <c r="C3">
        <f>LN(B3)</f>
        <v>-6.9756137364250992E-3</v>
      </c>
      <c r="G3">
        <f>-C3/A3</f>
        <v>2.7902454945700397E-2</v>
      </c>
      <c r="H3">
        <f>(1/B3-1)/0.25</f>
        <v>2.7999999999999581E-2</v>
      </c>
      <c r="J3">
        <f>$J$1*0.25*B3</f>
        <v>8.6022840119165857E-3</v>
      </c>
      <c r="K3">
        <f>H3*0.25*B3</f>
        <v>6.9513406156900661E-3</v>
      </c>
      <c r="N3">
        <f>$N$1*0.25*B3</f>
        <v>8.5119051346767508E-3</v>
      </c>
      <c r="O3">
        <f>B3*0.25*H3</f>
        <v>6.9513406156900661E-3</v>
      </c>
    </row>
    <row r="4" spans="1:15" x14ac:dyDescent="0.45">
      <c r="A4">
        <v>0.5</v>
      </c>
      <c r="B4">
        <f>EXP(C4)</f>
        <v>0.98576081333172305</v>
      </c>
      <c r="C4">
        <f>$C$3+($C$6-$C$3)*(A4-$A$3)/($A$6-$A$3)</f>
        <v>-1.43415366353421E-2</v>
      </c>
      <c r="G4">
        <f t="shared" ref="G4:G42" si="0">-C4/A4</f>
        <v>2.8683073270684201E-2</v>
      </c>
      <c r="H4">
        <f>(B3/B4-1)/0.25</f>
        <v>2.957247216170078E-2</v>
      </c>
      <c r="J4">
        <f t="shared" ref="J4:J42" si="1">$J$1*0.25*B4</f>
        <v>8.5391530454860514E-3</v>
      </c>
      <c r="K4">
        <f t="shared" ref="K4:K42" si="2">H4*0.25*B4</f>
        <v>7.2878460525869744E-3</v>
      </c>
      <c r="N4">
        <f t="shared" ref="N4:N34" si="3">$N$1*0.25*B4</f>
        <v>8.4494374462613514E-3</v>
      </c>
      <c r="O4">
        <f t="shared" ref="O4:O34" si="4">B4*0.25*H4</f>
        <v>7.2878460525869744E-3</v>
      </c>
    </row>
    <row r="5" spans="1:15" x14ac:dyDescent="0.45">
      <c r="A5">
        <v>0.75</v>
      </c>
      <c r="B5">
        <f>EXP(C5)</f>
        <v>0.97852645176812303</v>
      </c>
      <c r="C5">
        <f>$C$3+($C$6-$C$3)*(A5-$A$3)/($A$6-$A$3)</f>
        <v>-2.1707459534259101E-2</v>
      </c>
      <c r="G5">
        <f t="shared" si="0"/>
        <v>2.8943279379012133E-2</v>
      </c>
      <c r="H5">
        <f t="shared" ref="H5:H42" si="5">(B4/B5-1)/0.25</f>
        <v>2.9572472161699892E-2</v>
      </c>
      <c r="J5">
        <f t="shared" si="1"/>
        <v>8.4764853884413665E-3</v>
      </c>
      <c r="K5">
        <f t="shared" si="2"/>
        <v>7.2343615635999479E-3</v>
      </c>
      <c r="N5">
        <f t="shared" si="3"/>
        <v>8.3874281995266614E-3</v>
      </c>
      <c r="O5">
        <f t="shared" si="4"/>
        <v>7.2343615635999479E-3</v>
      </c>
    </row>
    <row r="6" spans="1:15" x14ac:dyDescent="0.45">
      <c r="A6">
        <v>1</v>
      </c>
      <c r="B6">
        <v>0.97134518217828081</v>
      </c>
      <c r="C6">
        <f>LN(B6)</f>
        <v>-2.9073382433176101E-2</v>
      </c>
      <c r="D6">
        <f>(1-B6)/(SUM($B$3:B6) *0.25)</f>
        <v>2.9175000000000045E-2</v>
      </c>
      <c r="E6">
        <f>VLOOKUP(A6,Sheet1!$M$15:$N$25,2)/100</f>
        <v>2.9175E-2</v>
      </c>
      <c r="F6">
        <f>D6-E6</f>
        <v>4.5102810375396984E-17</v>
      </c>
      <c r="G6">
        <f t="shared" si="0"/>
        <v>2.9073382433176101E-2</v>
      </c>
      <c r="H6">
        <f t="shared" si="5"/>
        <v>2.9572472161699892E-2</v>
      </c>
      <c r="J6">
        <f t="shared" si="1"/>
        <v>8.4142776406193574E-3</v>
      </c>
      <c r="K6">
        <f t="shared" si="2"/>
        <v>7.1812695898421297E-3</v>
      </c>
      <c r="N6">
        <f t="shared" si="3"/>
        <v>8.3258740300329193E-3</v>
      </c>
      <c r="O6">
        <f t="shared" si="4"/>
        <v>7.1812695898421297E-3</v>
      </c>
    </row>
    <row r="7" spans="1:15" x14ac:dyDescent="0.45">
      <c r="A7">
        <v>1.25</v>
      </c>
      <c r="B7">
        <f>EXP(C7)</f>
        <v>0.96348575362774336</v>
      </c>
      <c r="C7">
        <f>$C$6+($C$10-$C$6)*(A7-$A$6)/($A$10-$A$6)</f>
        <v>-3.7197577300608041E-2</v>
      </c>
      <c r="G7">
        <f t="shared" si="0"/>
        <v>2.9758061840486433E-2</v>
      </c>
      <c r="H7">
        <f t="shared" si="5"/>
        <v>3.2629142759796892E-2</v>
      </c>
      <c r="J7">
        <f t="shared" si="1"/>
        <v>8.3461953408003262E-3</v>
      </c>
      <c r="K7">
        <f t="shared" si="2"/>
        <v>7.8594285505375339E-3</v>
      </c>
      <c r="N7">
        <f t="shared" si="3"/>
        <v>8.2585070288263285E-3</v>
      </c>
      <c r="O7">
        <f t="shared" si="4"/>
        <v>7.8594285505375339E-3</v>
      </c>
    </row>
    <row r="8" spans="1:15" x14ac:dyDescent="0.45">
      <c r="A8">
        <v>1.5</v>
      </c>
      <c r="B8">
        <f>EXP(C8)</f>
        <v>0.95568991793613434</v>
      </c>
      <c r="C8">
        <f>$C$6+($C$10-$C$6)*(A8-$A$6)/($A$10-$A$6)</f>
        <v>-4.5321772168039981E-2</v>
      </c>
      <c r="G8">
        <f t="shared" si="0"/>
        <v>3.021451477869332E-2</v>
      </c>
      <c r="H8">
        <f t="shared" si="5"/>
        <v>3.2629142759796004E-2</v>
      </c>
      <c r="J8">
        <f t="shared" si="1"/>
        <v>8.278663914121763E-3</v>
      </c>
      <c r="K8">
        <f t="shared" si="2"/>
        <v>7.7958356916089638E-3</v>
      </c>
      <c r="N8">
        <f t="shared" si="3"/>
        <v>8.1916851130768593E-3</v>
      </c>
      <c r="O8">
        <f t="shared" si="4"/>
        <v>7.7958356916089638E-3</v>
      </c>
    </row>
    <row r="9" spans="1:15" x14ac:dyDescent="0.45">
      <c r="A9">
        <v>1.75</v>
      </c>
      <c r="B9">
        <f>EXP(C9)</f>
        <v>0.94795716055564905</v>
      </c>
      <c r="C9">
        <f>$C$6+($C$10-$C$6)*(A9-$A$6)/($A$10-$A$6)</f>
        <v>-5.3445967035471921E-2</v>
      </c>
      <c r="G9">
        <f t="shared" si="0"/>
        <v>3.0540552591698241E-2</v>
      </c>
      <c r="H9">
        <f t="shared" si="5"/>
        <v>3.2629142759796004E-2</v>
      </c>
      <c r="J9">
        <f t="shared" si="1"/>
        <v>8.2116789033133096E-3</v>
      </c>
      <c r="K9">
        <f t="shared" si="2"/>
        <v>7.7327573804852837E-3</v>
      </c>
      <c r="N9">
        <f t="shared" si="3"/>
        <v>8.1254038723439313E-3</v>
      </c>
      <c r="O9">
        <f t="shared" si="4"/>
        <v>7.7327573804852837E-3</v>
      </c>
    </row>
    <row r="10" spans="1:15" x14ac:dyDescent="0.45">
      <c r="A10">
        <v>2</v>
      </c>
      <c r="B10">
        <v>0.94028697110183446</v>
      </c>
      <c r="C10">
        <f>LN(B10)</f>
        <v>-6.1570161902903861E-2</v>
      </c>
      <c r="D10">
        <f>(1-B10)/(SUM($B$3:B10) *0.25)</f>
        <v>3.0874999999999986E-2</v>
      </c>
      <c r="E10">
        <f>VLOOKUP(A10,Sheet1!$M$15:$N$25,2)/100</f>
        <v>3.0875E-2</v>
      </c>
      <c r="F10">
        <f>D10-E10</f>
        <v>0</v>
      </c>
      <c r="G10">
        <f t="shared" si="0"/>
        <v>3.0785080951451931E-2</v>
      </c>
      <c r="H10">
        <f t="shared" si="5"/>
        <v>3.2629142759796892E-2</v>
      </c>
      <c r="J10">
        <f t="shared" si="1"/>
        <v>8.1452358871696405E-3</v>
      </c>
      <c r="K10">
        <f t="shared" si="2"/>
        <v>7.6701894538146924E-3</v>
      </c>
      <c r="N10">
        <f t="shared" si="3"/>
        <v>8.0596589318730916E-3</v>
      </c>
      <c r="O10">
        <f t="shared" si="4"/>
        <v>7.6701894538146924E-3</v>
      </c>
    </row>
    <row r="11" spans="1:15" x14ac:dyDescent="0.45">
      <c r="A11">
        <v>2.25</v>
      </c>
      <c r="B11">
        <f>EXP(C11)</f>
        <v>0.93227780471949828</v>
      </c>
      <c r="C11">
        <f>$C$10+($C$14-$C$10)*(A11-$A$10)/($A$14-$A$10)</f>
        <v>-7.0124434978328071E-2</v>
      </c>
      <c r="G11">
        <f t="shared" si="0"/>
        <v>3.1166415545923587E-2</v>
      </c>
      <c r="H11">
        <f t="shared" si="5"/>
        <v>3.4363861680675178E-2</v>
      </c>
      <c r="J11">
        <f t="shared" si="1"/>
        <v>8.0758564833826544E-3</v>
      </c>
      <c r="K11">
        <f t="shared" si="2"/>
        <v>8.0091663823360863E-3</v>
      </c>
      <c r="N11">
        <f t="shared" si="3"/>
        <v>7.991008454567624E-3</v>
      </c>
      <c r="O11">
        <f t="shared" si="4"/>
        <v>8.0091663823360863E-3</v>
      </c>
    </row>
    <row r="12" spans="1:15" x14ac:dyDescent="0.45">
      <c r="A12">
        <v>2.5</v>
      </c>
      <c r="B12">
        <f>EXP(C12)</f>
        <v>0.92433685872956517</v>
      </c>
      <c r="C12">
        <f>$C$10+($C$14-$C$10)*(A12-$A$10)/($A$14-$A$10)</f>
        <v>-7.8678708053752267E-2</v>
      </c>
      <c r="G12">
        <f t="shared" si="0"/>
        <v>3.1471483221500909E-2</v>
      </c>
      <c r="H12">
        <f t="shared" si="5"/>
        <v>3.4363861680675178E-2</v>
      </c>
      <c r="J12">
        <f t="shared" si="1"/>
        <v>8.0070680387448589E-3</v>
      </c>
      <c r="K12">
        <f t="shared" si="2"/>
        <v>7.940945989933142E-3</v>
      </c>
      <c r="N12">
        <f t="shared" si="3"/>
        <v>7.922942727569101E-3</v>
      </c>
      <c r="O12">
        <f t="shared" si="4"/>
        <v>7.940945989933142E-3</v>
      </c>
    </row>
    <row r="13" spans="1:15" x14ac:dyDescent="0.45">
      <c r="A13">
        <v>2.75</v>
      </c>
      <c r="B13">
        <f>EXP(C13)</f>
        <v>0.91646355204510055</v>
      </c>
      <c r="C13">
        <f>$C$10+($C$14-$C$10)*(A13-$A$10)/($A$14-$A$10)</f>
        <v>-8.7232981129176476E-2</v>
      </c>
      <c r="G13">
        <f t="shared" si="0"/>
        <v>3.1721084046973262E-2</v>
      </c>
      <c r="H13">
        <f t="shared" si="5"/>
        <v>3.4363861680675178E-2</v>
      </c>
      <c r="J13">
        <f t="shared" si="1"/>
        <v>7.9388655195906828E-3</v>
      </c>
      <c r="K13">
        <f t="shared" si="2"/>
        <v>7.8733066844645233E-3</v>
      </c>
      <c r="N13">
        <f t="shared" si="3"/>
        <v>7.8554567700975606E-3</v>
      </c>
      <c r="O13">
        <f t="shared" si="4"/>
        <v>7.8733066844645233E-3</v>
      </c>
    </row>
    <row r="14" spans="1:15" x14ac:dyDescent="0.45">
      <c r="A14">
        <v>3</v>
      </c>
      <c r="B14">
        <v>0.90865730852874638</v>
      </c>
      <c r="C14">
        <f>LN(B14)</f>
        <v>-9.5787254204600686E-2</v>
      </c>
      <c r="D14">
        <f>(1-B14)/(SUM($B$3:B14) *0.25)</f>
        <v>3.199999999999998E-2</v>
      </c>
      <c r="E14">
        <f>VLOOKUP(A14,Sheet1!$M$15:$N$25,2)/100</f>
        <v>3.2000000000000001E-2</v>
      </c>
      <c r="F14">
        <f>D14-E14</f>
        <v>0</v>
      </c>
      <c r="G14">
        <f t="shared" si="0"/>
        <v>3.1929084734866893E-2</v>
      </c>
      <c r="H14">
        <f t="shared" si="5"/>
        <v>3.4363861680675178E-2</v>
      </c>
      <c r="J14">
        <f t="shared" si="1"/>
        <v>7.8712439351302649E-3</v>
      </c>
      <c r="K14">
        <f t="shared" si="2"/>
        <v>7.8062435163541079E-3</v>
      </c>
      <c r="N14">
        <f t="shared" si="3"/>
        <v>7.7885456437982829E-3</v>
      </c>
      <c r="O14">
        <f t="shared" si="4"/>
        <v>7.8062435163541079E-3</v>
      </c>
    </row>
    <row r="15" spans="1:15" x14ac:dyDescent="0.45">
      <c r="A15">
        <v>3.25</v>
      </c>
      <c r="B15">
        <f>EXP(C15)</f>
        <v>0.90069317206594157</v>
      </c>
      <c r="C15">
        <f>$C$14+($C$18-$C$14)*(A15-$A$14)/($A$18-$A$14)</f>
        <v>-0.10459062091847388</v>
      </c>
      <c r="G15">
        <f t="shared" si="0"/>
        <v>3.2181729513376577E-2</v>
      </c>
      <c r="H15">
        <f t="shared" si="5"/>
        <v>3.5368921225581218E-2</v>
      </c>
      <c r="J15">
        <f t="shared" si="1"/>
        <v>7.8022546030212187E-3</v>
      </c>
      <c r="K15">
        <f t="shared" si="2"/>
        <v>7.9641364628047894E-3</v>
      </c>
      <c r="N15">
        <f t="shared" si="3"/>
        <v>7.7202811399289112E-3</v>
      </c>
      <c r="O15">
        <f t="shared" si="4"/>
        <v>7.9641364628047894E-3</v>
      </c>
    </row>
    <row r="16" spans="1:15" x14ac:dyDescent="0.45">
      <c r="A16">
        <v>3.5</v>
      </c>
      <c r="B16">
        <f>EXP(C16)</f>
        <v>0.89279883911322011</v>
      </c>
      <c r="C16">
        <f>$C$14+($C$18-$C$14)*(A16-$A$14)/($A$18-$A$14)</f>
        <v>-0.11339398763234705</v>
      </c>
      <c r="G16">
        <f t="shared" si="0"/>
        <v>3.2398282180670583E-2</v>
      </c>
      <c r="H16">
        <f t="shared" si="5"/>
        <v>3.5368921225581218E-2</v>
      </c>
      <c r="J16">
        <f t="shared" si="1"/>
        <v>7.7338699438182692E-3</v>
      </c>
      <c r="K16">
        <f t="shared" si="2"/>
        <v>7.8943329527214612E-3</v>
      </c>
      <c r="N16">
        <f t="shared" si="3"/>
        <v>7.6526149560414277E-3</v>
      </c>
      <c r="O16">
        <f t="shared" si="4"/>
        <v>7.8943329527214612E-3</v>
      </c>
    </row>
    <row r="17" spans="1:15" x14ac:dyDescent="0.45">
      <c r="A17">
        <v>3.75</v>
      </c>
      <c r="B17">
        <f>EXP(C17)</f>
        <v>0.88497369786162539</v>
      </c>
      <c r="C17">
        <f>$C$14+($C$18-$C$14)*(A17-$A$14)/($A$18-$A$14)</f>
        <v>-0.12219735434622023</v>
      </c>
      <c r="G17">
        <f t="shared" si="0"/>
        <v>3.2585961158992059E-2</v>
      </c>
      <c r="H17">
        <f t="shared" si="5"/>
        <v>3.5368921225581218E-2</v>
      </c>
      <c r="J17">
        <f t="shared" si="1"/>
        <v>7.6660846577263301E-3</v>
      </c>
      <c r="K17">
        <f t="shared" si="2"/>
        <v>7.8251412515947857E-3</v>
      </c>
      <c r="N17">
        <f t="shared" si="3"/>
        <v>7.5855418480224148E-3</v>
      </c>
      <c r="O17">
        <f t="shared" si="4"/>
        <v>7.8251412515947857E-3</v>
      </c>
    </row>
    <row r="18" spans="1:15" x14ac:dyDescent="0.45">
      <c r="A18">
        <v>4</v>
      </c>
      <c r="B18">
        <v>0.87721714186454125</v>
      </c>
      <c r="C18">
        <f>LN(B18)</f>
        <v>-0.13100072106009342</v>
      </c>
      <c r="D18">
        <f>(1-B18)/(SUM($B$3:B18) *0.25)</f>
        <v>3.2800000000000003E-2</v>
      </c>
      <c r="E18">
        <f>VLOOKUP(A18,Sheet1!$M$15:$N$25,2)/100</f>
        <v>3.2799999999999996E-2</v>
      </c>
      <c r="F18">
        <f>D18-E18</f>
        <v>0</v>
      </c>
      <c r="G18">
        <f t="shared" si="0"/>
        <v>3.2750180265023354E-2</v>
      </c>
      <c r="H18">
        <f t="shared" si="5"/>
        <v>3.5368921225581218E-2</v>
      </c>
      <c r="J18">
        <f t="shared" si="1"/>
        <v>7.5988934914015885E-3</v>
      </c>
      <c r="K18">
        <f t="shared" si="2"/>
        <v>7.7565559970841158E-3</v>
      </c>
      <c r="N18">
        <f t="shared" si="3"/>
        <v>7.5190566177216938E-3</v>
      </c>
      <c r="O18">
        <f t="shared" si="4"/>
        <v>7.7565559970841158E-3</v>
      </c>
    </row>
    <row r="19" spans="1:15" x14ac:dyDescent="0.45">
      <c r="A19">
        <v>4.25</v>
      </c>
      <c r="B19">
        <f>EXP(C19)</f>
        <v>0.86956222298941954</v>
      </c>
      <c r="C19">
        <f>$C$18+($C$22-$C$18)*(A19-$A$18)/($A$22-$A$18)</f>
        <v>-0.1397653859432553</v>
      </c>
      <c r="G19">
        <f t="shared" si="0"/>
        <v>3.2885973163118892E-2</v>
      </c>
      <c r="H19">
        <f t="shared" si="5"/>
        <v>3.5212748082846801E-2</v>
      </c>
      <c r="J19">
        <f t="shared" si="1"/>
        <v>7.532582756645847E-3</v>
      </c>
      <c r="K19">
        <f t="shared" si="2"/>
        <v>7.6549188751216714E-3</v>
      </c>
      <c r="N19">
        <f t="shared" si="3"/>
        <v>7.4534425688400604E-3</v>
      </c>
      <c r="O19">
        <f t="shared" si="4"/>
        <v>7.6549188751216714E-3</v>
      </c>
    </row>
    <row r="20" spans="1:15" x14ac:dyDescent="0.45">
      <c r="A20">
        <v>4.5</v>
      </c>
      <c r="B20">
        <f>EXP(C20)</f>
        <v>0.86197410374712324</v>
      </c>
      <c r="C20">
        <f>$C$18+($C$22-$C$18)*(A20-$A$18)/($A$22-$A$18)</f>
        <v>-0.14853005082641718</v>
      </c>
      <c r="G20">
        <f t="shared" si="0"/>
        <v>3.3006677961426041E-2</v>
      </c>
      <c r="H20">
        <f t="shared" si="5"/>
        <v>3.5212748082846801E-2</v>
      </c>
      <c r="J20">
        <f t="shared" si="1"/>
        <v>7.4668506737094551E-3</v>
      </c>
      <c r="K20">
        <f t="shared" si="2"/>
        <v>7.5881192422962759E-3</v>
      </c>
      <c r="N20">
        <f t="shared" si="3"/>
        <v>7.3884010922410318E-3</v>
      </c>
      <c r="O20">
        <f t="shared" si="4"/>
        <v>7.5881192422962759E-3</v>
      </c>
    </row>
    <row r="21" spans="1:15" x14ac:dyDescent="0.45">
      <c r="A21">
        <v>4.75</v>
      </c>
      <c r="B21">
        <f>EXP(C21)</f>
        <v>0.85445220121952892</v>
      </c>
      <c r="C21">
        <f>$C$18+($C$22-$C$18)*(A21-$A$18)/($A$22-$A$18)</f>
        <v>-0.15729471570957904</v>
      </c>
      <c r="G21">
        <f t="shared" si="0"/>
        <v>3.3114676991490323E-2</v>
      </c>
      <c r="H21">
        <f t="shared" si="5"/>
        <v>3.5212748082846801E-2</v>
      </c>
      <c r="J21">
        <f t="shared" si="1"/>
        <v>7.4016921930641693E-3</v>
      </c>
      <c r="K21">
        <f t="shared" si="2"/>
        <v>7.5219025275942986E-3</v>
      </c>
      <c r="N21">
        <f t="shared" si="3"/>
        <v>7.3239271914486339E-3</v>
      </c>
      <c r="O21">
        <f t="shared" si="4"/>
        <v>7.5219025275942986E-3</v>
      </c>
    </row>
    <row r="22" spans="1:15" x14ac:dyDescent="0.45">
      <c r="A22">
        <v>5</v>
      </c>
      <c r="B22">
        <v>0.8469959375752707</v>
      </c>
      <c r="C22">
        <f>LN(B22)</f>
        <v>-0.16605938059274092</v>
      </c>
      <c r="D22">
        <f>(1-B22)/(SUM($B$3:B22) *0.25)</f>
        <v>3.3249999999999981E-2</v>
      </c>
      <c r="E22">
        <f>VLOOKUP(A22,Sheet1!$M$15:$N$25,2)/100</f>
        <v>3.3250000000000002E-2</v>
      </c>
      <c r="F22">
        <f>D22-E22</f>
        <v>0</v>
      </c>
      <c r="G22">
        <f t="shared" si="0"/>
        <v>3.3211876118548186E-2</v>
      </c>
      <c r="H22">
        <f t="shared" si="5"/>
        <v>3.5212748082846801E-2</v>
      </c>
      <c r="J22">
        <f t="shared" si="1"/>
        <v>7.3371023092457825E-3</v>
      </c>
      <c r="K22">
        <f t="shared" si="2"/>
        <v>7.4562636442581601E-3</v>
      </c>
      <c r="N22">
        <f t="shared" si="3"/>
        <v>7.2600159135879751E-3</v>
      </c>
      <c r="O22">
        <f t="shared" si="4"/>
        <v>7.4562636442581601E-3</v>
      </c>
    </row>
    <row r="23" spans="1:15" x14ac:dyDescent="0.45">
      <c r="A23">
        <v>5.25</v>
      </c>
      <c r="B23">
        <f t="shared" ref="B23:B29" si="6">EXP(C23)</f>
        <v>0.8393958548050664</v>
      </c>
      <c r="C23">
        <f>$C$22+($C$30-$C$22)*(A23-$A$22)/($A$30-$A$22)</f>
        <v>-0.17507286637805836</v>
      </c>
      <c r="G23">
        <f t="shared" si="0"/>
        <v>3.3347212643439685E-2</v>
      </c>
      <c r="H23">
        <f t="shared" si="5"/>
        <v>3.6216918283301425E-2</v>
      </c>
      <c r="J23">
        <f t="shared" si="1"/>
        <v>7.2712665922488881E-3</v>
      </c>
      <c r="K23">
        <f t="shared" si="2"/>
        <v>7.6000827702042591E-3</v>
      </c>
      <c r="N23">
        <f t="shared" si="3"/>
        <v>7.1948718917474149E-3</v>
      </c>
      <c r="O23">
        <f t="shared" si="4"/>
        <v>7.6000827702042591E-3</v>
      </c>
    </row>
    <row r="24" spans="1:15" x14ac:dyDescent="0.45">
      <c r="A24">
        <v>5.5</v>
      </c>
      <c r="B24">
        <f t="shared" si="6"/>
        <v>0.83186396747187841</v>
      </c>
      <c r="C24">
        <f t="shared" ref="C24:C29" si="7">$C$22+($C$30-$C$22)*(A24-$A$22)/($A$30-$A$22)</f>
        <v>-0.18408635216337582</v>
      </c>
      <c r="G24">
        <f t="shared" si="0"/>
        <v>3.3470245847886514E-2</v>
      </c>
      <c r="H24">
        <f t="shared" si="5"/>
        <v>3.6216918283301425E-2</v>
      </c>
      <c r="J24">
        <f t="shared" si="1"/>
        <v>7.2060216182251464E-3</v>
      </c>
      <c r="K24">
        <f t="shared" si="2"/>
        <v>7.5318873331879834E-3</v>
      </c>
      <c r="N24">
        <f t="shared" si="3"/>
        <v>7.1303124063089897E-3</v>
      </c>
      <c r="O24">
        <f t="shared" si="4"/>
        <v>7.5318873331879834E-3</v>
      </c>
    </row>
    <row r="25" spans="1:15" x14ac:dyDescent="0.45">
      <c r="A25">
        <v>5.75</v>
      </c>
      <c r="B25">
        <f t="shared" si="6"/>
        <v>0.82439966365899864</v>
      </c>
      <c r="C25">
        <f t="shared" si="7"/>
        <v>-0.19309983794869326</v>
      </c>
      <c r="G25">
        <f t="shared" si="0"/>
        <v>3.3582580512816221E-2</v>
      </c>
      <c r="H25">
        <f t="shared" si="5"/>
        <v>3.6216918283301425E-2</v>
      </c>
      <c r="J25">
        <f t="shared" si="1"/>
        <v>7.141362086446076E-3</v>
      </c>
      <c r="K25">
        <f t="shared" si="2"/>
        <v>7.4643038128797828E-3</v>
      </c>
      <c r="N25">
        <f t="shared" si="3"/>
        <v>7.0663322122356889E-3</v>
      </c>
      <c r="O25">
        <f t="shared" si="4"/>
        <v>7.4643038128797828E-3</v>
      </c>
    </row>
    <row r="26" spans="1:15" x14ac:dyDescent="0.45">
      <c r="A26">
        <v>6</v>
      </c>
      <c r="B26">
        <f t="shared" si="6"/>
        <v>0.81700233694043911</v>
      </c>
      <c r="C26">
        <f t="shared" si="7"/>
        <v>-0.2021133237340107</v>
      </c>
      <c r="G26">
        <f t="shared" si="0"/>
        <v>3.3685553955668447E-2</v>
      </c>
      <c r="H26">
        <f t="shared" si="5"/>
        <v>3.6216918283301425E-2</v>
      </c>
      <c r="J26">
        <f t="shared" si="1"/>
        <v>7.0772827437465538E-3</v>
      </c>
      <c r="K26">
        <f t="shared" si="2"/>
        <v>7.3973267185595453E-3</v>
      </c>
      <c r="N26">
        <f t="shared" si="3"/>
        <v>7.0029261115541509E-3</v>
      </c>
      <c r="O26">
        <f t="shared" si="4"/>
        <v>7.3973267185595453E-3</v>
      </c>
    </row>
    <row r="27" spans="1:15" x14ac:dyDescent="0.45">
      <c r="A27">
        <v>6.25</v>
      </c>
      <c r="B27">
        <f t="shared" si="6"/>
        <v>0.8096713863316638</v>
      </c>
      <c r="C27">
        <f t="shared" si="7"/>
        <v>-0.21112680951932816</v>
      </c>
      <c r="G27">
        <f t="shared" si="0"/>
        <v>3.3780289523092505E-2</v>
      </c>
      <c r="H27">
        <f t="shared" si="5"/>
        <v>3.6216918283301425E-2</v>
      </c>
      <c r="J27">
        <f t="shared" si="1"/>
        <v>7.0137783840980381E-3</v>
      </c>
      <c r="K27">
        <f t="shared" si="2"/>
        <v>7.3309506087753116E-3</v>
      </c>
      <c r="N27">
        <f t="shared" si="3"/>
        <v>6.9400889529323525E-3</v>
      </c>
      <c r="O27">
        <f t="shared" si="4"/>
        <v>7.3309506087753116E-3</v>
      </c>
    </row>
    <row r="28" spans="1:15" x14ac:dyDescent="0.45">
      <c r="A28">
        <v>6.5</v>
      </c>
      <c r="B28">
        <f t="shared" si="6"/>
        <v>0.80240621624076269</v>
      </c>
      <c r="C28">
        <f t="shared" si="7"/>
        <v>-0.2201402953046456</v>
      </c>
      <c r="G28">
        <f t="shared" si="0"/>
        <v>3.3867737739176243E-2</v>
      </c>
      <c r="H28">
        <f t="shared" si="5"/>
        <v>3.6216918283300537E-2</v>
      </c>
      <c r="J28">
        <f t="shared" si="1"/>
        <v>6.9508438481856068E-3</v>
      </c>
      <c r="K28">
        <f t="shared" si="2"/>
        <v>7.2651700909010207E-3</v>
      </c>
      <c r="N28">
        <f t="shared" si="3"/>
        <v>6.8778156312611039E-3</v>
      </c>
      <c r="O28">
        <f t="shared" si="4"/>
        <v>7.2651700909010207E-3</v>
      </c>
    </row>
    <row r="29" spans="1:15" x14ac:dyDescent="0.45">
      <c r="A29">
        <v>6.75</v>
      </c>
      <c r="B29">
        <f t="shared" si="6"/>
        <v>0.79520623642006338</v>
      </c>
      <c r="C29">
        <f t="shared" si="7"/>
        <v>-0.22915378108996304</v>
      </c>
      <c r="G29">
        <f t="shared" si="0"/>
        <v>3.3948708309624154E-2</v>
      </c>
      <c r="H29">
        <f t="shared" si="5"/>
        <v>3.6216918283301425E-2</v>
      </c>
      <c r="J29">
        <f t="shared" si="1"/>
        <v>6.8884740229887987E-3</v>
      </c>
      <c r="K29">
        <f t="shared" si="2"/>
        <v>7.1999798206992772E-3</v>
      </c>
      <c r="N29">
        <f t="shared" si="3"/>
        <v>6.8161010872392867E-3</v>
      </c>
      <c r="O29">
        <f t="shared" si="4"/>
        <v>7.1999798206992772E-3</v>
      </c>
    </row>
    <row r="30" spans="1:15" x14ac:dyDescent="0.45">
      <c r="A30">
        <v>7</v>
      </c>
      <c r="B30">
        <v>0.78807086191817799</v>
      </c>
      <c r="C30">
        <f>LN(B30)</f>
        <v>-0.2381672668752805</v>
      </c>
      <c r="D30">
        <f>(1-B30)/(SUM($B$3:B30) *0.25)</f>
        <v>3.4024999999999993E-2</v>
      </c>
      <c r="E30">
        <f>VLOOKUP(A30,Sheet1!$M$15:$N$25,2)/100</f>
        <v>3.4025E-2</v>
      </c>
      <c r="F30">
        <f>D30-E30</f>
        <v>0</v>
      </c>
      <c r="G30">
        <f t="shared" si="0"/>
        <v>3.4023895267897217E-2</v>
      </c>
      <c r="H30">
        <f t="shared" si="5"/>
        <v>3.6216918283301425E-2</v>
      </c>
      <c r="J30">
        <f t="shared" si="1"/>
        <v>6.8266638413662165E-3</v>
      </c>
      <c r="K30">
        <f t="shared" si="2"/>
        <v>7.1353745018853934E-3</v>
      </c>
      <c r="N30">
        <f t="shared" si="3"/>
        <v>6.7549403069628242E-3</v>
      </c>
      <c r="O30">
        <f t="shared" si="4"/>
        <v>7.1353745018853934E-3</v>
      </c>
    </row>
    <row r="31" spans="1:15" x14ac:dyDescent="0.45">
      <c r="A31">
        <v>7.25</v>
      </c>
      <c r="B31">
        <f>EXP(C31)</f>
        <v>0.78096494136590677</v>
      </c>
      <c r="C31">
        <f>$C$30+($C$42-$C$30)*(A31-$A$30)/($A$42-$A$30)</f>
        <v>-0.24722501956626358</v>
      </c>
      <c r="G31">
        <f t="shared" si="0"/>
        <v>3.4100002698794978E-2</v>
      </c>
      <c r="H31">
        <f t="shared" si="5"/>
        <v>3.6395593071530286E-2</v>
      </c>
      <c r="J31">
        <f t="shared" si="1"/>
        <v>6.7651088045821671E-3</v>
      </c>
      <c r="K31">
        <f t="shared" si="2"/>
        <v>7.1059205522712634E-3</v>
      </c>
      <c r="N31">
        <f t="shared" si="3"/>
        <v>6.6940319908758931E-3</v>
      </c>
      <c r="O31">
        <f t="shared" si="4"/>
        <v>7.1059205522712634E-3</v>
      </c>
    </row>
    <row r="32" spans="1:15" x14ac:dyDescent="0.45">
      <c r="A32">
        <v>7.5</v>
      </c>
      <c r="B32">
        <f t="shared" ref="B32:B41" si="8">EXP(C32)</f>
        <v>0.77392309386764035</v>
      </c>
      <c r="C32">
        <f t="shared" ref="C32:C41" si="9">$C$30+($C$42-$C$30)*(A32-$A$30)/($A$42-$A$30)</f>
        <v>-0.2562827722572466</v>
      </c>
      <c r="G32">
        <f t="shared" si="0"/>
        <v>3.4171036300966212E-2</v>
      </c>
      <c r="H32">
        <f t="shared" si="5"/>
        <v>3.6395593071529397E-2</v>
      </c>
      <c r="J32">
        <f t="shared" si="1"/>
        <v>6.7041088006284345E-3</v>
      </c>
      <c r="K32">
        <f t="shared" si="2"/>
        <v>7.0418474982664216E-3</v>
      </c>
      <c r="N32">
        <f t="shared" si="3"/>
        <v>6.6336728762326422E-3</v>
      </c>
      <c r="O32">
        <f t="shared" si="4"/>
        <v>7.0418474982664216E-3</v>
      </c>
    </row>
    <row r="33" spans="1:15" x14ac:dyDescent="0.45">
      <c r="A33">
        <v>7.75</v>
      </c>
      <c r="B33">
        <f t="shared" si="8"/>
        <v>0.76694474168595239</v>
      </c>
      <c r="C33">
        <f t="shared" si="9"/>
        <v>-0.26534052494822968</v>
      </c>
      <c r="G33">
        <f t="shared" si="0"/>
        <v>3.4237487090094151E-2</v>
      </c>
      <c r="H33">
        <f t="shared" si="5"/>
        <v>3.6395593071530286E-2</v>
      </c>
      <c r="J33">
        <f t="shared" si="1"/>
        <v>6.6436588248545625E-3</v>
      </c>
      <c r="K33">
        <f t="shared" si="2"/>
        <v>6.9783521816879582E-3</v>
      </c>
      <c r="N33">
        <f t="shared" si="3"/>
        <v>6.5738580109633814E-3</v>
      </c>
      <c r="O33">
        <f t="shared" si="4"/>
        <v>6.9783521816879582E-3</v>
      </c>
    </row>
    <row r="34" spans="1:15" x14ac:dyDescent="0.45">
      <c r="A34">
        <v>8</v>
      </c>
      <c r="B34">
        <f t="shared" si="8"/>
        <v>0.76002931229279169</v>
      </c>
      <c r="C34">
        <f t="shared" si="9"/>
        <v>-0.27439827763921276</v>
      </c>
      <c r="G34">
        <f t="shared" si="0"/>
        <v>3.4299784704901595E-2</v>
      </c>
      <c r="H34">
        <f t="shared" si="5"/>
        <v>3.6395593071529397E-2</v>
      </c>
      <c r="J34">
        <f t="shared" si="1"/>
        <v>6.5837539177363083E-3</v>
      </c>
      <c r="K34">
        <f t="shared" si="2"/>
        <v>6.9154293931606957E-3</v>
      </c>
      <c r="N34">
        <f t="shared" si="3"/>
        <v>6.5145824876505212E-3</v>
      </c>
      <c r="O34">
        <f t="shared" si="4"/>
        <v>6.9154293931606957E-3</v>
      </c>
    </row>
    <row r="35" spans="1:15" x14ac:dyDescent="0.45">
      <c r="A35">
        <v>8.25</v>
      </c>
      <c r="B35">
        <f t="shared" si="8"/>
        <v>0.7531762383225088</v>
      </c>
      <c r="C35">
        <f t="shared" si="9"/>
        <v>-0.28345603033019584</v>
      </c>
      <c r="G35">
        <f t="shared" si="0"/>
        <v>3.4358306706690406E-2</v>
      </c>
      <c r="H35">
        <f t="shared" si="5"/>
        <v>3.6395593071529397E-2</v>
      </c>
      <c r="J35">
        <f t="shared" si="1"/>
        <v>6.5243891644687323E-3</v>
      </c>
      <c r="K35">
        <f t="shared" si="2"/>
        <v>6.8530739702828188E-3</v>
      </c>
      <c r="M35" t="s">
        <v>17</v>
      </c>
      <c r="N35">
        <f>SUM(N3:N34)</f>
        <v>0.23997066864644689</v>
      </c>
      <c r="O35">
        <f>SUM(O3:O34)</f>
        <v>0.239970687707208</v>
      </c>
    </row>
    <row r="36" spans="1:15" x14ac:dyDescent="0.45">
      <c r="A36">
        <v>8.5</v>
      </c>
      <c r="B36">
        <f t="shared" si="8"/>
        <v>0.7463849575253082</v>
      </c>
      <c r="C36">
        <f t="shared" si="9"/>
        <v>-0.29251378302117892</v>
      </c>
      <c r="G36">
        <f t="shared" si="0"/>
        <v>3.4413386237785754E-2</v>
      </c>
      <c r="H36">
        <f t="shared" si="5"/>
        <v>3.6395593071530286E-2</v>
      </c>
      <c r="J36">
        <f t="shared" si="1"/>
        <v>6.4655596945629827E-3</v>
      </c>
      <c r="K36">
        <f t="shared" si="2"/>
        <v>6.791280797200633E-3</v>
      </c>
    </row>
    <row r="37" spans="1:15" x14ac:dyDescent="0.45">
      <c r="A37">
        <v>8.75</v>
      </c>
      <c r="B37">
        <f t="shared" si="8"/>
        <v>0.73965491272111927</v>
      </c>
      <c r="C37">
        <f t="shared" si="9"/>
        <v>-0.30157153571216194</v>
      </c>
      <c r="G37">
        <f t="shared" si="0"/>
        <v>3.4465318367104224E-2</v>
      </c>
      <c r="H37">
        <f t="shared" si="5"/>
        <v>3.6395593071529397E-2</v>
      </c>
      <c r="J37">
        <f t="shared" si="1"/>
        <v>6.4072606814466956E-3</v>
      </c>
      <c r="K37">
        <f t="shared" si="2"/>
        <v>6.7300448041888623E-3</v>
      </c>
    </row>
    <row r="38" spans="1:15" x14ac:dyDescent="0.45">
      <c r="A38">
        <v>9</v>
      </c>
      <c r="B38">
        <f t="shared" si="8"/>
        <v>0.73298555175388302</v>
      </c>
      <c r="C38">
        <f t="shared" si="9"/>
        <v>-0.31062928840314502</v>
      </c>
      <c r="G38">
        <f t="shared" si="0"/>
        <v>3.4514365378127222E-2</v>
      </c>
      <c r="H38">
        <f t="shared" si="5"/>
        <v>3.6395593071529397E-2</v>
      </c>
      <c r="J38">
        <f t="shared" si="1"/>
        <v>6.3494873420680119E-3</v>
      </c>
      <c r="K38">
        <f t="shared" si="2"/>
        <v>6.669360967236194E-3</v>
      </c>
    </row>
    <row r="39" spans="1:15" x14ac:dyDescent="0.45">
      <c r="A39">
        <v>9.25</v>
      </c>
      <c r="B39">
        <f t="shared" si="8"/>
        <v>0.72637632744625147</v>
      </c>
      <c r="C39">
        <f t="shared" si="9"/>
        <v>-0.3196870410941281</v>
      </c>
      <c r="G39">
        <f t="shared" si="0"/>
        <v>3.45607611993652E-2</v>
      </c>
      <c r="H39">
        <f t="shared" si="5"/>
        <v>3.6395593071530286E-2</v>
      </c>
      <c r="J39">
        <f t="shared" si="1"/>
        <v>6.2922349365031535E-3</v>
      </c>
      <c r="K39">
        <f t="shared" si="2"/>
        <v>6.6092243076316011E-3</v>
      </c>
    </row>
    <row r="40" spans="1:15" x14ac:dyDescent="0.45">
      <c r="A40">
        <v>9.5</v>
      </c>
      <c r="B40">
        <f t="shared" si="8"/>
        <v>0.71982669755469553</v>
      </c>
      <c r="C40">
        <f t="shared" si="9"/>
        <v>-0.32874479378511112</v>
      </c>
      <c r="G40">
        <f t="shared" si="0"/>
        <v>3.4604715135274855E-2</v>
      </c>
      <c r="H40">
        <f t="shared" si="5"/>
        <v>3.6395593071529397E-2</v>
      </c>
      <c r="J40">
        <f t="shared" si="1"/>
        <v>6.2354987675675502E-3</v>
      </c>
      <c r="K40">
        <f t="shared" si="2"/>
        <v>6.5496298915558911E-3</v>
      </c>
    </row>
    <row r="41" spans="1:15" x14ac:dyDescent="0.45">
      <c r="A41">
        <v>9.75</v>
      </c>
      <c r="B41">
        <f t="shared" si="8"/>
        <v>0.71333612472501706</v>
      </c>
      <c r="C41">
        <f t="shared" si="9"/>
        <v>-0.3378025464760942</v>
      </c>
      <c r="G41">
        <f t="shared" si="0"/>
        <v>3.4646415023189152E-2</v>
      </c>
      <c r="H41">
        <f t="shared" si="5"/>
        <v>3.6395593071530286E-2</v>
      </c>
      <c r="J41">
        <f t="shared" si="1"/>
        <v>6.1792741804304607E-3</v>
      </c>
      <c r="K41">
        <f t="shared" si="2"/>
        <v>6.4905728296785238E-3</v>
      </c>
    </row>
    <row r="42" spans="1:15" x14ac:dyDescent="0.45">
      <c r="A42">
        <v>10</v>
      </c>
      <c r="B42">
        <v>0.70690407644826292</v>
      </c>
      <c r="C42">
        <f>LN(B42)</f>
        <v>-0.34686029916707728</v>
      </c>
      <c r="D42">
        <f>(1-B42)/(SUM($B$3:B42) *0.25)</f>
        <v>3.465E-2</v>
      </c>
      <c r="E42">
        <f>VLOOKUP(A42,Sheet1!$M$15:$N$25,2)/100</f>
        <v>3.465E-2</v>
      </c>
      <c r="F42">
        <f>D42-E42</f>
        <v>0</v>
      </c>
      <c r="G42">
        <f t="shared" si="0"/>
        <v>3.4686029916707731E-2</v>
      </c>
      <c r="H42">
        <f t="shared" si="5"/>
        <v>3.6395593071529397E-2</v>
      </c>
      <c r="J42">
        <f t="shared" si="1"/>
        <v>6.1235565622330774E-3</v>
      </c>
      <c r="K42">
        <f t="shared" si="2"/>
        <v>6.4320482767540712E-3</v>
      </c>
    </row>
    <row r="43" spans="1:15" x14ac:dyDescent="0.45">
      <c r="I43" t="s">
        <v>17</v>
      </c>
      <c r="J43">
        <f>SUM(J3:J42)</f>
        <v>0.29309592355173703</v>
      </c>
      <c r="K43">
        <f>SUM(K3:K42)</f>
        <v>0.29309592355173664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6B7C-B7F6-49D2-BAC8-ADD5FC715B1C}">
  <dimension ref="A1:O43"/>
  <sheetViews>
    <sheetView topLeftCell="A19" workbookViewId="0">
      <selection activeCell="F42" sqref="F42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  <col min="10" max="10" width="11.83203125" customWidth="1"/>
    <col min="11" max="11" width="11.5" bestFit="1" customWidth="1"/>
  </cols>
  <sheetData>
    <row r="1" spans="1:15" x14ac:dyDescent="0.45">
      <c r="A1" t="s">
        <v>2</v>
      </c>
      <c r="I1" t="s">
        <v>16</v>
      </c>
      <c r="J1">
        <f>Sheet1!B9/100</f>
        <v>3.465E-2</v>
      </c>
      <c r="M1" t="s">
        <v>40</v>
      </c>
      <c r="N1">
        <f>Sheet1!C33</f>
        <v>3.4285953882477946E-2</v>
      </c>
    </row>
    <row r="2" spans="1:15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J2" t="s">
        <v>14</v>
      </c>
      <c r="K2" t="s">
        <v>15</v>
      </c>
      <c r="N2" t="s">
        <v>4</v>
      </c>
      <c r="O2" t="s">
        <v>5</v>
      </c>
    </row>
    <row r="3" spans="1:15" x14ac:dyDescent="0.45">
      <c r="A3" cm="1">
        <f t="array" ref="A3:A42">_xlfn.SEQUENCE(40,,0.25,0.25)</f>
        <v>0.25</v>
      </c>
      <c r="B3">
        <f>1/(1+Sheet1!B2/100*0.25)</f>
        <v>0.99304865938430997</v>
      </c>
      <c r="C3">
        <f>LN(B3)</f>
        <v>-6.9756137364250992E-3</v>
      </c>
      <c r="G3">
        <f>-C3/A3</f>
        <v>2.7902454945700397E-2</v>
      </c>
      <c r="H3">
        <f>(1/B3-1)/0.25</f>
        <v>2.7999999999999581E-2</v>
      </c>
      <c r="J3">
        <f>$J$1*0.25*B3</f>
        <v>8.6022840119165857E-3</v>
      </c>
      <c r="K3">
        <f>H3*0.25*B3</f>
        <v>6.9513406156900661E-3</v>
      </c>
      <c r="N3">
        <f>$N$1*0.25*B3</f>
        <v>8.5119051346767508E-3</v>
      </c>
      <c r="O3">
        <f>B3*0.25*H3</f>
        <v>6.9513406156900661E-3</v>
      </c>
    </row>
    <row r="4" spans="1:15" x14ac:dyDescent="0.45">
      <c r="A4">
        <v>0.5</v>
      </c>
      <c r="B4">
        <f>EXP(C4)</f>
        <v>0.98576081333172305</v>
      </c>
      <c r="C4">
        <f>$C$3+($C$6-$C$3)*(A4-$A$3)/($A$6-$A$3)</f>
        <v>-1.43415366353421E-2</v>
      </c>
      <c r="G4">
        <f t="shared" ref="G4:G42" si="0">-C4/A4</f>
        <v>2.8683073270684201E-2</v>
      </c>
      <c r="H4">
        <f>(B3/B4-1)/0.25</f>
        <v>2.957247216170078E-2</v>
      </c>
      <c r="J4">
        <f t="shared" ref="J4:J42" si="1">$J$1*0.25*B4</f>
        <v>8.5391530454860514E-3</v>
      </c>
      <c r="K4">
        <f t="shared" ref="K4:K42" si="2">H4*0.25*B4</f>
        <v>7.2878460525869744E-3</v>
      </c>
      <c r="N4">
        <f t="shared" ref="N4:N34" si="3">$N$1*0.25*B4</f>
        <v>8.4494374462613514E-3</v>
      </c>
      <c r="O4">
        <f t="shared" ref="O4:O34" si="4">B4*0.25*H4</f>
        <v>7.2878460525869744E-3</v>
      </c>
    </row>
    <row r="5" spans="1:15" x14ac:dyDescent="0.45">
      <c r="A5">
        <v>0.75</v>
      </c>
      <c r="B5">
        <f>EXP(C5)</f>
        <v>0.97852645176812303</v>
      </c>
      <c r="C5">
        <f>$C$3+($C$6-$C$3)*(A5-$A$3)/($A$6-$A$3)</f>
        <v>-2.1707459534259101E-2</v>
      </c>
      <c r="G5">
        <f t="shared" si="0"/>
        <v>2.8943279379012133E-2</v>
      </c>
      <c r="H5">
        <f t="shared" ref="H5:H42" si="5">(B4/B5-1)/0.25</f>
        <v>2.9572472161699892E-2</v>
      </c>
      <c r="J5">
        <f t="shared" si="1"/>
        <v>8.4764853884413665E-3</v>
      </c>
      <c r="K5">
        <f t="shared" si="2"/>
        <v>7.2343615635999479E-3</v>
      </c>
      <c r="N5">
        <f t="shared" si="3"/>
        <v>8.3874281995266614E-3</v>
      </c>
      <c r="O5">
        <f t="shared" si="4"/>
        <v>7.2343615635999479E-3</v>
      </c>
    </row>
    <row r="6" spans="1:15" x14ac:dyDescent="0.45">
      <c r="A6">
        <v>1</v>
      </c>
      <c r="B6">
        <v>0.97134518217828081</v>
      </c>
      <c r="C6">
        <f>LN(B6)</f>
        <v>-2.9073382433176101E-2</v>
      </c>
      <c r="D6">
        <f>(1-B6)/(SUM($B$3:B6) *0.25)</f>
        <v>2.9175000000000045E-2</v>
      </c>
      <c r="E6">
        <f>VLOOKUP(A6,Sheet1!$P$15:$Q$25,2)/100</f>
        <v>2.9175E-2</v>
      </c>
      <c r="F6">
        <f>D6-E6</f>
        <v>4.5102810375396984E-17</v>
      </c>
      <c r="G6">
        <f t="shared" si="0"/>
        <v>2.9073382433176101E-2</v>
      </c>
      <c r="H6">
        <f t="shared" si="5"/>
        <v>2.9572472161699892E-2</v>
      </c>
      <c r="J6">
        <f t="shared" si="1"/>
        <v>8.4142776406193574E-3</v>
      </c>
      <c r="K6">
        <f t="shared" si="2"/>
        <v>7.1812695898421297E-3</v>
      </c>
      <c r="N6">
        <f t="shared" si="3"/>
        <v>8.3258740300329193E-3</v>
      </c>
      <c r="O6">
        <f t="shared" si="4"/>
        <v>7.1812695898421297E-3</v>
      </c>
    </row>
    <row r="7" spans="1:15" x14ac:dyDescent="0.45">
      <c r="A7">
        <v>1.25</v>
      </c>
      <c r="B7">
        <f>EXP(C7)</f>
        <v>0.96348575362774336</v>
      </c>
      <c r="C7">
        <f>$C$6+($C$10-$C$6)*(A7-$A$6)/($A$10-$A$6)</f>
        <v>-3.7197577300608041E-2</v>
      </c>
      <c r="G7">
        <f t="shared" si="0"/>
        <v>2.9758061840486433E-2</v>
      </c>
      <c r="H7">
        <f t="shared" si="5"/>
        <v>3.2629142759796892E-2</v>
      </c>
      <c r="J7">
        <f t="shared" si="1"/>
        <v>8.3461953408003262E-3</v>
      </c>
      <c r="K7">
        <f t="shared" si="2"/>
        <v>7.8594285505375339E-3</v>
      </c>
      <c r="N7">
        <f t="shared" si="3"/>
        <v>8.2585070288263285E-3</v>
      </c>
      <c r="O7">
        <f t="shared" si="4"/>
        <v>7.8594285505375339E-3</v>
      </c>
    </row>
    <row r="8" spans="1:15" x14ac:dyDescent="0.45">
      <c r="A8">
        <v>1.5</v>
      </c>
      <c r="B8">
        <f>EXP(C8)</f>
        <v>0.95568991793613434</v>
      </c>
      <c r="C8">
        <f>$C$6+($C$10-$C$6)*(A8-$A$6)/($A$10-$A$6)</f>
        <v>-4.5321772168039981E-2</v>
      </c>
      <c r="G8">
        <f t="shared" si="0"/>
        <v>3.021451477869332E-2</v>
      </c>
      <c r="H8">
        <f t="shared" si="5"/>
        <v>3.2629142759796004E-2</v>
      </c>
      <c r="J8">
        <f t="shared" si="1"/>
        <v>8.278663914121763E-3</v>
      </c>
      <c r="K8">
        <f t="shared" si="2"/>
        <v>7.7958356916089638E-3</v>
      </c>
      <c r="N8">
        <f t="shared" si="3"/>
        <v>8.1916851130768593E-3</v>
      </c>
      <c r="O8">
        <f t="shared" si="4"/>
        <v>7.7958356916089638E-3</v>
      </c>
    </row>
    <row r="9" spans="1:15" x14ac:dyDescent="0.45">
      <c r="A9">
        <v>1.75</v>
      </c>
      <c r="B9">
        <f>EXP(C9)</f>
        <v>0.94795716055564905</v>
      </c>
      <c r="C9">
        <f>$C$6+($C$10-$C$6)*(A9-$A$6)/($A$10-$A$6)</f>
        <v>-5.3445967035471921E-2</v>
      </c>
      <c r="G9">
        <f t="shared" si="0"/>
        <v>3.0540552591698241E-2</v>
      </c>
      <c r="H9">
        <f t="shared" si="5"/>
        <v>3.2629142759796004E-2</v>
      </c>
      <c r="J9">
        <f t="shared" si="1"/>
        <v>8.2116789033133096E-3</v>
      </c>
      <c r="K9">
        <f t="shared" si="2"/>
        <v>7.7327573804852837E-3</v>
      </c>
      <c r="N9">
        <f t="shared" si="3"/>
        <v>8.1254038723439313E-3</v>
      </c>
      <c r="O9">
        <f t="shared" si="4"/>
        <v>7.7327573804852837E-3</v>
      </c>
    </row>
    <row r="10" spans="1:15" x14ac:dyDescent="0.45">
      <c r="A10">
        <v>2</v>
      </c>
      <c r="B10">
        <v>0.94028697110183446</v>
      </c>
      <c r="C10">
        <f>LN(B10)</f>
        <v>-6.1570161902903861E-2</v>
      </c>
      <c r="D10">
        <f>(1-B10)/(SUM($B$3:B10) *0.25)</f>
        <v>3.0874999999999986E-2</v>
      </c>
      <c r="E10">
        <f>VLOOKUP(A10,Sheet1!$P$15:$Q$25,2)/100</f>
        <v>3.0875E-2</v>
      </c>
      <c r="F10">
        <f>D10-E10</f>
        <v>0</v>
      </c>
      <c r="G10">
        <f t="shared" si="0"/>
        <v>3.0785080951451931E-2</v>
      </c>
      <c r="H10">
        <f t="shared" si="5"/>
        <v>3.2629142759796892E-2</v>
      </c>
      <c r="J10">
        <f t="shared" si="1"/>
        <v>8.1452358871696405E-3</v>
      </c>
      <c r="K10">
        <f t="shared" si="2"/>
        <v>7.6701894538146924E-3</v>
      </c>
      <c r="N10">
        <f t="shared" si="3"/>
        <v>8.0596589318730916E-3</v>
      </c>
      <c r="O10">
        <f t="shared" si="4"/>
        <v>7.6701894538146924E-3</v>
      </c>
    </row>
    <row r="11" spans="1:15" x14ac:dyDescent="0.45">
      <c r="A11">
        <v>2.25</v>
      </c>
      <c r="B11">
        <f>EXP(C11)</f>
        <v>0.93227780471949828</v>
      </c>
      <c r="C11">
        <f>$C$10+($C$14-$C$10)*(A11-$A$10)/($A$14-$A$10)</f>
        <v>-7.0124434978328071E-2</v>
      </c>
      <c r="G11">
        <f t="shared" si="0"/>
        <v>3.1166415545923587E-2</v>
      </c>
      <c r="H11">
        <f t="shared" si="5"/>
        <v>3.4363861680675178E-2</v>
      </c>
      <c r="J11">
        <f t="shared" si="1"/>
        <v>8.0758564833826544E-3</v>
      </c>
      <c r="K11">
        <f t="shared" si="2"/>
        <v>8.0091663823360863E-3</v>
      </c>
      <c r="N11">
        <f t="shared" si="3"/>
        <v>7.991008454567624E-3</v>
      </c>
      <c r="O11">
        <f t="shared" si="4"/>
        <v>8.0091663823360863E-3</v>
      </c>
    </row>
    <row r="12" spans="1:15" x14ac:dyDescent="0.45">
      <c r="A12">
        <v>2.5</v>
      </c>
      <c r="B12">
        <f>EXP(C12)</f>
        <v>0.92433685872956517</v>
      </c>
      <c r="C12">
        <f>$C$10+($C$14-$C$10)*(A12-$A$10)/($A$14-$A$10)</f>
        <v>-7.8678708053752267E-2</v>
      </c>
      <c r="G12">
        <f t="shared" si="0"/>
        <v>3.1471483221500909E-2</v>
      </c>
      <c r="H12">
        <f t="shared" si="5"/>
        <v>3.4363861680675178E-2</v>
      </c>
      <c r="J12">
        <f t="shared" si="1"/>
        <v>8.0070680387448589E-3</v>
      </c>
      <c r="K12">
        <f t="shared" si="2"/>
        <v>7.940945989933142E-3</v>
      </c>
      <c r="N12">
        <f t="shared" si="3"/>
        <v>7.922942727569101E-3</v>
      </c>
      <c r="O12">
        <f t="shared" si="4"/>
        <v>7.940945989933142E-3</v>
      </c>
    </row>
    <row r="13" spans="1:15" x14ac:dyDescent="0.45">
      <c r="A13">
        <v>2.75</v>
      </c>
      <c r="B13">
        <f>EXP(C13)</f>
        <v>0.91646355204510055</v>
      </c>
      <c r="C13">
        <f>$C$10+($C$14-$C$10)*(A13-$A$10)/($A$14-$A$10)</f>
        <v>-8.7232981129176476E-2</v>
      </c>
      <c r="G13">
        <f t="shared" si="0"/>
        <v>3.1721084046973262E-2</v>
      </c>
      <c r="H13">
        <f t="shared" si="5"/>
        <v>3.4363861680675178E-2</v>
      </c>
      <c r="J13">
        <f t="shared" si="1"/>
        <v>7.9388655195906828E-3</v>
      </c>
      <c r="K13">
        <f t="shared" si="2"/>
        <v>7.8733066844645233E-3</v>
      </c>
      <c r="N13">
        <f t="shared" si="3"/>
        <v>7.8554567700975606E-3</v>
      </c>
      <c r="O13">
        <f t="shared" si="4"/>
        <v>7.8733066844645233E-3</v>
      </c>
    </row>
    <row r="14" spans="1:15" x14ac:dyDescent="0.45">
      <c r="A14">
        <v>3</v>
      </c>
      <c r="B14">
        <v>0.90865730852874638</v>
      </c>
      <c r="C14">
        <f>LN(B14)</f>
        <v>-9.5787254204600686E-2</v>
      </c>
      <c r="D14">
        <f>(1-B14)/(SUM($B$3:B14) *0.25)</f>
        <v>3.199999999999998E-2</v>
      </c>
      <c r="E14">
        <f>VLOOKUP(A14,Sheet1!$P$15:$Q$25,2)/100</f>
        <v>3.2000000000000001E-2</v>
      </c>
      <c r="F14">
        <f>D14-E14</f>
        <v>0</v>
      </c>
      <c r="G14">
        <f t="shared" si="0"/>
        <v>3.1929084734866893E-2</v>
      </c>
      <c r="H14">
        <f t="shared" si="5"/>
        <v>3.4363861680675178E-2</v>
      </c>
      <c r="J14">
        <f t="shared" si="1"/>
        <v>7.8712439351302649E-3</v>
      </c>
      <c r="K14">
        <f t="shared" si="2"/>
        <v>7.8062435163541079E-3</v>
      </c>
      <c r="N14">
        <f t="shared" si="3"/>
        <v>7.7885456437982829E-3</v>
      </c>
      <c r="O14">
        <f t="shared" si="4"/>
        <v>7.8062435163541079E-3</v>
      </c>
    </row>
    <row r="15" spans="1:15" x14ac:dyDescent="0.45">
      <c r="A15">
        <v>3.25</v>
      </c>
      <c r="B15">
        <f>EXP(C15)</f>
        <v>0.90078730517206684</v>
      </c>
      <c r="C15">
        <f>$C$14+($C$18-$C$14)*(A15-$A$14)/($A$18-$A$14)</f>
        <v>-0.10448611453341966</v>
      </c>
      <c r="G15">
        <f t="shared" si="0"/>
        <v>3.2149573702590667E-2</v>
      </c>
      <c r="H15">
        <f t="shared" si="5"/>
        <v>3.494722144280793E-2</v>
      </c>
      <c r="J15">
        <f t="shared" si="1"/>
        <v>7.8030700310530287E-3</v>
      </c>
      <c r="K15">
        <f t="shared" si="2"/>
        <v>7.8700033566796064E-3</v>
      </c>
      <c r="N15">
        <f t="shared" si="3"/>
        <v>7.7210880007627675E-3</v>
      </c>
      <c r="O15">
        <f t="shared" si="4"/>
        <v>7.8700033566796064E-3</v>
      </c>
    </row>
    <row r="16" spans="1:15" x14ac:dyDescent="0.45">
      <c r="A16">
        <v>3.5</v>
      </c>
      <c r="B16">
        <f>EXP(C16)</f>
        <v>0.89298546497464748</v>
      </c>
      <c r="C16">
        <f>$C$14+($C$18-$C$14)*(A16-$A$14)/($A$18-$A$14)</f>
        <v>-0.11318497486223864</v>
      </c>
      <c r="G16">
        <f t="shared" si="0"/>
        <v>3.2338564246353896E-2</v>
      </c>
      <c r="H16">
        <f t="shared" si="5"/>
        <v>3.494722144280793E-2</v>
      </c>
      <c r="J16">
        <f t="shared" si="1"/>
        <v>7.7354865903428837E-3</v>
      </c>
      <c r="K16">
        <f t="shared" si="2"/>
        <v>7.8018401974194523E-3</v>
      </c>
      <c r="N16">
        <f t="shared" si="3"/>
        <v>7.6542146174609724E-3</v>
      </c>
      <c r="O16">
        <f t="shared" si="4"/>
        <v>7.8018401974194523E-3</v>
      </c>
    </row>
    <row r="17" spans="1:15" x14ac:dyDescent="0.45">
      <c r="A17">
        <v>3.75</v>
      </c>
      <c r="B17">
        <f>EXP(C17)</f>
        <v>0.88525119756618353</v>
      </c>
      <c r="C17">
        <f>$C$14+($C$18-$C$14)*(A17-$A$14)/($A$18-$A$14)</f>
        <v>-0.12188383519105761</v>
      </c>
      <c r="G17">
        <f t="shared" si="0"/>
        <v>3.2502356050948693E-2</v>
      </c>
      <c r="H17">
        <f t="shared" si="5"/>
        <v>3.4947221442807042E-2</v>
      </c>
      <c r="J17">
        <f t="shared" si="1"/>
        <v>7.668488498917065E-3</v>
      </c>
      <c r="K17">
        <f t="shared" si="2"/>
        <v>7.7342674084638855E-3</v>
      </c>
      <c r="N17">
        <f t="shared" si="3"/>
        <v>7.5879204335406354E-3</v>
      </c>
      <c r="O17">
        <f t="shared" si="4"/>
        <v>7.7342674084638855E-3</v>
      </c>
    </row>
    <row r="18" spans="1:15" x14ac:dyDescent="0.45">
      <c r="A18">
        <v>4</v>
      </c>
      <c r="B18">
        <v>0.87758391768964683</v>
      </c>
      <c r="C18">
        <f>LN(B18)</f>
        <v>-0.13058269551987658</v>
      </c>
      <c r="D18">
        <f>(1-B18)/(SUM($B$3:B18) *0.25)</f>
        <v>3.27E-2</v>
      </c>
      <c r="E18">
        <f>VLOOKUP(A18,Sheet1!$P$15:$Q$25,2)/100</f>
        <v>3.27E-2</v>
      </c>
      <c r="F18">
        <f>D18-E18</f>
        <v>0</v>
      </c>
      <c r="G18">
        <f t="shared" si="0"/>
        <v>3.2645673879969146E-2</v>
      </c>
      <c r="H18">
        <f t="shared" si="5"/>
        <v>3.494722144280793E-2</v>
      </c>
      <c r="J18">
        <f t="shared" si="1"/>
        <v>7.6020706869865656E-3</v>
      </c>
      <c r="K18">
        <f t="shared" si="2"/>
        <v>7.6672798765367537E-3</v>
      </c>
      <c r="N18">
        <f t="shared" si="3"/>
        <v>7.5222004324778883E-3</v>
      </c>
      <c r="O18">
        <f t="shared" si="4"/>
        <v>7.6672798765367537E-3</v>
      </c>
    </row>
    <row r="19" spans="1:15" x14ac:dyDescent="0.45">
      <c r="A19">
        <v>4.25</v>
      </c>
      <c r="B19">
        <f>EXP(C19)</f>
        <v>0.86971608075303009</v>
      </c>
      <c r="C19">
        <f>$C$18+($C$22-$C$18)*(A19-$A$18)/($A$22-$A$18)</f>
        <v>-0.13958846455732096</v>
      </c>
      <c r="G19">
        <f t="shared" si="0"/>
        <v>3.2844344601722579E-2</v>
      </c>
      <c r="H19">
        <f t="shared" si="5"/>
        <v>3.6185771935156374E-2</v>
      </c>
      <c r="J19">
        <f t="shared" si="1"/>
        <v>7.5339155495231236E-3</v>
      </c>
      <c r="K19">
        <f t="shared" si="2"/>
        <v>7.8678369366167976E-3</v>
      </c>
      <c r="N19">
        <f t="shared" si="3"/>
        <v>7.4547613588869634E-3</v>
      </c>
      <c r="O19">
        <f t="shared" si="4"/>
        <v>7.8678369366167976E-3</v>
      </c>
    </row>
    <row r="20" spans="1:15" x14ac:dyDescent="0.45">
      <c r="A20">
        <v>4.5</v>
      </c>
      <c r="B20">
        <f>EXP(C20)</f>
        <v>0.86191878163828228</v>
      </c>
      <c r="C20">
        <f>$C$18+($C$22-$C$18)*(A20-$A$18)/($A$22-$A$18)</f>
        <v>-0.14859423359476537</v>
      </c>
      <c r="G20">
        <f t="shared" si="0"/>
        <v>3.3020940798836745E-2</v>
      </c>
      <c r="H20">
        <f t="shared" si="5"/>
        <v>3.6185771935157263E-2</v>
      </c>
      <c r="J20">
        <f t="shared" si="1"/>
        <v>7.4663714459416207E-3</v>
      </c>
      <c r="K20">
        <f t="shared" si="2"/>
        <v>7.7972991147478741E-3</v>
      </c>
      <c r="N20">
        <f t="shared" si="3"/>
        <v>7.3879268994229315E-3</v>
      </c>
      <c r="O20">
        <f t="shared" si="4"/>
        <v>7.7972991147478741E-3</v>
      </c>
    </row>
    <row r="21" spans="1:15" x14ac:dyDescent="0.45">
      <c r="A21">
        <v>4.75</v>
      </c>
      <c r="B21">
        <f>EXP(C21)</f>
        <v>0.85419138794994942</v>
      </c>
      <c r="C21">
        <f>$C$18+($C$22-$C$18)*(A21-$A$18)/($A$22-$A$18)</f>
        <v>-0.15760000263220975</v>
      </c>
      <c r="G21">
        <f t="shared" si="0"/>
        <v>3.3178947922570472E-2</v>
      </c>
      <c r="H21">
        <f t="shared" si="5"/>
        <v>3.6185771935156374E-2</v>
      </c>
      <c r="J21">
        <f t="shared" si="1"/>
        <v>7.3994328981164372E-3</v>
      </c>
      <c r="K21">
        <f t="shared" si="2"/>
        <v>7.727393688332888E-3</v>
      </c>
      <c r="N21">
        <f t="shared" si="3"/>
        <v>7.3216916335154484E-3</v>
      </c>
      <c r="O21">
        <f t="shared" si="4"/>
        <v>7.727393688332888E-3</v>
      </c>
    </row>
    <row r="22" spans="1:15" x14ac:dyDescent="0.45">
      <c r="A22">
        <v>5</v>
      </c>
      <c r="B22">
        <v>0.84653327296221637</v>
      </c>
      <c r="C22">
        <f>LN(B22)</f>
        <v>-0.16660577166965412</v>
      </c>
      <c r="D22">
        <f>(1-B22)/(SUM($B$3:B22) *0.25)</f>
        <v>3.3349999999999998E-2</v>
      </c>
      <c r="E22">
        <f>VLOOKUP(A22,Sheet1!$P$15:$Q$25,2)/100</f>
        <v>3.3349999999999998E-2</v>
      </c>
      <c r="F22">
        <f>D22-E22</f>
        <v>0</v>
      </c>
      <c r="G22">
        <f t="shared" si="0"/>
        <v>3.3321154333930826E-2</v>
      </c>
      <c r="H22">
        <f t="shared" si="5"/>
        <v>3.6185771935156374E-2</v>
      </c>
      <c r="J22">
        <f t="shared" si="1"/>
        <v>7.3330944770351996E-3</v>
      </c>
      <c r="K22">
        <f t="shared" si="2"/>
        <v>7.65811498773306E-3</v>
      </c>
      <c r="N22">
        <f t="shared" si="3"/>
        <v>7.256050189191416E-3</v>
      </c>
      <c r="O22">
        <f t="shared" si="4"/>
        <v>7.65811498773306E-3</v>
      </c>
    </row>
    <row r="23" spans="1:15" x14ac:dyDescent="0.45">
      <c r="A23">
        <v>5.25</v>
      </c>
      <c r="B23">
        <f t="shared" ref="B23:B29" si="6">EXP(C23)</f>
        <v>0.83899603260508426</v>
      </c>
      <c r="C23">
        <f>$C$22+($C$30-$C$22)*(A23-$A$22)/($A$30-$A$22)</f>
        <v>-0.17554930124472365</v>
      </c>
      <c r="G23">
        <f t="shared" si="0"/>
        <v>3.3437962141852122E-2</v>
      </c>
      <c r="H23">
        <f t="shared" si="5"/>
        <v>3.5934569720092568E-2</v>
      </c>
      <c r="J23">
        <f t="shared" si="1"/>
        <v>7.2678031324415427E-3</v>
      </c>
      <c r="K23">
        <f t="shared" si="2"/>
        <v>7.5372403571321144E-3</v>
      </c>
      <c r="N23">
        <f t="shared" si="3"/>
        <v>7.1914448203699707E-3</v>
      </c>
      <c r="O23">
        <f t="shared" si="4"/>
        <v>7.5372403571321144E-3</v>
      </c>
    </row>
    <row r="24" spans="1:15" x14ac:dyDescent="0.45">
      <c r="A24">
        <v>5.5</v>
      </c>
      <c r="B24">
        <f t="shared" si="6"/>
        <v>0.8315259012370676</v>
      </c>
      <c r="C24">
        <f t="shared" ref="C24:C29" si="7">$C$22+($C$30-$C$22)*(A24-$A$22)/($A$30-$A$22)</f>
        <v>-0.1844928308197932</v>
      </c>
      <c r="G24">
        <f t="shared" si="0"/>
        <v>3.354415105814422E-2</v>
      </c>
      <c r="H24">
        <f t="shared" si="5"/>
        <v>3.5934569720093457E-2</v>
      </c>
      <c r="J24">
        <f t="shared" si="1"/>
        <v>7.2030931194660983E-3</v>
      </c>
      <c r="K24">
        <f t="shared" si="2"/>
        <v>7.4701313680167383E-3</v>
      </c>
      <c r="N24">
        <f t="shared" si="3"/>
        <v>7.1274146754750026E-3</v>
      </c>
      <c r="O24">
        <f t="shared" si="4"/>
        <v>7.4701313680167383E-3</v>
      </c>
    </row>
    <row r="25" spans="1:15" x14ac:dyDescent="0.45">
      <c r="A25">
        <v>5.75</v>
      </c>
      <c r="B25">
        <f t="shared" si="6"/>
        <v>0.82412228134286836</v>
      </c>
      <c r="C25">
        <f t="shared" si="7"/>
        <v>-0.19343636039486273</v>
      </c>
      <c r="G25">
        <f t="shared" si="0"/>
        <v>3.3641106155628299E-2</v>
      </c>
      <c r="H25">
        <f t="shared" si="5"/>
        <v>3.5934569720092568E-2</v>
      </c>
      <c r="J25">
        <f t="shared" si="1"/>
        <v>7.1389592621325972E-3</v>
      </c>
      <c r="K25">
        <f t="shared" si="2"/>
        <v>7.4036198941992617E-3</v>
      </c>
      <c r="N25">
        <f t="shared" si="3"/>
        <v>7.0639546329110247E-3</v>
      </c>
      <c r="O25">
        <f t="shared" si="4"/>
        <v>7.4036198941992617E-3</v>
      </c>
    </row>
    <row r="26" spans="1:15" x14ac:dyDescent="0.45">
      <c r="A26">
        <v>6</v>
      </c>
      <c r="B26">
        <f t="shared" si="6"/>
        <v>0.81678458072725824</v>
      </c>
      <c r="C26">
        <f t="shared" si="7"/>
        <v>-0.20237988996993228</v>
      </c>
      <c r="G26">
        <f t="shared" si="0"/>
        <v>3.3729981661655382E-2</v>
      </c>
      <c r="H26">
        <f t="shared" si="5"/>
        <v>3.5934569720092568E-2</v>
      </c>
      <c r="J26">
        <f t="shared" si="1"/>
        <v>7.0753964305498747E-3</v>
      </c>
      <c r="K26">
        <f t="shared" si="2"/>
        <v>7.3377006156100594E-3</v>
      </c>
      <c r="N26">
        <f t="shared" si="3"/>
        <v>7.0010596166834652E-3</v>
      </c>
      <c r="O26">
        <f t="shared" si="4"/>
        <v>7.3377006156100594E-3</v>
      </c>
    </row>
    <row r="27" spans="1:15" x14ac:dyDescent="0.45">
      <c r="A27">
        <v>6.25</v>
      </c>
      <c r="B27">
        <f t="shared" si="6"/>
        <v>0.80951221246771143</v>
      </c>
      <c r="C27">
        <f t="shared" si="7"/>
        <v>-0.21132341954500181</v>
      </c>
      <c r="G27">
        <f t="shared" si="0"/>
        <v>3.3811747127200288E-2</v>
      </c>
      <c r="H27">
        <f t="shared" si="5"/>
        <v>3.5934569720092568E-2</v>
      </c>
      <c r="J27">
        <f t="shared" si="1"/>
        <v>7.0123995405015505E-3</v>
      </c>
      <c r="K27">
        <f t="shared" si="2"/>
        <v>7.272368259546841E-3</v>
      </c>
      <c r="N27">
        <f t="shared" si="3"/>
        <v>6.9387245959926609E-3</v>
      </c>
      <c r="O27">
        <f t="shared" si="4"/>
        <v>7.272368259546841E-3</v>
      </c>
    </row>
    <row r="28" spans="1:15" x14ac:dyDescent="0.45">
      <c r="A28">
        <v>6.5</v>
      </c>
      <c r="B28">
        <f t="shared" si="6"/>
        <v>0.80230459486745764</v>
      </c>
      <c r="C28">
        <f t="shared" si="7"/>
        <v>-0.22026694912007133</v>
      </c>
      <c r="G28">
        <f t="shared" si="0"/>
        <v>3.3887222941549437E-2</v>
      </c>
      <c r="H28">
        <f t="shared" si="5"/>
        <v>3.5934569720092568E-2</v>
      </c>
      <c r="J28">
        <f t="shared" si="1"/>
        <v>6.9499635530393521E-3</v>
      </c>
      <c r="K28">
        <f t="shared" si="2"/>
        <v>7.2076176002538201E-3</v>
      </c>
      <c r="N28">
        <f t="shared" si="3"/>
        <v>6.8769445848314509E-3</v>
      </c>
      <c r="O28">
        <f t="shared" si="4"/>
        <v>7.2076176002538201E-3</v>
      </c>
    </row>
    <row r="29" spans="1:15" x14ac:dyDescent="0.45">
      <c r="A29">
        <v>6.75</v>
      </c>
      <c r="B29">
        <f t="shared" si="6"/>
        <v>0.79516115140895405</v>
      </c>
      <c r="C29">
        <f t="shared" si="7"/>
        <v>-0.22921047869514088</v>
      </c>
      <c r="G29">
        <f t="shared" si="0"/>
        <v>3.395710795483569E-2</v>
      </c>
      <c r="H29">
        <f t="shared" si="5"/>
        <v>3.5934569720092568E-2</v>
      </c>
      <c r="J29">
        <f t="shared" si="1"/>
        <v>6.8880834740800648E-3</v>
      </c>
      <c r="K29">
        <f t="shared" si="2"/>
        <v>7.1434434585035357E-3</v>
      </c>
      <c r="N29">
        <f t="shared" si="3"/>
        <v>6.8157146415863653E-3</v>
      </c>
      <c r="O29">
        <f t="shared" si="4"/>
        <v>7.1434434585035357E-3</v>
      </c>
    </row>
    <row r="30" spans="1:15" x14ac:dyDescent="0.45">
      <c r="A30">
        <v>7</v>
      </c>
      <c r="B30">
        <v>0.78808131070777143</v>
      </c>
      <c r="C30">
        <f>LN(B30)</f>
        <v>-0.23815400827021041</v>
      </c>
      <c r="D30">
        <f>(1-B30)/(SUM($B$3:B30) *0.25)</f>
        <v>3.4025E-2</v>
      </c>
      <c r="E30">
        <f>VLOOKUP(A30,Sheet1!$P$15:$Q$25,2)/100</f>
        <v>3.4025E-2</v>
      </c>
      <c r="F30">
        <f>D30-E30</f>
        <v>0</v>
      </c>
      <c r="G30">
        <f t="shared" si="0"/>
        <v>3.4022001181458629E-2</v>
      </c>
      <c r="H30">
        <f t="shared" si="5"/>
        <v>3.5934569720092568E-2</v>
      </c>
      <c r="J30">
        <f t="shared" si="1"/>
        <v>6.8267543540060701E-3</v>
      </c>
      <c r="K30">
        <f t="shared" si="2"/>
        <v>7.0798407011825864E-3</v>
      </c>
      <c r="N30">
        <f t="shared" si="3"/>
        <v>6.755029868642356E-3</v>
      </c>
      <c r="O30">
        <f t="shared" si="4"/>
        <v>7.0798407011825864E-3</v>
      </c>
    </row>
    <row r="31" spans="1:15" x14ac:dyDescent="0.45">
      <c r="A31">
        <v>7.25</v>
      </c>
      <c r="B31">
        <f>EXP(C31)</f>
        <v>0.78097531712842971</v>
      </c>
      <c r="C31">
        <f>$C$30+($C$42-$C$30)*(A31-$A$30)/($A$42-$A$30)</f>
        <v>-0.24721173383082443</v>
      </c>
      <c r="G31">
        <f t="shared" si="0"/>
        <v>3.4098170183561989E-2</v>
      </c>
      <c r="H31">
        <f t="shared" si="5"/>
        <v>3.6395483562628783E-2</v>
      </c>
      <c r="J31">
        <f t="shared" si="1"/>
        <v>6.7651986846250225E-3</v>
      </c>
      <c r="K31">
        <f t="shared" si="2"/>
        <v>7.1059935793416412E-3</v>
      </c>
      <c r="N31">
        <f t="shared" si="3"/>
        <v>6.6941209266047326E-3</v>
      </c>
      <c r="O31">
        <f t="shared" si="4"/>
        <v>7.1059935793416412E-3</v>
      </c>
    </row>
    <row r="32" spans="1:15" x14ac:dyDescent="0.45">
      <c r="A32">
        <v>7.5</v>
      </c>
      <c r="B32">
        <f t="shared" ref="B32:B41" si="8">EXP(C32)</f>
        <v>0.77393339707051723</v>
      </c>
      <c r="C32">
        <f t="shared" ref="C32:C41" si="9">$C$30+($C$42-$C$30)*(A32-$A$30)/($A$42-$A$30)</f>
        <v>-0.25626945939143847</v>
      </c>
      <c r="G32">
        <f t="shared" si="0"/>
        <v>3.4169261252191795E-2</v>
      </c>
      <c r="H32">
        <f t="shared" si="5"/>
        <v>3.6395483562629671E-2</v>
      </c>
      <c r="J32">
        <f t="shared" si="1"/>
        <v>6.7041980521233557E-3</v>
      </c>
      <c r="K32">
        <f t="shared" si="2"/>
        <v>7.0419200579125377E-3</v>
      </c>
      <c r="N32">
        <f t="shared" si="3"/>
        <v>6.6337611900173111E-3</v>
      </c>
      <c r="O32">
        <f t="shared" si="4"/>
        <v>7.0419200579125377E-3</v>
      </c>
    </row>
    <row r="33" spans="1:15" x14ac:dyDescent="0.45">
      <c r="A33">
        <v>7.75</v>
      </c>
      <c r="B33">
        <f t="shared" si="8"/>
        <v>0.76695497279411595</v>
      </c>
      <c r="C33">
        <f t="shared" si="9"/>
        <v>-0.26532718495205249</v>
      </c>
      <c r="G33">
        <f t="shared" si="0"/>
        <v>3.4235765800264835E-2</v>
      </c>
      <c r="H33">
        <f t="shared" si="5"/>
        <v>3.6395483562629671E-2</v>
      </c>
      <c r="J33">
        <f t="shared" si="1"/>
        <v>6.6437474518290292E-3</v>
      </c>
      <c r="K33">
        <f t="shared" si="2"/>
        <v>6.9784242764013337E-3</v>
      </c>
      <c r="N33">
        <f t="shared" si="3"/>
        <v>6.5739457067890469E-3</v>
      </c>
      <c r="O33">
        <f t="shared" si="4"/>
        <v>6.9784242764013337E-3</v>
      </c>
    </row>
    <row r="34" spans="1:15" x14ac:dyDescent="0.45">
      <c r="A34">
        <v>8</v>
      </c>
      <c r="B34">
        <f t="shared" si="8"/>
        <v>0.76003947176868925</v>
      </c>
      <c r="C34">
        <f t="shared" si="9"/>
        <v>-0.2743849105126665</v>
      </c>
      <c r="G34">
        <f t="shared" si="0"/>
        <v>3.4298113814083313E-2</v>
      </c>
      <c r="H34">
        <f t="shared" si="5"/>
        <v>3.6395483562629671E-2</v>
      </c>
      <c r="J34">
        <f t="shared" si="1"/>
        <v>6.5838419241962707E-3</v>
      </c>
      <c r="K34">
        <f t="shared" si="2"/>
        <v>6.9155010254267667E-3</v>
      </c>
      <c r="N34">
        <f t="shared" si="3"/>
        <v>6.5146695694810446E-3</v>
      </c>
      <c r="O34">
        <f t="shared" si="4"/>
        <v>6.9155010254267667E-3</v>
      </c>
    </row>
    <row r="35" spans="1:15" x14ac:dyDescent="0.45">
      <c r="A35">
        <v>8.25</v>
      </c>
      <c r="B35">
        <f t="shared" si="8"/>
        <v>0.75318632662610985</v>
      </c>
      <c r="C35">
        <f t="shared" si="9"/>
        <v>-0.28344263607328052</v>
      </c>
      <c r="G35">
        <f t="shared" si="0"/>
        <v>3.4356683160397639E-2</v>
      </c>
      <c r="H35">
        <f t="shared" si="5"/>
        <v>3.6395483562628783E-2</v>
      </c>
      <c r="J35">
        <f t="shared" si="1"/>
        <v>6.5244765543986767E-3</v>
      </c>
      <c r="K35">
        <f t="shared" si="2"/>
        <v>6.8531451425793335E-3</v>
      </c>
      <c r="M35" t="s">
        <v>17</v>
      </c>
      <c r="N35">
        <f>SUM(N3:N34)</f>
        <v>0.23996049174729392</v>
      </c>
      <c r="O35">
        <f>SUM(O3:O34)</f>
        <v>0.239960528231311</v>
      </c>
    </row>
    <row r="36" spans="1:15" x14ac:dyDescent="0.45">
      <c r="A36">
        <v>8.5</v>
      </c>
      <c r="B36">
        <f t="shared" si="8"/>
        <v>0.74639497511411124</v>
      </c>
      <c r="C36">
        <f t="shared" si="9"/>
        <v>-0.29250036163389453</v>
      </c>
      <c r="G36">
        <f t="shared" si="0"/>
        <v>3.4411807251046415E-2</v>
      </c>
      <c r="H36">
        <f t="shared" si="5"/>
        <v>3.6395483562628783E-2</v>
      </c>
      <c r="J36">
        <f t="shared" si="1"/>
        <v>6.465646471925989E-3</v>
      </c>
      <c r="K36">
        <f t="shared" si="2"/>
        <v>6.7913515119985886E-3</v>
      </c>
    </row>
    <row r="37" spans="1:15" x14ac:dyDescent="0.45">
      <c r="A37">
        <v>8.75</v>
      </c>
      <c r="B37">
        <f t="shared" si="8"/>
        <v>0.73966486005015875</v>
      </c>
      <c r="C37">
        <f t="shared" si="9"/>
        <v>-0.30155808719450855</v>
      </c>
      <c r="G37">
        <f t="shared" si="0"/>
        <v>3.4463781393658119E-2</v>
      </c>
      <c r="H37">
        <f t="shared" si="5"/>
        <v>3.6395483562628783E-2</v>
      </c>
      <c r="J37">
        <f t="shared" si="1"/>
        <v>6.4073468501845005E-3</v>
      </c>
      <c r="K37">
        <f t="shared" si="2"/>
        <v>6.7301150639524181E-3</v>
      </c>
    </row>
    <row r="38" spans="1:15" x14ac:dyDescent="0.45">
      <c r="A38">
        <v>9</v>
      </c>
      <c r="B38">
        <f t="shared" si="8"/>
        <v>0.7329954292757368</v>
      </c>
      <c r="C38">
        <f t="shared" si="9"/>
        <v>-0.31061581275512262</v>
      </c>
      <c r="G38">
        <f t="shared" si="0"/>
        <v>3.4512868083902512E-2</v>
      </c>
      <c r="H38">
        <f t="shared" si="5"/>
        <v>3.6395483562629671E-2</v>
      </c>
      <c r="J38">
        <f t="shared" si="1"/>
        <v>6.3495729061010704E-3</v>
      </c>
      <c r="K38">
        <f t="shared" si="2"/>
        <v>6.6694307744219394E-3</v>
      </c>
    </row>
    <row r="39" spans="1:15" x14ac:dyDescent="0.45">
      <c r="A39">
        <v>9.25</v>
      </c>
      <c r="B39">
        <f t="shared" si="8"/>
        <v>0.72638613561104837</v>
      </c>
      <c r="C39">
        <f t="shared" si="9"/>
        <v>-0.31967353831573664</v>
      </c>
      <c r="G39">
        <f t="shared" si="0"/>
        <v>3.4559301439539093E-2</v>
      </c>
      <c r="H39">
        <f t="shared" si="5"/>
        <v>3.6395483562629671E-2</v>
      </c>
      <c r="J39">
        <f t="shared" si="1"/>
        <v>6.2923198997307068E-3</v>
      </c>
      <c r="K39">
        <f t="shared" si="2"/>
        <v>6.6092936646884991E-3</v>
      </c>
    </row>
    <row r="40" spans="1:15" x14ac:dyDescent="0.45">
      <c r="A40">
        <v>9.5</v>
      </c>
      <c r="B40">
        <f t="shared" si="8"/>
        <v>0.71983643681012222</v>
      </c>
      <c r="C40">
        <f t="shared" si="9"/>
        <v>-0.32873126387635065</v>
      </c>
      <c r="G40">
        <f t="shared" si="0"/>
        <v>3.4603290934352701E-2</v>
      </c>
      <c r="H40">
        <f t="shared" si="5"/>
        <v>3.6395483562629671E-2</v>
      </c>
      <c r="J40">
        <f t="shared" si="1"/>
        <v>6.2355831338676837E-3</v>
      </c>
      <c r="K40">
        <f t="shared" si="2"/>
        <v>6.5496988009261792E-3</v>
      </c>
    </row>
    <row r="41" spans="1:15" x14ac:dyDescent="0.45">
      <c r="A41">
        <v>9.75</v>
      </c>
      <c r="B41">
        <f t="shared" si="8"/>
        <v>0.71334579551632593</v>
      </c>
      <c r="C41">
        <f t="shared" si="9"/>
        <v>-0.33778898943696467</v>
      </c>
      <c r="G41">
        <f t="shared" si="0"/>
        <v>3.4645024557637405E-2</v>
      </c>
      <c r="H41">
        <f t="shared" si="5"/>
        <v>3.6395483562629671E-2</v>
      </c>
      <c r="J41">
        <f t="shared" si="1"/>
        <v>6.1793579536601733E-3</v>
      </c>
      <c r="K41">
        <f t="shared" si="2"/>
        <v>6.4906412937963572E-3</v>
      </c>
    </row>
    <row r="42" spans="1:15" x14ac:dyDescent="0.45">
      <c r="A42">
        <v>10</v>
      </c>
      <c r="B42">
        <v>0.7069136792182793</v>
      </c>
      <c r="C42">
        <f>LN(B42)</f>
        <v>-0.34684671499757869</v>
      </c>
      <c r="D42">
        <f>(1-B42)/(SUM($B$3:B42) *0.25)</f>
        <v>3.4649999999999986E-2</v>
      </c>
      <c r="E42">
        <f>VLOOKUP(A42,Sheet1!$P$15:$Q$25,2)/100</f>
        <v>3.465E-2</v>
      </c>
      <c r="F42">
        <f>D42-E42</f>
        <v>0</v>
      </c>
      <c r="G42">
        <f t="shared" si="0"/>
        <v>3.4684671499757867E-2</v>
      </c>
      <c r="H42">
        <f t="shared" si="5"/>
        <v>3.6395483562628783E-2</v>
      </c>
      <c r="J42">
        <f t="shared" si="1"/>
        <v>6.1236397462283449E-3</v>
      </c>
      <c r="K42">
        <f t="shared" si="2"/>
        <v>6.4321162980465803E-3</v>
      </c>
    </row>
    <row r="43" spans="1:15" x14ac:dyDescent="0.45">
      <c r="I43" t="s">
        <v>17</v>
      </c>
      <c r="J43">
        <f>SUM(J3:J42)</f>
        <v>0.29308632078172075</v>
      </c>
      <c r="K43">
        <f>SUM(K3:K42)</f>
        <v>0.29308632078172092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49EB-8486-4035-B3E5-C867A047E265}">
  <dimension ref="A1:O43"/>
  <sheetViews>
    <sheetView topLeftCell="A13" workbookViewId="0">
      <selection activeCell="F42" sqref="F42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  <col min="10" max="10" width="11.83203125" customWidth="1"/>
    <col min="11" max="11" width="11.5" bestFit="1" customWidth="1"/>
  </cols>
  <sheetData>
    <row r="1" spans="1:15" x14ac:dyDescent="0.45">
      <c r="A1" t="s">
        <v>2</v>
      </c>
      <c r="I1" t="s">
        <v>16</v>
      </c>
      <c r="J1">
        <f>Sheet1!B9/100</f>
        <v>3.465E-2</v>
      </c>
      <c r="M1" t="s">
        <v>40</v>
      </c>
      <c r="N1">
        <f>Sheet1!C33</f>
        <v>3.4285953882477946E-2</v>
      </c>
    </row>
    <row r="2" spans="1:15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J2" t="s">
        <v>14</v>
      </c>
      <c r="K2" t="s">
        <v>15</v>
      </c>
      <c r="N2" t="s">
        <v>4</v>
      </c>
      <c r="O2" t="s">
        <v>5</v>
      </c>
    </row>
    <row r="3" spans="1:15" x14ac:dyDescent="0.45">
      <c r="A3" cm="1">
        <f t="array" ref="A3:A42">_xlfn.SEQUENCE(40,,0.25,0.25)</f>
        <v>0.25</v>
      </c>
      <c r="B3">
        <f>1/(1+Sheet1!B2/100*0.25)</f>
        <v>0.99304865938430997</v>
      </c>
      <c r="C3">
        <f>LN(B3)</f>
        <v>-6.9756137364250992E-3</v>
      </c>
      <c r="G3">
        <f>-C3/A3</f>
        <v>2.7902454945700397E-2</v>
      </c>
      <c r="H3">
        <f>(1/B3-1)/0.25</f>
        <v>2.7999999999999581E-2</v>
      </c>
      <c r="J3">
        <f>$J$1*0.25*B3</f>
        <v>8.6022840119165857E-3</v>
      </c>
      <c r="K3">
        <f>H3*0.25*B3</f>
        <v>6.9513406156900661E-3</v>
      </c>
      <c r="N3">
        <f>$N$1*0.25*B3</f>
        <v>8.5119051346767508E-3</v>
      </c>
      <c r="O3">
        <f>B3*0.25*H3</f>
        <v>6.9513406156900661E-3</v>
      </c>
    </row>
    <row r="4" spans="1:15" x14ac:dyDescent="0.45">
      <c r="A4">
        <v>0.5</v>
      </c>
      <c r="B4">
        <f>EXP(C4)</f>
        <v>0.98576081333172305</v>
      </c>
      <c r="C4">
        <f>$C$3+($C$6-$C$3)*(A4-$A$3)/($A$6-$A$3)</f>
        <v>-1.43415366353421E-2</v>
      </c>
      <c r="G4">
        <f t="shared" ref="G4:G42" si="0">-C4/A4</f>
        <v>2.8683073270684201E-2</v>
      </c>
      <c r="H4">
        <f>(B3/B4-1)/0.25</f>
        <v>2.957247216170078E-2</v>
      </c>
      <c r="J4">
        <f t="shared" ref="J4:J42" si="1">$J$1*0.25*B4</f>
        <v>8.5391530454860514E-3</v>
      </c>
      <c r="K4">
        <f t="shared" ref="K4:K42" si="2">H4*0.25*B4</f>
        <v>7.2878460525869744E-3</v>
      </c>
      <c r="N4">
        <f t="shared" ref="N4:N34" si="3">$N$1*0.25*B4</f>
        <v>8.4494374462613514E-3</v>
      </c>
      <c r="O4">
        <f t="shared" ref="O4:O34" si="4">B4*0.25*H4</f>
        <v>7.2878460525869744E-3</v>
      </c>
    </row>
    <row r="5" spans="1:15" x14ac:dyDescent="0.45">
      <c r="A5">
        <v>0.75</v>
      </c>
      <c r="B5">
        <f>EXP(C5)</f>
        <v>0.97852645176812303</v>
      </c>
      <c r="C5">
        <f>$C$3+($C$6-$C$3)*(A5-$A$3)/($A$6-$A$3)</f>
        <v>-2.1707459534259101E-2</v>
      </c>
      <c r="G5">
        <f t="shared" si="0"/>
        <v>2.8943279379012133E-2</v>
      </c>
      <c r="H5">
        <f t="shared" ref="H5:H42" si="5">(B4/B5-1)/0.25</f>
        <v>2.9572472161699892E-2</v>
      </c>
      <c r="J5">
        <f t="shared" si="1"/>
        <v>8.4764853884413665E-3</v>
      </c>
      <c r="K5">
        <f t="shared" si="2"/>
        <v>7.2343615635999479E-3</v>
      </c>
      <c r="N5">
        <f t="shared" si="3"/>
        <v>8.3874281995266614E-3</v>
      </c>
      <c r="O5">
        <f t="shared" si="4"/>
        <v>7.2343615635999479E-3</v>
      </c>
    </row>
    <row r="6" spans="1:15" x14ac:dyDescent="0.45">
      <c r="A6">
        <v>1</v>
      </c>
      <c r="B6">
        <v>0.97134518217828081</v>
      </c>
      <c r="C6">
        <f>LN(B6)</f>
        <v>-2.9073382433176101E-2</v>
      </c>
      <c r="D6">
        <f>(1-B6)/(SUM($B$3:B6) *0.25)</f>
        <v>2.9175000000000045E-2</v>
      </c>
      <c r="E6">
        <f>VLOOKUP(A6,Sheet1!$S$15:$T$25,2)/100</f>
        <v>2.9175E-2</v>
      </c>
      <c r="F6">
        <f>D6-E6</f>
        <v>4.5102810375396984E-17</v>
      </c>
      <c r="G6">
        <f t="shared" si="0"/>
        <v>2.9073382433176101E-2</v>
      </c>
      <c r="H6">
        <f t="shared" si="5"/>
        <v>2.9572472161699892E-2</v>
      </c>
      <c r="J6">
        <f t="shared" si="1"/>
        <v>8.4142776406193574E-3</v>
      </c>
      <c r="K6">
        <f t="shared" si="2"/>
        <v>7.1812695898421297E-3</v>
      </c>
      <c r="N6">
        <f t="shared" si="3"/>
        <v>8.3258740300329193E-3</v>
      </c>
      <c r="O6">
        <f t="shared" si="4"/>
        <v>7.1812695898421297E-3</v>
      </c>
    </row>
    <row r="7" spans="1:15" x14ac:dyDescent="0.45">
      <c r="A7">
        <v>1.25</v>
      </c>
      <c r="B7">
        <f>EXP(C7)</f>
        <v>0.96348575362774336</v>
      </c>
      <c r="C7">
        <f>$C$6+($C$10-$C$6)*(A7-$A$6)/($A$10-$A$6)</f>
        <v>-3.7197577300608041E-2</v>
      </c>
      <c r="G7">
        <f t="shared" si="0"/>
        <v>2.9758061840486433E-2</v>
      </c>
      <c r="H7">
        <f t="shared" si="5"/>
        <v>3.2629142759796892E-2</v>
      </c>
      <c r="J7">
        <f t="shared" si="1"/>
        <v>8.3461953408003262E-3</v>
      </c>
      <c r="K7">
        <f t="shared" si="2"/>
        <v>7.8594285505375339E-3</v>
      </c>
      <c r="N7">
        <f t="shared" si="3"/>
        <v>8.2585070288263285E-3</v>
      </c>
      <c r="O7">
        <f t="shared" si="4"/>
        <v>7.8594285505375339E-3</v>
      </c>
    </row>
    <row r="8" spans="1:15" x14ac:dyDescent="0.45">
      <c r="A8">
        <v>1.5</v>
      </c>
      <c r="B8">
        <f>EXP(C8)</f>
        <v>0.95568991793613434</v>
      </c>
      <c r="C8">
        <f>$C$6+($C$10-$C$6)*(A8-$A$6)/($A$10-$A$6)</f>
        <v>-4.5321772168039981E-2</v>
      </c>
      <c r="G8">
        <f t="shared" si="0"/>
        <v>3.021451477869332E-2</v>
      </c>
      <c r="H8">
        <f t="shared" si="5"/>
        <v>3.2629142759796004E-2</v>
      </c>
      <c r="J8">
        <f t="shared" si="1"/>
        <v>8.278663914121763E-3</v>
      </c>
      <c r="K8">
        <f t="shared" si="2"/>
        <v>7.7958356916089638E-3</v>
      </c>
      <c r="N8">
        <f t="shared" si="3"/>
        <v>8.1916851130768593E-3</v>
      </c>
      <c r="O8">
        <f t="shared" si="4"/>
        <v>7.7958356916089638E-3</v>
      </c>
    </row>
    <row r="9" spans="1:15" x14ac:dyDescent="0.45">
      <c r="A9">
        <v>1.75</v>
      </c>
      <c r="B9">
        <f>EXP(C9)</f>
        <v>0.94795716055564905</v>
      </c>
      <c r="C9">
        <f>$C$6+($C$10-$C$6)*(A9-$A$6)/($A$10-$A$6)</f>
        <v>-5.3445967035471921E-2</v>
      </c>
      <c r="G9">
        <f t="shared" si="0"/>
        <v>3.0540552591698241E-2</v>
      </c>
      <c r="H9">
        <f t="shared" si="5"/>
        <v>3.2629142759796004E-2</v>
      </c>
      <c r="J9">
        <f t="shared" si="1"/>
        <v>8.2116789033133096E-3</v>
      </c>
      <c r="K9">
        <f t="shared" si="2"/>
        <v>7.7327573804852837E-3</v>
      </c>
      <c r="N9">
        <f t="shared" si="3"/>
        <v>8.1254038723439313E-3</v>
      </c>
      <c r="O9">
        <f t="shared" si="4"/>
        <v>7.7327573804852837E-3</v>
      </c>
    </row>
    <row r="10" spans="1:15" x14ac:dyDescent="0.45">
      <c r="A10">
        <v>2</v>
      </c>
      <c r="B10">
        <v>0.94028697110183446</v>
      </c>
      <c r="C10">
        <f>LN(B10)</f>
        <v>-6.1570161902903861E-2</v>
      </c>
      <c r="D10">
        <f>(1-B10)/(SUM($B$3:B10) *0.25)</f>
        <v>3.0874999999999986E-2</v>
      </c>
      <c r="E10">
        <f>VLOOKUP(A10,Sheet1!$S$15:$T$25,2)/100</f>
        <v>3.0875E-2</v>
      </c>
      <c r="F10">
        <f>D10-E10</f>
        <v>0</v>
      </c>
      <c r="G10">
        <f t="shared" si="0"/>
        <v>3.0785080951451931E-2</v>
      </c>
      <c r="H10">
        <f t="shared" si="5"/>
        <v>3.2629142759796892E-2</v>
      </c>
      <c r="J10">
        <f t="shared" si="1"/>
        <v>8.1452358871696405E-3</v>
      </c>
      <c r="K10">
        <f t="shared" si="2"/>
        <v>7.6701894538146924E-3</v>
      </c>
      <c r="N10">
        <f t="shared" si="3"/>
        <v>8.0596589318730916E-3</v>
      </c>
      <c r="O10">
        <f t="shared" si="4"/>
        <v>7.6701894538146924E-3</v>
      </c>
    </row>
    <row r="11" spans="1:15" x14ac:dyDescent="0.45">
      <c r="A11">
        <v>2.25</v>
      </c>
      <c r="B11">
        <f>EXP(C11)</f>
        <v>0.93227780471949828</v>
      </c>
      <c r="C11">
        <f>$C$10+($C$14-$C$10)*(A11-$A$10)/($A$14-$A$10)</f>
        <v>-7.0124434978328071E-2</v>
      </c>
      <c r="G11">
        <f t="shared" si="0"/>
        <v>3.1166415545923587E-2</v>
      </c>
      <c r="H11">
        <f t="shared" si="5"/>
        <v>3.4363861680675178E-2</v>
      </c>
      <c r="J11">
        <f t="shared" si="1"/>
        <v>8.0758564833826544E-3</v>
      </c>
      <c r="K11">
        <f t="shared" si="2"/>
        <v>8.0091663823360863E-3</v>
      </c>
      <c r="N11">
        <f t="shared" si="3"/>
        <v>7.991008454567624E-3</v>
      </c>
      <c r="O11">
        <f t="shared" si="4"/>
        <v>8.0091663823360863E-3</v>
      </c>
    </row>
    <row r="12" spans="1:15" x14ac:dyDescent="0.45">
      <c r="A12">
        <v>2.5</v>
      </c>
      <c r="B12">
        <f>EXP(C12)</f>
        <v>0.92433685872956517</v>
      </c>
      <c r="C12">
        <f>$C$10+($C$14-$C$10)*(A12-$A$10)/($A$14-$A$10)</f>
        <v>-7.8678708053752267E-2</v>
      </c>
      <c r="G12">
        <f t="shared" si="0"/>
        <v>3.1471483221500909E-2</v>
      </c>
      <c r="H12">
        <f t="shared" si="5"/>
        <v>3.4363861680675178E-2</v>
      </c>
      <c r="J12">
        <f t="shared" si="1"/>
        <v>8.0070680387448589E-3</v>
      </c>
      <c r="K12">
        <f t="shared" si="2"/>
        <v>7.940945989933142E-3</v>
      </c>
      <c r="N12">
        <f t="shared" si="3"/>
        <v>7.922942727569101E-3</v>
      </c>
      <c r="O12">
        <f t="shared" si="4"/>
        <v>7.940945989933142E-3</v>
      </c>
    </row>
    <row r="13" spans="1:15" x14ac:dyDescent="0.45">
      <c r="A13">
        <v>2.75</v>
      </c>
      <c r="B13">
        <f>EXP(C13)</f>
        <v>0.91646355204510055</v>
      </c>
      <c r="C13">
        <f>$C$10+($C$14-$C$10)*(A13-$A$10)/($A$14-$A$10)</f>
        <v>-8.7232981129176476E-2</v>
      </c>
      <c r="G13">
        <f t="shared" si="0"/>
        <v>3.1721084046973262E-2</v>
      </c>
      <c r="H13">
        <f t="shared" si="5"/>
        <v>3.4363861680675178E-2</v>
      </c>
      <c r="J13">
        <f t="shared" si="1"/>
        <v>7.9388655195906828E-3</v>
      </c>
      <c r="K13">
        <f t="shared" si="2"/>
        <v>7.8733066844645233E-3</v>
      </c>
      <c r="N13">
        <f t="shared" si="3"/>
        <v>7.8554567700975606E-3</v>
      </c>
      <c r="O13">
        <f t="shared" si="4"/>
        <v>7.8733066844645233E-3</v>
      </c>
    </row>
    <row r="14" spans="1:15" x14ac:dyDescent="0.45">
      <c r="A14">
        <v>3</v>
      </c>
      <c r="B14">
        <v>0.90865730852874638</v>
      </c>
      <c r="C14">
        <f>LN(B14)</f>
        <v>-9.5787254204600686E-2</v>
      </c>
      <c r="D14">
        <f>(1-B14)/(SUM($B$3:B14) *0.25)</f>
        <v>3.199999999999998E-2</v>
      </c>
      <c r="E14">
        <f>VLOOKUP(A14,Sheet1!$S$15:$T$25,2)/100</f>
        <v>3.2000000000000001E-2</v>
      </c>
      <c r="F14">
        <f>D14-E14</f>
        <v>0</v>
      </c>
      <c r="G14">
        <f t="shared" si="0"/>
        <v>3.1929084734866893E-2</v>
      </c>
      <c r="H14">
        <f t="shared" si="5"/>
        <v>3.4363861680675178E-2</v>
      </c>
      <c r="J14">
        <f t="shared" si="1"/>
        <v>7.8712439351302649E-3</v>
      </c>
      <c r="K14">
        <f t="shared" si="2"/>
        <v>7.8062435163541079E-3</v>
      </c>
      <c r="N14">
        <f t="shared" si="3"/>
        <v>7.7885456437982829E-3</v>
      </c>
      <c r="O14">
        <f t="shared" si="4"/>
        <v>7.8062435163541079E-3</v>
      </c>
    </row>
    <row r="15" spans="1:15" x14ac:dyDescent="0.45">
      <c r="A15">
        <v>3.25</v>
      </c>
      <c r="B15">
        <f>EXP(C15)</f>
        <v>0.90078730517206684</v>
      </c>
      <c r="C15">
        <f>$C$14+($C$18-$C$14)*(A15-$A$14)/($A$18-$A$14)</f>
        <v>-0.10448611453341966</v>
      </c>
      <c r="G15">
        <f t="shared" si="0"/>
        <v>3.2149573702590667E-2</v>
      </c>
      <c r="H15">
        <f t="shared" si="5"/>
        <v>3.494722144280793E-2</v>
      </c>
      <c r="J15">
        <f t="shared" si="1"/>
        <v>7.8030700310530287E-3</v>
      </c>
      <c r="K15">
        <f t="shared" si="2"/>
        <v>7.8700033566796064E-3</v>
      </c>
      <c r="N15">
        <f t="shared" si="3"/>
        <v>7.7210880007627675E-3</v>
      </c>
      <c r="O15">
        <f t="shared" si="4"/>
        <v>7.8700033566796064E-3</v>
      </c>
    </row>
    <row r="16" spans="1:15" x14ac:dyDescent="0.45">
      <c r="A16">
        <v>3.5</v>
      </c>
      <c r="B16">
        <f>EXP(C16)</f>
        <v>0.89298546497464748</v>
      </c>
      <c r="C16">
        <f>$C$14+($C$18-$C$14)*(A16-$A$14)/($A$18-$A$14)</f>
        <v>-0.11318497486223864</v>
      </c>
      <c r="G16">
        <f t="shared" si="0"/>
        <v>3.2338564246353896E-2</v>
      </c>
      <c r="H16">
        <f t="shared" si="5"/>
        <v>3.494722144280793E-2</v>
      </c>
      <c r="J16">
        <f t="shared" si="1"/>
        <v>7.7354865903428837E-3</v>
      </c>
      <c r="K16">
        <f t="shared" si="2"/>
        <v>7.8018401974194523E-3</v>
      </c>
      <c r="N16">
        <f t="shared" si="3"/>
        <v>7.6542146174609724E-3</v>
      </c>
      <c r="O16">
        <f t="shared" si="4"/>
        <v>7.8018401974194523E-3</v>
      </c>
    </row>
    <row r="17" spans="1:15" x14ac:dyDescent="0.45">
      <c r="A17">
        <v>3.75</v>
      </c>
      <c r="B17">
        <f>EXP(C17)</f>
        <v>0.88525119756618353</v>
      </c>
      <c r="C17">
        <f>$C$14+($C$18-$C$14)*(A17-$A$14)/($A$18-$A$14)</f>
        <v>-0.12188383519105761</v>
      </c>
      <c r="G17">
        <f t="shared" si="0"/>
        <v>3.2502356050948693E-2</v>
      </c>
      <c r="H17">
        <f t="shared" si="5"/>
        <v>3.4947221442807042E-2</v>
      </c>
      <c r="J17">
        <f t="shared" si="1"/>
        <v>7.668488498917065E-3</v>
      </c>
      <c r="K17">
        <f t="shared" si="2"/>
        <v>7.7342674084638855E-3</v>
      </c>
      <c r="N17">
        <f t="shared" si="3"/>
        <v>7.5879204335406354E-3</v>
      </c>
      <c r="O17">
        <f t="shared" si="4"/>
        <v>7.7342674084638855E-3</v>
      </c>
    </row>
    <row r="18" spans="1:15" x14ac:dyDescent="0.45">
      <c r="A18">
        <v>4</v>
      </c>
      <c r="B18">
        <v>0.87758391768964683</v>
      </c>
      <c r="C18">
        <f>LN(B18)</f>
        <v>-0.13058269551987658</v>
      </c>
      <c r="D18">
        <f>(1-B18)/(SUM($B$3:B18) *0.25)</f>
        <v>3.27E-2</v>
      </c>
      <c r="E18">
        <f>VLOOKUP(A18,Sheet1!$S$15:$T$25,2)/100</f>
        <v>3.27E-2</v>
      </c>
      <c r="F18">
        <f>D18-E18</f>
        <v>0</v>
      </c>
      <c r="G18">
        <f t="shared" si="0"/>
        <v>3.2645673879969146E-2</v>
      </c>
      <c r="H18">
        <f t="shared" si="5"/>
        <v>3.494722144280793E-2</v>
      </c>
      <c r="J18">
        <f t="shared" si="1"/>
        <v>7.6020706869865656E-3</v>
      </c>
      <c r="K18">
        <f t="shared" si="2"/>
        <v>7.6672798765367537E-3</v>
      </c>
      <c r="N18">
        <f t="shared" si="3"/>
        <v>7.5222004324778883E-3</v>
      </c>
      <c r="O18">
        <f t="shared" si="4"/>
        <v>7.6672798765367537E-3</v>
      </c>
    </row>
    <row r="19" spans="1:15" x14ac:dyDescent="0.45">
      <c r="A19">
        <v>4.25</v>
      </c>
      <c r="B19">
        <f>EXP(C19)</f>
        <v>0.86983182322445407</v>
      </c>
      <c r="C19">
        <f>$C$18+($C$22-$C$18)*(A19-$A$18)/($A$22-$A$18)</f>
        <v>-0.13945539265820261</v>
      </c>
      <c r="G19">
        <f t="shared" si="0"/>
        <v>3.281303356663591E-2</v>
      </c>
      <c r="H19">
        <f t="shared" si="5"/>
        <v>3.564870476435722E-2</v>
      </c>
      <c r="J19">
        <f t="shared" si="1"/>
        <v>7.5349181686818331E-3</v>
      </c>
      <c r="K19">
        <f t="shared" si="2"/>
        <v>7.7520944651927803E-3</v>
      </c>
      <c r="N19">
        <f t="shared" si="3"/>
        <v>7.455753444146335E-3</v>
      </c>
      <c r="O19">
        <f t="shared" si="4"/>
        <v>7.7520944651927803E-3</v>
      </c>
    </row>
    <row r="20" spans="1:15" x14ac:dyDescent="0.45">
      <c r="A20">
        <v>4.5</v>
      </c>
      <c r="B20">
        <f>EXP(C20)</f>
        <v>0.86214820650524759</v>
      </c>
      <c r="C20">
        <f>$C$18+($C$22-$C$18)*(A20-$A$18)/($A$22-$A$18)</f>
        <v>-0.14832808979652864</v>
      </c>
      <c r="G20">
        <f t="shared" si="0"/>
        <v>3.2961797732561922E-2</v>
      </c>
      <c r="H20">
        <f t="shared" si="5"/>
        <v>3.564870476435722E-2</v>
      </c>
      <c r="J20">
        <f t="shared" si="1"/>
        <v>7.4683588388517073E-3</v>
      </c>
      <c r="K20">
        <f t="shared" si="2"/>
        <v>7.6836167192064131E-3</v>
      </c>
      <c r="N20">
        <f t="shared" si="3"/>
        <v>7.3898934120249981E-3</v>
      </c>
      <c r="O20">
        <f t="shared" si="4"/>
        <v>7.6836167192064131E-3</v>
      </c>
    </row>
    <row r="21" spans="1:15" x14ac:dyDescent="0.45">
      <c r="A21">
        <v>4.75</v>
      </c>
      <c r="B21">
        <f>EXP(C21)</f>
        <v>0.85453246263721927</v>
      </c>
      <c r="C21">
        <f>$C$18+($C$22-$C$18)*(A21-$A$18)/($A$22-$A$18)</f>
        <v>-0.15720078693485467</v>
      </c>
      <c r="G21">
        <f t="shared" si="0"/>
        <v>3.3094902512600985E-2</v>
      </c>
      <c r="H21">
        <f t="shared" si="5"/>
        <v>3.564870476435722E-2</v>
      </c>
      <c r="J21">
        <f t="shared" si="1"/>
        <v>7.4023874575949123E-3</v>
      </c>
      <c r="K21">
        <f t="shared" si="2"/>
        <v>7.6157438680283362E-3</v>
      </c>
      <c r="N21">
        <f t="shared" si="3"/>
        <v>7.3246151512650019E-3</v>
      </c>
      <c r="O21">
        <f t="shared" si="4"/>
        <v>7.6157438680283362E-3</v>
      </c>
    </row>
    <row r="22" spans="1:15" x14ac:dyDescent="0.45">
      <c r="A22">
        <v>5</v>
      </c>
      <c r="B22">
        <v>0.84698399206886932</v>
      </c>
      <c r="C22">
        <f>LN(B22)</f>
        <v>-0.1660734840731807</v>
      </c>
      <c r="D22">
        <f>(1-B22)/(SUM($B$3:B22) *0.25)</f>
        <v>3.3250000000000002E-2</v>
      </c>
      <c r="E22">
        <f>VLOOKUP(A22,Sheet1!$S$15:$T$25,2)/100</f>
        <v>3.3250000000000002E-2</v>
      </c>
      <c r="F22">
        <f>D22-E22</f>
        <v>0</v>
      </c>
      <c r="G22">
        <f t="shared" si="0"/>
        <v>3.3214696814636138E-2</v>
      </c>
      <c r="H22">
        <f t="shared" si="5"/>
        <v>3.564870476435722E-2</v>
      </c>
      <c r="J22">
        <f t="shared" si="1"/>
        <v>7.3369988312965801E-3</v>
      </c>
      <c r="K22">
        <f t="shared" si="2"/>
        <v>7.5484705683499494E-3</v>
      </c>
      <c r="N22">
        <f t="shared" si="3"/>
        <v>7.2599135228175798E-3</v>
      </c>
      <c r="O22">
        <f t="shared" si="4"/>
        <v>7.5484705683499494E-3</v>
      </c>
    </row>
    <row r="23" spans="1:15" x14ac:dyDescent="0.45">
      <c r="A23">
        <v>5.25</v>
      </c>
      <c r="B23">
        <f t="shared" ref="B23:B29" si="6">EXP(C23)</f>
        <v>0.83930414440740386</v>
      </c>
      <c r="C23">
        <f>$C$22+($C$30-$C$22)*(A23-$A$22)/($A$30-$A$22)</f>
        <v>-0.17518212997226443</v>
      </c>
      <c r="G23">
        <f t="shared" si="0"/>
        <v>3.3368024756621796E-2</v>
      </c>
      <c r="H23">
        <f t="shared" si="5"/>
        <v>3.6601023419884804E-2</v>
      </c>
      <c r="J23">
        <f t="shared" si="1"/>
        <v>7.2704721509291364E-3</v>
      </c>
      <c r="K23">
        <f t="shared" si="2"/>
        <v>7.6798476614654415E-3</v>
      </c>
      <c r="N23">
        <f t="shared" si="3"/>
        <v>7.1940857971312146E-3</v>
      </c>
      <c r="O23">
        <f t="shared" si="4"/>
        <v>7.6798476614654415E-3</v>
      </c>
    </row>
    <row r="24" spans="1:15" x14ac:dyDescent="0.45">
      <c r="A24">
        <v>5.5</v>
      </c>
      <c r="B24">
        <f t="shared" si="6"/>
        <v>0.83169393213533838</v>
      </c>
      <c r="C24">
        <f t="shared" ref="C24:C29" si="7">$C$22+($C$30-$C$22)*(A24-$A$22)/($A$30-$A$22)</f>
        <v>-0.18429077587134818</v>
      </c>
      <c r="G24">
        <f t="shared" si="0"/>
        <v>3.350741379479058E-2</v>
      </c>
      <c r="H24">
        <f t="shared" si="5"/>
        <v>3.6601023419884804E-2</v>
      </c>
      <c r="J24">
        <f t="shared" si="1"/>
        <v>7.2045486871223684E-3</v>
      </c>
      <c r="K24">
        <f t="shared" si="2"/>
        <v>7.6102122720654005E-3</v>
      </c>
      <c r="N24">
        <f t="shared" si="3"/>
        <v>7.1288549503822386E-3</v>
      </c>
      <c r="O24">
        <f t="shared" si="4"/>
        <v>7.6102122720654005E-3</v>
      </c>
    </row>
    <row r="25" spans="1:15" x14ac:dyDescent="0.45">
      <c r="A25">
        <v>5.75</v>
      </c>
      <c r="B25">
        <f t="shared" si="6"/>
        <v>0.82415272384855265</v>
      </c>
      <c r="C25">
        <f t="shared" si="7"/>
        <v>-0.1933994217704319</v>
      </c>
      <c r="G25">
        <f t="shared" si="0"/>
        <v>3.3634682047031635E-2</v>
      </c>
      <c r="H25">
        <f t="shared" si="5"/>
        <v>3.6601023419884804E-2</v>
      </c>
      <c r="J25">
        <f t="shared" si="1"/>
        <v>7.1392229703380874E-3</v>
      </c>
      <c r="K25">
        <f t="shared" si="2"/>
        <v>7.5412082867856826E-3</v>
      </c>
      <c r="N25">
        <f t="shared" si="3"/>
        <v>7.0642155704975142E-3</v>
      </c>
      <c r="O25">
        <f t="shared" si="4"/>
        <v>7.5412082867856826E-3</v>
      </c>
    </row>
    <row r="26" spans="1:15" x14ac:dyDescent="0.45">
      <c r="A26">
        <v>6</v>
      </c>
      <c r="B26">
        <f t="shared" si="6"/>
        <v>0.81667989386804929</v>
      </c>
      <c r="C26">
        <f t="shared" si="7"/>
        <v>-0.20250806766951562</v>
      </c>
      <c r="G26">
        <f t="shared" si="0"/>
        <v>3.3751344611585937E-2</v>
      </c>
      <c r="H26">
        <f t="shared" si="5"/>
        <v>3.6601023419884804E-2</v>
      </c>
      <c r="J26">
        <f t="shared" si="1"/>
        <v>7.0744895806319772E-3</v>
      </c>
      <c r="K26">
        <f t="shared" si="2"/>
        <v>7.4728299805033767E-3</v>
      </c>
      <c r="N26">
        <f t="shared" si="3"/>
        <v>7.0001622944767302E-3</v>
      </c>
      <c r="O26">
        <f t="shared" si="4"/>
        <v>7.4728299805033767E-3</v>
      </c>
    </row>
    <row r="27" spans="1:15" x14ac:dyDescent="0.45">
      <c r="A27">
        <v>6.25</v>
      </c>
      <c r="B27">
        <f t="shared" si="6"/>
        <v>0.80927482218804225</v>
      </c>
      <c r="C27">
        <f t="shared" si="7"/>
        <v>-0.21161671356859937</v>
      </c>
      <c r="G27">
        <f t="shared" si="0"/>
        <v>3.3858674170975898E-2</v>
      </c>
      <c r="H27">
        <f t="shared" si="5"/>
        <v>3.6601023419885692E-2</v>
      </c>
      <c r="J27">
        <f t="shared" si="1"/>
        <v>7.0103431472039162E-3</v>
      </c>
      <c r="K27">
        <f t="shared" si="2"/>
        <v>7.4050716800070906E-3</v>
      </c>
      <c r="N27">
        <f t="shared" si="3"/>
        <v>6.9366898079474392E-3</v>
      </c>
      <c r="O27">
        <f t="shared" si="4"/>
        <v>7.4050716800070906E-3</v>
      </c>
    </row>
    <row r="28" spans="1:15" x14ac:dyDescent="0.45">
      <c r="A28">
        <v>6.5</v>
      </c>
      <c r="B28">
        <f t="shared" si="6"/>
        <v>0.80193689442451688</v>
      </c>
      <c r="C28">
        <f t="shared" si="7"/>
        <v>-0.2207253594676831</v>
      </c>
      <c r="G28">
        <f t="shared" si="0"/>
        <v>3.3957747610412786E-2</v>
      </c>
      <c r="H28">
        <f t="shared" si="5"/>
        <v>3.6601023419884804E-2</v>
      </c>
      <c r="J28">
        <f t="shared" si="1"/>
        <v>6.9467783479523777E-3</v>
      </c>
      <c r="K28">
        <f t="shared" si="2"/>
        <v>7.3379277635253577E-3</v>
      </c>
      <c r="N28">
        <f t="shared" si="3"/>
        <v>6.8737928447241432E-3</v>
      </c>
      <c r="O28">
        <f t="shared" si="4"/>
        <v>7.3379277635253577E-3</v>
      </c>
    </row>
    <row r="29" spans="1:15" x14ac:dyDescent="0.45">
      <c r="A29">
        <v>6.75</v>
      </c>
      <c r="B29">
        <f t="shared" si="6"/>
        <v>0.79466550176425477</v>
      </c>
      <c r="C29">
        <f t="shared" si="7"/>
        <v>-0.22983400536676685</v>
      </c>
      <c r="G29">
        <f t="shared" si="0"/>
        <v>3.4049482276558053E-2</v>
      </c>
      <c r="H29">
        <f t="shared" si="5"/>
        <v>3.6601023419885692E-2</v>
      </c>
      <c r="J29">
        <f t="shared" si="1"/>
        <v>6.8837899090328572E-3</v>
      </c>
      <c r="K29">
        <f t="shared" si="2"/>
        <v>7.2713926602621754E-3</v>
      </c>
      <c r="N29">
        <f t="shared" si="3"/>
        <v>6.8114661863713588E-3</v>
      </c>
      <c r="O29">
        <f t="shared" si="4"/>
        <v>7.2713926602621754E-3</v>
      </c>
    </row>
    <row r="30" spans="1:15" x14ac:dyDescent="0.45">
      <c r="A30">
        <v>7</v>
      </c>
      <c r="B30">
        <v>0.78746004091432265</v>
      </c>
      <c r="C30">
        <f>LN(B30)</f>
        <v>-0.23894265126585057</v>
      </c>
      <c r="D30">
        <f>(1-B30)/(SUM($B$3:B30) *0.25)</f>
        <v>3.4124999999999996E-2</v>
      </c>
      <c r="E30">
        <f>VLOOKUP(A30,Sheet1!$S$15:$T$25,2)/100</f>
        <v>3.4124999999999996E-2</v>
      </c>
      <c r="F30">
        <f>D30-E30</f>
        <v>0</v>
      </c>
      <c r="G30">
        <f t="shared" si="0"/>
        <v>3.4134664466550078E-2</v>
      </c>
      <c r="H30">
        <f t="shared" si="5"/>
        <v>3.6601023419884804E-2</v>
      </c>
      <c r="J30">
        <f t="shared" si="1"/>
        <v>6.8213726044203202E-3</v>
      </c>
      <c r="K30">
        <f t="shared" si="2"/>
        <v>7.2054608499321424E-3</v>
      </c>
      <c r="N30">
        <f t="shared" si="3"/>
        <v>6.7497046617706656E-3</v>
      </c>
      <c r="O30">
        <f t="shared" si="4"/>
        <v>7.2054608499321424E-3</v>
      </c>
    </row>
    <row r="31" spans="1:15" x14ac:dyDescent="0.45">
      <c r="A31">
        <v>7.25</v>
      </c>
      <c r="B31">
        <f>EXP(C31)</f>
        <v>0.78041354953499376</v>
      </c>
      <c r="C31">
        <f>$C$30+($C$42-$C$30)*(A31-$A$30)/($A$42-$A$30)</f>
        <v>-0.24793130808893488</v>
      </c>
      <c r="G31">
        <f t="shared" si="0"/>
        <v>3.4197421805370325E-2</v>
      </c>
      <c r="H31">
        <f t="shared" si="5"/>
        <v>3.611670444998083E-2</v>
      </c>
      <c r="J31">
        <f t="shared" si="1"/>
        <v>6.7603323728468835E-3</v>
      </c>
      <c r="K31">
        <f t="shared" si="2"/>
        <v>7.0464913793289608E-3</v>
      </c>
      <c r="N31">
        <f t="shared" si="3"/>
        <v>6.6893057421544286E-3</v>
      </c>
      <c r="O31">
        <f t="shared" si="4"/>
        <v>7.0464913793289608E-3</v>
      </c>
    </row>
    <row r="32" spans="1:15" x14ac:dyDescent="0.45">
      <c r="A32">
        <v>7.5</v>
      </c>
      <c r="B32">
        <f t="shared" ref="B32:B41" si="8">EXP(C32)</f>
        <v>0.77343011283549512</v>
      </c>
      <c r="C32">
        <f t="shared" ref="C32:C41" si="9">$C$30+($C$42-$C$30)*(A32-$A$30)/($A$42-$A$30)</f>
        <v>-0.25691996491201918</v>
      </c>
      <c r="G32">
        <f t="shared" si="0"/>
        <v>3.4255995321602555E-2</v>
      </c>
      <c r="H32">
        <f t="shared" si="5"/>
        <v>3.6116704449979942E-2</v>
      </c>
      <c r="J32">
        <f t="shared" si="1"/>
        <v>6.6998383524374764E-3</v>
      </c>
      <c r="K32">
        <f t="shared" si="2"/>
        <v>6.9834366994985537E-3</v>
      </c>
      <c r="N32">
        <f t="shared" si="3"/>
        <v>6.6294472949993749E-3</v>
      </c>
      <c r="O32">
        <f t="shared" si="4"/>
        <v>6.9834366994985537E-3</v>
      </c>
    </row>
    <row r="33" spans="1:15" x14ac:dyDescent="0.45">
      <c r="A33">
        <v>7.75</v>
      </c>
      <c r="B33">
        <f t="shared" si="8"/>
        <v>0.7665091665786149</v>
      </c>
      <c r="C33">
        <f t="shared" si="9"/>
        <v>-0.26590862173510349</v>
      </c>
      <c r="G33">
        <f t="shared" si="0"/>
        <v>3.4310789901303679E-2</v>
      </c>
      <c r="H33">
        <f t="shared" si="5"/>
        <v>3.611670444998083E-2</v>
      </c>
      <c r="J33">
        <f t="shared" si="1"/>
        <v>6.6398856554872512E-3</v>
      </c>
      <c r="K33">
        <f t="shared" si="2"/>
        <v>6.9209462568802392E-3</v>
      </c>
      <c r="N33">
        <f t="shared" si="3"/>
        <v>6.5701244839527486E-3</v>
      </c>
      <c r="O33">
        <f t="shared" si="4"/>
        <v>6.9209462568802392E-3</v>
      </c>
    </row>
    <row r="34" spans="1:15" x14ac:dyDescent="0.45">
      <c r="A34">
        <v>8</v>
      </c>
      <c r="B34">
        <f t="shared" si="8"/>
        <v>0.75965015157615023</v>
      </c>
      <c r="C34">
        <f t="shared" si="9"/>
        <v>-0.2748972785581878</v>
      </c>
      <c r="G34">
        <f t="shared" si="0"/>
        <v>3.4362159819773475E-2</v>
      </c>
      <c r="H34">
        <f t="shared" si="5"/>
        <v>3.611670444998083E-2</v>
      </c>
      <c r="J34">
        <f t="shared" si="1"/>
        <v>6.5804694380284011E-3</v>
      </c>
      <c r="K34">
        <f t="shared" si="2"/>
        <v>6.8590150024647389E-3</v>
      </c>
      <c r="N34">
        <f t="shared" si="3"/>
        <v>6.5113325159393172E-3</v>
      </c>
      <c r="O34">
        <f t="shared" si="4"/>
        <v>6.8590150024647389E-3</v>
      </c>
    </row>
    <row r="35" spans="1:15" x14ac:dyDescent="0.45">
      <c r="A35">
        <v>8.25</v>
      </c>
      <c r="B35">
        <f t="shared" si="8"/>
        <v>0.75285251364372641</v>
      </c>
      <c r="C35">
        <f t="shared" si="9"/>
        <v>-0.2838859353812721</v>
      </c>
      <c r="G35">
        <f t="shared" si="0"/>
        <v>3.4410416409851166E-2</v>
      </c>
      <c r="H35">
        <f t="shared" si="5"/>
        <v>3.611670444998083E-2</v>
      </c>
      <c r="J35">
        <f t="shared" si="1"/>
        <v>6.5215848994387799E-3</v>
      </c>
      <c r="K35">
        <f t="shared" si="2"/>
        <v>6.7976379324239068E-3</v>
      </c>
      <c r="M35" t="s">
        <v>17</v>
      </c>
      <c r="N35">
        <f>SUM(N3:N34)</f>
        <v>0.23994263451749381</v>
      </c>
      <c r="O35">
        <f>SUM(O3:O34)</f>
        <v>0.24034984842384982</v>
      </c>
    </row>
    <row r="36" spans="1:15" x14ac:dyDescent="0.45">
      <c r="A36">
        <v>8.5</v>
      </c>
      <c r="B36">
        <f t="shared" si="8"/>
        <v>0.74611570355602086</v>
      </c>
      <c r="C36">
        <f t="shared" si="9"/>
        <v>-0.29287459220435641</v>
      </c>
      <c r="G36">
        <f t="shared" si="0"/>
        <v>3.4455834376983109E-2</v>
      </c>
      <c r="H36">
        <f t="shared" si="5"/>
        <v>3.611670444998083E-2</v>
      </c>
      <c r="J36">
        <f t="shared" si="1"/>
        <v>6.4632272820540305E-3</v>
      </c>
      <c r="K36">
        <f t="shared" si="2"/>
        <v>6.7368100877055791E-3</v>
      </c>
    </row>
    <row r="37" spans="1:15" x14ac:dyDescent="0.45">
      <c r="A37">
        <v>8.75</v>
      </c>
      <c r="B37">
        <f t="shared" si="8"/>
        <v>0.73943917700238793</v>
      </c>
      <c r="C37">
        <f t="shared" si="9"/>
        <v>-0.30186324902744066</v>
      </c>
      <c r="G37">
        <f t="shared" si="0"/>
        <v>3.4498657031707507E-2</v>
      </c>
      <c r="H37">
        <f t="shared" si="5"/>
        <v>3.6116704449979942E-2</v>
      </c>
      <c r="J37">
        <f t="shared" si="1"/>
        <v>6.4053918707831859E-3</v>
      </c>
      <c r="K37">
        <f t="shared" si="2"/>
        <v>6.6765265536329124E-3</v>
      </c>
    </row>
    <row r="38" spans="1:15" x14ac:dyDescent="0.45">
      <c r="A38">
        <v>9</v>
      </c>
      <c r="B38">
        <f t="shared" si="8"/>
        <v>0.7328223945428799</v>
      </c>
      <c r="C38">
        <f t="shared" si="9"/>
        <v>-0.31085190585052497</v>
      </c>
      <c r="G38">
        <f t="shared" si="0"/>
        <v>3.453910065005833E-2</v>
      </c>
      <c r="H38">
        <f t="shared" si="5"/>
        <v>3.611670444998083E-2</v>
      </c>
      <c r="J38">
        <f t="shared" si="1"/>
        <v>6.348073992727697E-3</v>
      </c>
      <c r="K38">
        <f t="shared" si="2"/>
        <v>6.6167824595081094E-3</v>
      </c>
    </row>
    <row r="39" spans="1:15" x14ac:dyDescent="0.45">
      <c r="A39">
        <v>9.25</v>
      </c>
      <c r="B39">
        <f t="shared" si="8"/>
        <v>0.72626482156466277</v>
      </c>
      <c r="C39">
        <f t="shared" si="9"/>
        <v>-0.31984056267360927</v>
      </c>
      <c r="G39">
        <f t="shared" si="0"/>
        <v>3.4577358126876678E-2</v>
      </c>
      <c r="H39">
        <f t="shared" si="5"/>
        <v>3.6116704449979942E-2</v>
      </c>
      <c r="J39">
        <f t="shared" si="1"/>
        <v>6.2912690168038911E-3</v>
      </c>
      <c r="K39">
        <f t="shared" si="2"/>
        <v>6.5575729782170857E-3</v>
      </c>
    </row>
    <row r="40" spans="1:15" x14ac:dyDescent="0.45">
      <c r="A40">
        <v>9.5</v>
      </c>
      <c r="B40">
        <f t="shared" si="8"/>
        <v>0.71976592823882091</v>
      </c>
      <c r="C40">
        <f t="shared" si="9"/>
        <v>-0.32882921949669358</v>
      </c>
      <c r="G40">
        <f t="shared" si="0"/>
        <v>3.4613602052283532E-2</v>
      </c>
      <c r="H40">
        <f t="shared" si="5"/>
        <v>3.611670444998083E-2</v>
      </c>
      <c r="J40">
        <f t="shared" si="1"/>
        <v>6.2349723533687866E-3</v>
      </c>
      <c r="K40">
        <f t="shared" si="2"/>
        <v>6.4988933258419016E-3</v>
      </c>
    </row>
    <row r="41" spans="1:15" x14ac:dyDescent="0.45">
      <c r="A41">
        <v>9.75</v>
      </c>
      <c r="B41">
        <f t="shared" si="8"/>
        <v>0.71332518947754919</v>
      </c>
      <c r="C41">
        <f t="shared" si="9"/>
        <v>-0.33781787631977789</v>
      </c>
      <c r="G41">
        <f t="shared" si="0"/>
        <v>3.4647987314849013E-2</v>
      </c>
      <c r="H41">
        <f t="shared" si="5"/>
        <v>3.6116704449979942E-2</v>
      </c>
      <c r="J41">
        <f t="shared" si="1"/>
        <v>6.1791794538492697E-3</v>
      </c>
      <c r="K41">
        <f t="shared" si="2"/>
        <v>6.4407387612716461E-3</v>
      </c>
    </row>
    <row r="42" spans="1:15" x14ac:dyDescent="0.45">
      <c r="A42">
        <v>10</v>
      </c>
      <c r="B42">
        <v>0.70694208489172727</v>
      </c>
      <c r="C42">
        <f>LN(B42)</f>
        <v>-0.34680653314286219</v>
      </c>
      <c r="D42">
        <f>(1-B42)/(SUM($B$3:B42) *0.25)</f>
        <v>3.465E-2</v>
      </c>
      <c r="E42">
        <f>VLOOKUP(A42,Sheet1!$S$15:$T$25,2)/100</f>
        <v>3.465E-2</v>
      </c>
      <c r="F42">
        <f>D42-E42</f>
        <v>0</v>
      </c>
      <c r="G42">
        <f t="shared" si="0"/>
        <v>3.4680653314286221E-2</v>
      </c>
      <c r="H42">
        <f t="shared" si="5"/>
        <v>3.611670444998083E-2</v>
      </c>
      <c r="J42">
        <f t="shared" si="1"/>
        <v>6.1238858103745877E-3</v>
      </c>
      <c r="K42">
        <f t="shared" si="2"/>
        <v>6.3831045858219427E-3</v>
      </c>
    </row>
    <row r="43" spans="1:15" x14ac:dyDescent="0.45">
      <c r="I43" t="s">
        <v>17</v>
      </c>
      <c r="J43">
        <f>SUM(J3:J42)</f>
        <v>0.29305791510827267</v>
      </c>
      <c r="K43">
        <f>SUM(K3:K42)</f>
        <v>0.29305791510827289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4DD9-EE5C-487A-90A8-916E6B31AA81}">
  <dimension ref="A1:O43"/>
  <sheetViews>
    <sheetView workbookViewId="0">
      <selection activeCell="Q46" sqref="Q46"/>
    </sheetView>
  </sheetViews>
  <sheetFormatPr defaultRowHeight="17" x14ac:dyDescent="0.45"/>
  <cols>
    <col min="4" max="4" width="9.5" customWidth="1"/>
    <col min="7" max="7" width="10.25" bestFit="1" customWidth="1"/>
    <col min="8" max="8" width="13.5" bestFit="1" customWidth="1"/>
    <col min="10" max="10" width="11.83203125" customWidth="1"/>
    <col min="11" max="11" width="11.5" bestFit="1" customWidth="1"/>
  </cols>
  <sheetData>
    <row r="1" spans="1:15" x14ac:dyDescent="0.45">
      <c r="A1" t="s">
        <v>2</v>
      </c>
      <c r="I1" t="s">
        <v>16</v>
      </c>
      <c r="J1">
        <v>3.465E-2</v>
      </c>
      <c r="M1" t="s">
        <v>40</v>
      </c>
      <c r="N1">
        <f>Sheet1!C33</f>
        <v>3.4285953882477946E-2</v>
      </c>
    </row>
    <row r="2" spans="1:15" x14ac:dyDescent="0.45">
      <c r="A2" t="s">
        <v>3</v>
      </c>
      <c r="B2" t="s">
        <v>7</v>
      </c>
      <c r="C2" t="s">
        <v>8</v>
      </c>
      <c r="D2" t="s">
        <v>10</v>
      </c>
      <c r="E2" t="s">
        <v>9</v>
      </c>
      <c r="F2" t="s">
        <v>6</v>
      </c>
      <c r="G2" t="s">
        <v>11</v>
      </c>
      <c r="H2" t="s">
        <v>12</v>
      </c>
      <c r="J2" t="s">
        <v>14</v>
      </c>
      <c r="K2" t="s">
        <v>15</v>
      </c>
      <c r="N2" t="s">
        <v>4</v>
      </c>
      <c r="O2" t="s">
        <v>5</v>
      </c>
    </row>
    <row r="3" spans="1:15" x14ac:dyDescent="0.45">
      <c r="A3" cm="1">
        <f t="array" ref="A3:A42">_xlfn.SEQUENCE(40,,0.25,0.25)</f>
        <v>0.25</v>
      </c>
      <c r="B3">
        <f>1/(1+Sheet1!B2/100*0.25)</f>
        <v>0.99304865938430997</v>
      </c>
      <c r="C3">
        <f>LN(B3)</f>
        <v>-6.9756137364250992E-3</v>
      </c>
      <c r="G3">
        <f>-C3/A3</f>
        <v>2.7902454945700397E-2</v>
      </c>
      <c r="H3">
        <f>(1/B3-1)/0.25</f>
        <v>2.7999999999999581E-2</v>
      </c>
      <c r="J3">
        <f>$J$1*0.25*B3</f>
        <v>8.6022840119165857E-3</v>
      </c>
      <c r="K3">
        <f>H3*0.25*B3</f>
        <v>6.9513406156900661E-3</v>
      </c>
      <c r="N3">
        <f>$N$1*0.25*B3</f>
        <v>8.5119051346767508E-3</v>
      </c>
      <c r="O3">
        <f>B3*0.25*H3</f>
        <v>6.9513406156900661E-3</v>
      </c>
    </row>
    <row r="4" spans="1:15" x14ac:dyDescent="0.45">
      <c r="A4">
        <v>0.5</v>
      </c>
      <c r="B4">
        <f>EXP(C4)</f>
        <v>0.98576081333172305</v>
      </c>
      <c r="C4">
        <f>$C$3+($C$6-$C$3)*(A4-$A$3)/($A$6-$A$3)</f>
        <v>-1.43415366353421E-2</v>
      </c>
      <c r="G4">
        <f t="shared" ref="G4:G42" si="0">-C4/A4</f>
        <v>2.8683073270684201E-2</v>
      </c>
      <c r="H4">
        <f>(B3/B4-1)/0.25</f>
        <v>2.957247216170078E-2</v>
      </c>
      <c r="J4">
        <f t="shared" ref="J4:J42" si="1">$J$1*0.25*B4</f>
        <v>8.5391530454860514E-3</v>
      </c>
      <c r="K4">
        <f t="shared" ref="K4:K42" si="2">H4*0.25*B4</f>
        <v>7.2878460525869744E-3</v>
      </c>
      <c r="N4">
        <f t="shared" ref="N4:N34" si="3">$N$1*0.25*B4</f>
        <v>8.4494374462613514E-3</v>
      </c>
      <c r="O4">
        <f t="shared" ref="O4:O34" si="4">B4*0.25*H4</f>
        <v>7.2878460525869744E-3</v>
      </c>
    </row>
    <row r="5" spans="1:15" x14ac:dyDescent="0.45">
      <c r="A5">
        <v>0.75</v>
      </c>
      <c r="B5">
        <f>EXP(C5)</f>
        <v>0.97852645176812303</v>
      </c>
      <c r="C5">
        <f>$C$3+($C$6-$C$3)*(A5-$A$3)/($A$6-$A$3)</f>
        <v>-2.1707459534259101E-2</v>
      </c>
      <c r="G5">
        <f t="shared" si="0"/>
        <v>2.8943279379012133E-2</v>
      </c>
      <c r="H5">
        <f t="shared" ref="H5:H42" si="5">(B4/B5-1)/0.25</f>
        <v>2.9572472161699892E-2</v>
      </c>
      <c r="J5">
        <f t="shared" si="1"/>
        <v>8.4764853884413665E-3</v>
      </c>
      <c r="K5">
        <f t="shared" si="2"/>
        <v>7.2343615635999479E-3</v>
      </c>
      <c r="N5">
        <f t="shared" si="3"/>
        <v>8.3874281995266614E-3</v>
      </c>
      <c r="O5">
        <f t="shared" si="4"/>
        <v>7.2343615635999479E-3</v>
      </c>
    </row>
    <row r="6" spans="1:15" x14ac:dyDescent="0.45">
      <c r="A6">
        <v>1</v>
      </c>
      <c r="B6">
        <v>0.97134518217828081</v>
      </c>
      <c r="C6">
        <f>LN(B6)</f>
        <v>-2.9073382433176101E-2</v>
      </c>
      <c r="D6">
        <f>(1-B6)/(SUM($B$3:B6) *0.25)</f>
        <v>2.9175000000000045E-2</v>
      </c>
      <c r="E6">
        <f>VLOOKUP(A6,Sheet1!$V$15:$W$25,2)/100</f>
        <v>2.9175E-2</v>
      </c>
      <c r="F6">
        <f>D6-E6</f>
        <v>4.5102810375396984E-17</v>
      </c>
      <c r="G6">
        <f t="shared" si="0"/>
        <v>2.9073382433176101E-2</v>
      </c>
      <c r="H6">
        <f t="shared" si="5"/>
        <v>2.9572472161699892E-2</v>
      </c>
      <c r="J6">
        <f t="shared" si="1"/>
        <v>8.4142776406193574E-3</v>
      </c>
      <c r="K6">
        <f t="shared" si="2"/>
        <v>7.1812695898421297E-3</v>
      </c>
      <c r="N6">
        <f t="shared" si="3"/>
        <v>8.3258740300329193E-3</v>
      </c>
      <c r="O6">
        <f t="shared" si="4"/>
        <v>7.1812695898421297E-3</v>
      </c>
    </row>
    <row r="7" spans="1:15" x14ac:dyDescent="0.45">
      <c r="A7">
        <v>1.25</v>
      </c>
      <c r="B7">
        <f>EXP(C7)</f>
        <v>0.96348575362774336</v>
      </c>
      <c r="C7">
        <f>$C$6+($C$10-$C$6)*(A7-$A$6)/($A$10-$A$6)</f>
        <v>-3.7197577300608041E-2</v>
      </c>
      <c r="G7">
        <f t="shared" si="0"/>
        <v>2.9758061840486433E-2</v>
      </c>
      <c r="H7">
        <f t="shared" si="5"/>
        <v>3.2629142759796892E-2</v>
      </c>
      <c r="J7">
        <f t="shared" si="1"/>
        <v>8.3461953408003262E-3</v>
      </c>
      <c r="K7">
        <f t="shared" si="2"/>
        <v>7.8594285505375339E-3</v>
      </c>
      <c r="N7">
        <f t="shared" si="3"/>
        <v>8.2585070288263285E-3</v>
      </c>
      <c r="O7">
        <f t="shared" si="4"/>
        <v>7.8594285505375339E-3</v>
      </c>
    </row>
    <row r="8" spans="1:15" x14ac:dyDescent="0.45">
      <c r="A8">
        <v>1.5</v>
      </c>
      <c r="B8">
        <f>EXP(C8)</f>
        <v>0.95568991793613434</v>
      </c>
      <c r="C8">
        <f>$C$6+($C$10-$C$6)*(A8-$A$6)/($A$10-$A$6)</f>
        <v>-4.5321772168039981E-2</v>
      </c>
      <c r="G8">
        <f t="shared" si="0"/>
        <v>3.021451477869332E-2</v>
      </c>
      <c r="H8">
        <f t="shared" si="5"/>
        <v>3.2629142759796004E-2</v>
      </c>
      <c r="J8">
        <f t="shared" si="1"/>
        <v>8.278663914121763E-3</v>
      </c>
      <c r="K8">
        <f t="shared" si="2"/>
        <v>7.7958356916089638E-3</v>
      </c>
      <c r="N8">
        <f t="shared" si="3"/>
        <v>8.1916851130768593E-3</v>
      </c>
      <c r="O8">
        <f t="shared" si="4"/>
        <v>7.7958356916089638E-3</v>
      </c>
    </row>
    <row r="9" spans="1:15" x14ac:dyDescent="0.45">
      <c r="A9">
        <v>1.75</v>
      </c>
      <c r="B9">
        <f>EXP(C9)</f>
        <v>0.94795716055564905</v>
      </c>
      <c r="C9">
        <f>$C$6+($C$10-$C$6)*(A9-$A$6)/($A$10-$A$6)</f>
        <v>-5.3445967035471921E-2</v>
      </c>
      <c r="G9">
        <f t="shared" si="0"/>
        <v>3.0540552591698241E-2</v>
      </c>
      <c r="H9">
        <f t="shared" si="5"/>
        <v>3.2629142759796004E-2</v>
      </c>
      <c r="J9">
        <f t="shared" si="1"/>
        <v>8.2116789033133096E-3</v>
      </c>
      <c r="K9">
        <f t="shared" si="2"/>
        <v>7.7327573804852837E-3</v>
      </c>
      <c r="N9">
        <f t="shared" si="3"/>
        <v>8.1254038723439313E-3</v>
      </c>
      <c r="O9">
        <f t="shared" si="4"/>
        <v>7.7327573804852837E-3</v>
      </c>
    </row>
    <row r="10" spans="1:15" x14ac:dyDescent="0.45">
      <c r="A10">
        <v>2</v>
      </c>
      <c r="B10">
        <v>0.94028697110183446</v>
      </c>
      <c r="C10">
        <f>LN(B10)</f>
        <v>-6.1570161902903861E-2</v>
      </c>
      <c r="D10">
        <f>(1-B10)/(SUM($B$3:B10) *0.25)</f>
        <v>3.0874999999999986E-2</v>
      </c>
      <c r="E10">
        <f>VLOOKUP(A10,Sheet1!$V$15:$W$25,2)/100</f>
        <v>3.0875E-2</v>
      </c>
      <c r="F10">
        <f>D10-E10</f>
        <v>0</v>
      </c>
      <c r="G10">
        <f t="shared" si="0"/>
        <v>3.0785080951451931E-2</v>
      </c>
      <c r="H10">
        <f t="shared" si="5"/>
        <v>3.2629142759796892E-2</v>
      </c>
      <c r="J10">
        <f t="shared" si="1"/>
        <v>8.1452358871696405E-3</v>
      </c>
      <c r="K10">
        <f t="shared" si="2"/>
        <v>7.6701894538146924E-3</v>
      </c>
      <c r="N10">
        <f t="shared" si="3"/>
        <v>8.0596589318730916E-3</v>
      </c>
      <c r="O10">
        <f t="shared" si="4"/>
        <v>7.6701894538146924E-3</v>
      </c>
    </row>
    <row r="11" spans="1:15" x14ac:dyDescent="0.45">
      <c r="A11">
        <v>2.25</v>
      </c>
      <c r="B11">
        <f>EXP(C11)</f>
        <v>0.93227780471949828</v>
      </c>
      <c r="C11">
        <f>$C$10+($C$14-$C$10)*(A11-$A$10)/($A$14-$A$10)</f>
        <v>-7.0124434978328071E-2</v>
      </c>
      <c r="G11">
        <f t="shared" si="0"/>
        <v>3.1166415545923587E-2</v>
      </c>
      <c r="H11">
        <f t="shared" si="5"/>
        <v>3.4363861680675178E-2</v>
      </c>
      <c r="J11">
        <f t="shared" si="1"/>
        <v>8.0758564833826544E-3</v>
      </c>
      <c r="K11">
        <f t="shared" si="2"/>
        <v>8.0091663823360863E-3</v>
      </c>
      <c r="N11">
        <f t="shared" si="3"/>
        <v>7.991008454567624E-3</v>
      </c>
      <c r="O11">
        <f t="shared" si="4"/>
        <v>8.0091663823360863E-3</v>
      </c>
    </row>
    <row r="12" spans="1:15" x14ac:dyDescent="0.45">
      <c r="A12">
        <v>2.5</v>
      </c>
      <c r="B12">
        <f>EXP(C12)</f>
        <v>0.92433685872956517</v>
      </c>
      <c r="C12">
        <f>$C$10+($C$14-$C$10)*(A12-$A$10)/($A$14-$A$10)</f>
        <v>-7.8678708053752267E-2</v>
      </c>
      <c r="G12">
        <f t="shared" si="0"/>
        <v>3.1471483221500909E-2</v>
      </c>
      <c r="H12">
        <f t="shared" si="5"/>
        <v>3.4363861680675178E-2</v>
      </c>
      <c r="J12">
        <f t="shared" si="1"/>
        <v>8.0070680387448589E-3</v>
      </c>
      <c r="K12">
        <f t="shared" si="2"/>
        <v>7.940945989933142E-3</v>
      </c>
      <c r="N12">
        <f t="shared" si="3"/>
        <v>7.922942727569101E-3</v>
      </c>
      <c r="O12">
        <f t="shared" si="4"/>
        <v>7.940945989933142E-3</v>
      </c>
    </row>
    <row r="13" spans="1:15" x14ac:dyDescent="0.45">
      <c r="A13">
        <v>2.75</v>
      </c>
      <c r="B13">
        <f>EXP(C13)</f>
        <v>0.91646355204510055</v>
      </c>
      <c r="C13">
        <f>$C$10+($C$14-$C$10)*(A13-$A$10)/($A$14-$A$10)</f>
        <v>-8.7232981129176476E-2</v>
      </c>
      <c r="G13">
        <f t="shared" si="0"/>
        <v>3.1721084046973262E-2</v>
      </c>
      <c r="H13">
        <f t="shared" si="5"/>
        <v>3.4363861680675178E-2</v>
      </c>
      <c r="J13">
        <f t="shared" si="1"/>
        <v>7.9388655195906828E-3</v>
      </c>
      <c r="K13">
        <f t="shared" si="2"/>
        <v>7.8733066844645233E-3</v>
      </c>
      <c r="N13">
        <f t="shared" si="3"/>
        <v>7.8554567700975606E-3</v>
      </c>
      <c r="O13">
        <f t="shared" si="4"/>
        <v>7.8733066844645233E-3</v>
      </c>
    </row>
    <row r="14" spans="1:15" x14ac:dyDescent="0.45">
      <c r="A14">
        <v>3</v>
      </c>
      <c r="B14">
        <v>0.90865730852874638</v>
      </c>
      <c r="C14">
        <f>LN(B14)</f>
        <v>-9.5787254204600686E-2</v>
      </c>
      <c r="D14">
        <f>(1-B14)/(SUM($B$3:B14) *0.25)</f>
        <v>3.199999999999998E-2</v>
      </c>
      <c r="E14">
        <f>VLOOKUP(A14,Sheet1!$V$15:$W$25,2)/100</f>
        <v>3.2000000000000001E-2</v>
      </c>
      <c r="F14">
        <f>D14-E14</f>
        <v>0</v>
      </c>
      <c r="G14">
        <f t="shared" si="0"/>
        <v>3.1929084734866893E-2</v>
      </c>
      <c r="H14">
        <f t="shared" si="5"/>
        <v>3.4363861680675178E-2</v>
      </c>
      <c r="J14">
        <f t="shared" si="1"/>
        <v>7.8712439351302649E-3</v>
      </c>
      <c r="K14">
        <f t="shared" si="2"/>
        <v>7.8062435163541079E-3</v>
      </c>
      <c r="N14">
        <f t="shared" si="3"/>
        <v>7.7885456437982829E-3</v>
      </c>
      <c r="O14">
        <f t="shared" si="4"/>
        <v>7.8062435163541079E-3</v>
      </c>
    </row>
    <row r="15" spans="1:15" x14ac:dyDescent="0.45">
      <c r="A15">
        <v>3.25</v>
      </c>
      <c r="B15">
        <f>EXP(C15)</f>
        <v>0.90078730517206684</v>
      </c>
      <c r="C15">
        <f>$C$14+($C$18-$C$14)*(A15-$A$14)/($A$18-$A$14)</f>
        <v>-0.10448611453341966</v>
      </c>
      <c r="G15">
        <f t="shared" si="0"/>
        <v>3.2149573702590667E-2</v>
      </c>
      <c r="H15">
        <f t="shared" si="5"/>
        <v>3.494722144280793E-2</v>
      </c>
      <c r="J15">
        <f t="shared" si="1"/>
        <v>7.8030700310530287E-3</v>
      </c>
      <c r="K15">
        <f t="shared" si="2"/>
        <v>7.8700033566796064E-3</v>
      </c>
      <c r="N15">
        <f t="shared" si="3"/>
        <v>7.7210880007627675E-3</v>
      </c>
      <c r="O15">
        <f t="shared" si="4"/>
        <v>7.8700033566796064E-3</v>
      </c>
    </row>
    <row r="16" spans="1:15" x14ac:dyDescent="0.45">
      <c r="A16">
        <v>3.5</v>
      </c>
      <c r="B16">
        <f>EXP(C16)</f>
        <v>0.89298546497464748</v>
      </c>
      <c r="C16">
        <f>$C$14+($C$18-$C$14)*(A16-$A$14)/($A$18-$A$14)</f>
        <v>-0.11318497486223864</v>
      </c>
      <c r="G16">
        <f t="shared" si="0"/>
        <v>3.2338564246353896E-2</v>
      </c>
      <c r="H16">
        <f t="shared" si="5"/>
        <v>3.494722144280793E-2</v>
      </c>
      <c r="J16">
        <f t="shared" si="1"/>
        <v>7.7354865903428837E-3</v>
      </c>
      <c r="K16">
        <f t="shared" si="2"/>
        <v>7.8018401974194523E-3</v>
      </c>
      <c r="N16">
        <f t="shared" si="3"/>
        <v>7.6542146174609724E-3</v>
      </c>
      <c r="O16">
        <f t="shared" si="4"/>
        <v>7.8018401974194523E-3</v>
      </c>
    </row>
    <row r="17" spans="1:15" x14ac:dyDescent="0.45">
      <c r="A17">
        <v>3.75</v>
      </c>
      <c r="B17">
        <f>EXP(C17)</f>
        <v>0.88525119756618353</v>
      </c>
      <c r="C17">
        <f>$C$14+($C$18-$C$14)*(A17-$A$14)/($A$18-$A$14)</f>
        <v>-0.12188383519105761</v>
      </c>
      <c r="G17">
        <f t="shared" si="0"/>
        <v>3.2502356050948693E-2</v>
      </c>
      <c r="H17">
        <f t="shared" si="5"/>
        <v>3.4947221442807042E-2</v>
      </c>
      <c r="J17">
        <f t="shared" si="1"/>
        <v>7.668488498917065E-3</v>
      </c>
      <c r="K17">
        <f t="shared" si="2"/>
        <v>7.7342674084638855E-3</v>
      </c>
      <c r="N17">
        <f t="shared" si="3"/>
        <v>7.5879204335406354E-3</v>
      </c>
      <c r="O17">
        <f t="shared" si="4"/>
        <v>7.7342674084638855E-3</v>
      </c>
    </row>
    <row r="18" spans="1:15" x14ac:dyDescent="0.45">
      <c r="A18">
        <v>4</v>
      </c>
      <c r="B18">
        <v>0.87758391768964683</v>
      </c>
      <c r="C18">
        <f>LN(B18)</f>
        <v>-0.13058269551987658</v>
      </c>
      <c r="D18">
        <f>(1-B18)/(SUM($B$3:B18) *0.25)</f>
        <v>3.27E-2</v>
      </c>
      <c r="E18">
        <f>VLOOKUP(A18,Sheet1!$V$15:$W$25,2)/100</f>
        <v>3.27E-2</v>
      </c>
      <c r="F18">
        <f>D18-E18</f>
        <v>0</v>
      </c>
      <c r="G18">
        <f t="shared" si="0"/>
        <v>3.2645673879969146E-2</v>
      </c>
      <c r="H18">
        <f t="shared" si="5"/>
        <v>3.494722144280793E-2</v>
      </c>
      <c r="J18">
        <f t="shared" si="1"/>
        <v>7.6020706869865656E-3</v>
      </c>
      <c r="K18">
        <f t="shared" si="2"/>
        <v>7.6672798765367537E-3</v>
      </c>
      <c r="N18">
        <f t="shared" si="3"/>
        <v>7.5222004324778883E-3</v>
      </c>
      <c r="O18">
        <f t="shared" si="4"/>
        <v>7.6672798765367537E-3</v>
      </c>
    </row>
    <row r="19" spans="1:15" x14ac:dyDescent="0.45">
      <c r="A19">
        <v>4.25</v>
      </c>
      <c r="B19">
        <f>EXP(C19)</f>
        <v>0.86983182322445407</v>
      </c>
      <c r="C19">
        <f>$C$18+($C$22-$C$18)*(A19-$A$18)/($A$22-$A$18)</f>
        <v>-0.13945539265820261</v>
      </c>
      <c r="G19">
        <f t="shared" si="0"/>
        <v>3.281303356663591E-2</v>
      </c>
      <c r="H19">
        <f t="shared" si="5"/>
        <v>3.564870476435722E-2</v>
      </c>
      <c r="J19">
        <f t="shared" si="1"/>
        <v>7.5349181686818331E-3</v>
      </c>
      <c r="K19">
        <f t="shared" si="2"/>
        <v>7.7520944651927803E-3</v>
      </c>
      <c r="N19">
        <f t="shared" si="3"/>
        <v>7.455753444146335E-3</v>
      </c>
      <c r="O19">
        <f t="shared" si="4"/>
        <v>7.7520944651927803E-3</v>
      </c>
    </row>
    <row r="20" spans="1:15" x14ac:dyDescent="0.45">
      <c r="A20">
        <v>4.5</v>
      </c>
      <c r="B20">
        <f>EXP(C20)</f>
        <v>0.86214820650524759</v>
      </c>
      <c r="C20">
        <f>$C$18+($C$22-$C$18)*(A20-$A$18)/($A$22-$A$18)</f>
        <v>-0.14832808979652864</v>
      </c>
      <c r="G20">
        <f t="shared" si="0"/>
        <v>3.2961797732561922E-2</v>
      </c>
      <c r="H20">
        <f t="shared" si="5"/>
        <v>3.564870476435722E-2</v>
      </c>
      <c r="J20">
        <f t="shared" si="1"/>
        <v>7.4683588388517073E-3</v>
      </c>
      <c r="K20">
        <f t="shared" si="2"/>
        <v>7.6836167192064131E-3</v>
      </c>
      <c r="N20">
        <f t="shared" si="3"/>
        <v>7.3898934120249981E-3</v>
      </c>
      <c r="O20">
        <f t="shared" si="4"/>
        <v>7.6836167192064131E-3</v>
      </c>
    </row>
    <row r="21" spans="1:15" x14ac:dyDescent="0.45">
      <c r="A21">
        <v>4.75</v>
      </c>
      <c r="B21">
        <f>EXP(C21)</f>
        <v>0.85453246263721927</v>
      </c>
      <c r="C21">
        <f>$C$18+($C$22-$C$18)*(A21-$A$18)/($A$22-$A$18)</f>
        <v>-0.15720078693485467</v>
      </c>
      <c r="G21">
        <f t="shared" si="0"/>
        <v>3.3094902512600985E-2</v>
      </c>
      <c r="H21">
        <f t="shared" si="5"/>
        <v>3.564870476435722E-2</v>
      </c>
      <c r="J21">
        <f t="shared" si="1"/>
        <v>7.4023874575949123E-3</v>
      </c>
      <c r="K21">
        <f t="shared" si="2"/>
        <v>7.6157438680283362E-3</v>
      </c>
      <c r="N21">
        <f t="shared" si="3"/>
        <v>7.3246151512650019E-3</v>
      </c>
      <c r="O21">
        <f t="shared" si="4"/>
        <v>7.6157438680283362E-3</v>
      </c>
    </row>
    <row r="22" spans="1:15" x14ac:dyDescent="0.45">
      <c r="A22">
        <v>5</v>
      </c>
      <c r="B22">
        <v>0.84698399206886932</v>
      </c>
      <c r="C22">
        <f>LN(B22)</f>
        <v>-0.1660734840731807</v>
      </c>
      <c r="D22">
        <f>(1-B22)/(SUM($B$3:B22) *0.25)</f>
        <v>3.3250000000000002E-2</v>
      </c>
      <c r="E22">
        <f>VLOOKUP(A22,Sheet1!$V$15:$W$25,2)/100</f>
        <v>3.3250000000000002E-2</v>
      </c>
      <c r="F22">
        <f>D22-E22</f>
        <v>0</v>
      </c>
      <c r="G22">
        <f t="shared" si="0"/>
        <v>3.3214696814636138E-2</v>
      </c>
      <c r="H22">
        <f t="shared" si="5"/>
        <v>3.564870476435722E-2</v>
      </c>
      <c r="J22">
        <f t="shared" si="1"/>
        <v>7.3369988312965801E-3</v>
      </c>
      <c r="K22">
        <f t="shared" si="2"/>
        <v>7.5484705683499494E-3</v>
      </c>
      <c r="N22">
        <f t="shared" si="3"/>
        <v>7.2599135228175798E-3</v>
      </c>
      <c r="O22">
        <f t="shared" si="4"/>
        <v>7.5484705683499494E-3</v>
      </c>
    </row>
    <row r="23" spans="1:15" x14ac:dyDescent="0.45">
      <c r="A23">
        <v>5.25</v>
      </c>
      <c r="B23">
        <f t="shared" ref="B23:B29" si="6">EXP(C23)</f>
        <v>0.83938397436551793</v>
      </c>
      <c r="C23">
        <f>$C$22+($C$30-$C$22)*(A23-$A$22)/($A$30-$A$22)</f>
        <v>-0.17508702003816584</v>
      </c>
      <c r="G23">
        <f t="shared" si="0"/>
        <v>3.3349908578698254E-2</v>
      </c>
      <c r="H23">
        <f t="shared" si="5"/>
        <v>3.6217120819330262E-2</v>
      </c>
      <c r="J23">
        <f t="shared" si="1"/>
        <v>7.2711636779412992E-3</v>
      </c>
      <c r="K23">
        <f t="shared" si="2"/>
        <v>7.6000177033513942E-3</v>
      </c>
      <c r="N23">
        <f t="shared" si="3"/>
        <v>7.1947700586967997E-3</v>
      </c>
      <c r="O23">
        <f t="shared" si="4"/>
        <v>7.6000177033513942E-3</v>
      </c>
    </row>
    <row r="24" spans="1:15" x14ac:dyDescent="0.45">
      <c r="A24">
        <v>5.5</v>
      </c>
      <c r="B24">
        <f t="shared" si="6"/>
        <v>0.83185215189328321</v>
      </c>
      <c r="C24">
        <f t="shared" ref="C24:C29" si="7">$C$22+($C$30-$C$22)*(A24-$A$22)/($A$30-$A$22)</f>
        <v>-0.18410055600315098</v>
      </c>
      <c r="G24">
        <f t="shared" si="0"/>
        <v>3.347282836420927E-2</v>
      </c>
      <c r="H24">
        <f t="shared" si="5"/>
        <v>3.6217120819330262E-2</v>
      </c>
      <c r="J24">
        <f t="shared" si="1"/>
        <v>7.2059192657755655E-3</v>
      </c>
      <c r="K24">
        <f t="shared" si="2"/>
        <v>7.5318224722347267E-3</v>
      </c>
      <c r="N24">
        <f t="shared" si="3"/>
        <v>7.1302111292132868E-3</v>
      </c>
      <c r="O24">
        <f t="shared" si="4"/>
        <v>7.5318224722347267E-3</v>
      </c>
    </row>
    <row r="25" spans="1:15" x14ac:dyDescent="0.45">
      <c r="A25">
        <v>5.75</v>
      </c>
      <c r="B25">
        <f t="shared" si="6"/>
        <v>0.82438791273391332</v>
      </c>
      <c r="C25">
        <f t="shared" si="7"/>
        <v>-0.19311409196813611</v>
      </c>
      <c r="G25">
        <f t="shared" si="0"/>
        <v>3.3585059472719322E-2</v>
      </c>
      <c r="H25">
        <f t="shared" si="5"/>
        <v>3.6217120819330262E-2</v>
      </c>
      <c r="J25">
        <f t="shared" si="1"/>
        <v>7.141260294057524E-3</v>
      </c>
      <c r="K25">
        <f t="shared" si="2"/>
        <v>7.464239159369908E-3</v>
      </c>
      <c r="N25">
        <f t="shared" si="3"/>
        <v>7.0662314893168016E-3</v>
      </c>
      <c r="O25">
        <f t="shared" si="4"/>
        <v>7.464239159369908E-3</v>
      </c>
    </row>
    <row r="26" spans="1:15" x14ac:dyDescent="0.45">
      <c r="A26">
        <v>6</v>
      </c>
      <c r="B26">
        <f t="shared" si="6"/>
        <v>0.81699065045992081</v>
      </c>
      <c r="C26">
        <f t="shared" si="7"/>
        <v>-0.20212762793312125</v>
      </c>
      <c r="G26">
        <f t="shared" si="0"/>
        <v>3.3687937988853542E-2</v>
      </c>
      <c r="H26">
        <f t="shared" si="5"/>
        <v>3.6217120819330262E-2</v>
      </c>
      <c r="J26">
        <f t="shared" si="1"/>
        <v>7.0771815096090642E-3</v>
      </c>
      <c r="K26">
        <f t="shared" si="2"/>
        <v>7.397262273992543E-3</v>
      </c>
      <c r="N26">
        <f t="shared" si="3"/>
        <v>7.0028259410211263E-3</v>
      </c>
      <c r="O26">
        <f t="shared" si="4"/>
        <v>7.397262273992543E-3</v>
      </c>
    </row>
    <row r="27" spans="1:15" x14ac:dyDescent="0.45">
      <c r="A27">
        <v>6.25</v>
      </c>
      <c r="B27">
        <f t="shared" si="6"/>
        <v>0.80965976408531382</v>
      </c>
      <c r="C27">
        <f t="shared" si="7"/>
        <v>-0.21114116389810639</v>
      </c>
      <c r="G27">
        <f t="shared" si="0"/>
        <v>3.3782586223697023E-2</v>
      </c>
      <c r="H27">
        <f t="shared" si="5"/>
        <v>3.6217120819330262E-2</v>
      </c>
      <c r="J27">
        <f t="shared" si="1"/>
        <v>7.0136777063890309E-3</v>
      </c>
      <c r="K27">
        <f t="shared" si="2"/>
        <v>7.3308863746070615E-3</v>
      </c>
      <c r="N27">
        <f t="shared" si="3"/>
        <v>6.9399893329817608E-3</v>
      </c>
      <c r="O27">
        <f t="shared" si="4"/>
        <v>7.3308863746070615E-3</v>
      </c>
    </row>
    <row r="28" spans="1:15" x14ac:dyDescent="0.45">
      <c r="A28">
        <v>6.5</v>
      </c>
      <c r="B28">
        <f t="shared" si="6"/>
        <v>0.80239465801676924</v>
      </c>
      <c r="C28">
        <f t="shared" si="7"/>
        <v>-0.22015469986309152</v>
      </c>
      <c r="G28">
        <f t="shared" si="0"/>
        <v>3.3869953825091004E-2</v>
      </c>
      <c r="H28">
        <f t="shared" si="5"/>
        <v>3.6217120819330262E-2</v>
      </c>
      <c r="J28">
        <f t="shared" si="1"/>
        <v>6.9507437250702639E-3</v>
      </c>
      <c r="K28">
        <f t="shared" si="2"/>
        <v>7.2651060685446295E-3</v>
      </c>
      <c r="N28">
        <f t="shared" si="3"/>
        <v>6.8777165600774036E-3</v>
      </c>
      <c r="O28">
        <f t="shared" si="4"/>
        <v>7.2651060685446295E-3</v>
      </c>
    </row>
    <row r="29" spans="1:15" x14ac:dyDescent="0.45">
      <c r="A29">
        <v>6.75</v>
      </c>
      <c r="B29">
        <f t="shared" si="6"/>
        <v>0.7951947420052442</v>
      </c>
      <c r="C29">
        <f t="shared" si="7"/>
        <v>-0.22916823582807666</v>
      </c>
      <c r="G29">
        <f t="shared" si="0"/>
        <v>3.3950849752307652E-2</v>
      </c>
      <c r="H29">
        <f t="shared" si="5"/>
        <v>3.6217120819330262E-2</v>
      </c>
      <c r="J29">
        <f t="shared" si="1"/>
        <v>6.8883744526204282E-3</v>
      </c>
      <c r="K29">
        <f t="shared" si="2"/>
        <v>7.1999160115250212E-3</v>
      </c>
      <c r="N29">
        <f t="shared" si="3"/>
        <v>6.8160025629951876E-3</v>
      </c>
      <c r="O29">
        <f t="shared" si="4"/>
        <v>7.1999160115250212E-3</v>
      </c>
    </row>
    <row r="30" spans="1:15" x14ac:dyDescent="0.45">
      <c r="A30">
        <v>7</v>
      </c>
      <c r="B30">
        <v>0.78805943109802179</v>
      </c>
      <c r="C30">
        <f>LN(B30)</f>
        <v>-0.2381817717930618</v>
      </c>
      <c r="D30">
        <f>(1-B30)/(SUM($B$3:B30) *0.25)</f>
        <v>3.4024999999999993E-2</v>
      </c>
      <c r="E30">
        <f>VLOOKUP(A30,Sheet1!$V$15:$W$25,2)/100</f>
        <v>3.4025E-2</v>
      </c>
      <c r="F30">
        <f>D30-E30</f>
        <v>0</v>
      </c>
      <c r="G30">
        <f t="shared" si="0"/>
        <v>3.402596739900883E-2</v>
      </c>
      <c r="H30">
        <f t="shared" si="5"/>
        <v>3.6217120819330262E-2</v>
      </c>
      <c r="J30">
        <f t="shared" si="1"/>
        <v>6.8265648218866137E-3</v>
      </c>
      <c r="K30">
        <f t="shared" si="2"/>
        <v>7.1353109072224315E-3</v>
      </c>
      <c r="N30">
        <f t="shared" si="3"/>
        <v>6.7548423278196452E-3</v>
      </c>
      <c r="O30">
        <f t="shared" si="4"/>
        <v>7.1353109072224315E-3</v>
      </c>
    </row>
    <row r="31" spans="1:15" x14ac:dyDescent="0.45">
      <c r="A31">
        <v>7.25</v>
      </c>
      <c r="B31">
        <f>EXP(C31)</f>
        <v>0.78087997232357997</v>
      </c>
      <c r="C31">
        <f>$C$30+($C$42-$C$30)*(A31-$A$30)/($A$42-$A$30)</f>
        <v>-0.24733382555803121</v>
      </c>
      <c r="G31">
        <f t="shared" si="0"/>
        <v>3.4115010421797411E-2</v>
      </c>
      <c r="H31">
        <f t="shared" si="5"/>
        <v>3.6776247458766953E-2</v>
      </c>
      <c r="J31">
        <f t="shared" si="1"/>
        <v>6.7643727602530119E-3</v>
      </c>
      <c r="K31">
        <f t="shared" si="2"/>
        <v>7.1794587744417665E-3</v>
      </c>
      <c r="N31">
        <f t="shared" si="3"/>
        <v>6.6933036797092293E-3</v>
      </c>
      <c r="O31">
        <f t="shared" si="4"/>
        <v>7.1794587744417665E-3</v>
      </c>
    </row>
    <row r="32" spans="1:15" x14ac:dyDescent="0.45">
      <c r="A32">
        <v>7.5</v>
      </c>
      <c r="B32">
        <f t="shared" ref="B32:B41" si="8">EXP(C32)</f>
        <v>0.77376592058096838</v>
      </c>
      <c r="C32">
        <f t="shared" ref="C32:C41" si="9">$C$30+($C$42-$C$30)*(A32-$A$30)/($A$42-$A$30)</f>
        <v>-0.25648587932300065</v>
      </c>
      <c r="G32">
        <f t="shared" si="0"/>
        <v>3.4198117243066754E-2</v>
      </c>
      <c r="H32">
        <f t="shared" si="5"/>
        <v>3.6776247458766953E-2</v>
      </c>
      <c r="J32">
        <f t="shared" si="1"/>
        <v>6.7027472870326383E-3</v>
      </c>
      <c r="K32">
        <f t="shared" si="2"/>
        <v>7.1140517426115778E-3</v>
      </c>
      <c r="N32">
        <f t="shared" si="3"/>
        <v>6.6323256672180435E-3</v>
      </c>
      <c r="O32">
        <f t="shared" si="4"/>
        <v>7.1140517426115778E-3</v>
      </c>
    </row>
    <row r="33" spans="1:15" x14ac:dyDescent="0.45">
      <c r="A33">
        <v>7.75</v>
      </c>
      <c r="B33">
        <f t="shared" si="8"/>
        <v>0.76671667999242699</v>
      </c>
      <c r="C33">
        <f t="shared" si="9"/>
        <v>-0.26563793308797007</v>
      </c>
      <c r="G33">
        <f t="shared" si="0"/>
        <v>3.4275862333931623E-2</v>
      </c>
      <c r="H33">
        <f t="shared" si="5"/>
        <v>3.6776247458766953E-2</v>
      </c>
      <c r="J33">
        <f t="shared" si="1"/>
        <v>6.6416832404343987E-3</v>
      </c>
      <c r="K33">
        <f t="shared" si="2"/>
        <v>7.0492405885414318E-3</v>
      </c>
      <c r="N33">
        <f t="shared" si="3"/>
        <v>6.5719031827867385E-3</v>
      </c>
      <c r="O33">
        <f t="shared" si="4"/>
        <v>7.0492405885414318E-3</v>
      </c>
    </row>
    <row r="34" spans="1:15" x14ac:dyDescent="0.45">
      <c r="A34">
        <v>8</v>
      </c>
      <c r="B34">
        <f t="shared" si="8"/>
        <v>0.75973166010882154</v>
      </c>
      <c r="C34">
        <f t="shared" si="9"/>
        <v>-0.27478998685293948</v>
      </c>
      <c r="G34">
        <f t="shared" si="0"/>
        <v>3.4348748356617435E-2</v>
      </c>
      <c r="H34">
        <f t="shared" si="5"/>
        <v>3.6776247458766953E-2</v>
      </c>
      <c r="J34">
        <f t="shared" si="1"/>
        <v>6.5811755056926664E-3</v>
      </c>
      <c r="K34">
        <f t="shared" si="2"/>
        <v>6.9850198836054617E-3</v>
      </c>
      <c r="N34">
        <f t="shared" si="3"/>
        <v>6.5120311653873659E-3</v>
      </c>
      <c r="O34">
        <f t="shared" si="4"/>
        <v>6.9850198836054617E-3</v>
      </c>
    </row>
    <row r="35" spans="1:15" x14ac:dyDescent="0.45">
      <c r="A35">
        <v>8.25</v>
      </c>
      <c r="B35">
        <f t="shared" si="8"/>
        <v>0.75281027586018734</v>
      </c>
      <c r="C35">
        <f t="shared" si="9"/>
        <v>-0.2839420406179089</v>
      </c>
      <c r="G35">
        <f t="shared" si="0"/>
        <v>3.4417217044595015E-2</v>
      </c>
      <c r="H35">
        <f t="shared" si="5"/>
        <v>3.6776247458766953E-2</v>
      </c>
      <c r="J35">
        <f t="shared" si="1"/>
        <v>6.5212190146388726E-3</v>
      </c>
      <c r="K35">
        <f t="shared" si="2"/>
        <v>6.9213842486342157E-3</v>
      </c>
      <c r="M35" t="s">
        <v>17</v>
      </c>
      <c r="N35">
        <f>SUM(N3:N34)</f>
        <v>0.23997560546437005</v>
      </c>
      <c r="O35">
        <f>SUM(O3:O34)</f>
        <v>0.24026833989117857</v>
      </c>
    </row>
    <row r="36" spans="1:15" x14ac:dyDescent="0.45">
      <c r="A36">
        <v>8.5</v>
      </c>
      <c r="B36">
        <f t="shared" si="8"/>
        <v>0.74595194750672322</v>
      </c>
      <c r="C36">
        <f t="shared" si="9"/>
        <v>-0.29309409438287831</v>
      </c>
      <c r="G36">
        <f t="shared" si="0"/>
        <v>3.4481658162691567E-2</v>
      </c>
      <c r="H36">
        <f t="shared" si="5"/>
        <v>3.6776247458766953E-2</v>
      </c>
      <c r="J36">
        <f t="shared" si="1"/>
        <v>6.4618087452769897E-3</v>
      </c>
      <c r="K36">
        <f t="shared" si="2"/>
        <v>6.8583283534640977E-3</v>
      </c>
    </row>
    <row r="37" spans="1:15" x14ac:dyDescent="0.45">
      <c r="A37">
        <v>8.75</v>
      </c>
      <c r="B37">
        <f t="shared" si="8"/>
        <v>0.73915610059023229</v>
      </c>
      <c r="C37">
        <f t="shared" si="9"/>
        <v>-0.30224614814784773</v>
      </c>
      <c r="G37">
        <f t="shared" si="0"/>
        <v>3.4542416931182596E-2</v>
      </c>
      <c r="H37">
        <f t="shared" si="5"/>
        <v>3.6776247458766953E-2</v>
      </c>
      <c r="J37">
        <f t="shared" si="1"/>
        <v>6.4029397213628877E-3</v>
      </c>
      <c r="K37">
        <f t="shared" si="2"/>
        <v>6.7958469164909052E-3</v>
      </c>
    </row>
    <row r="38" spans="1:15" x14ac:dyDescent="0.45">
      <c r="A38">
        <v>9</v>
      </c>
      <c r="B38">
        <f t="shared" si="8"/>
        <v>0.73242216588600484</v>
      </c>
      <c r="C38">
        <f t="shared" si="9"/>
        <v>-0.3113982019128172</v>
      </c>
      <c r="G38">
        <f t="shared" si="0"/>
        <v>3.4599800212535246E-2</v>
      </c>
      <c r="H38">
        <f t="shared" si="5"/>
        <v>3.6776247458766953E-2</v>
      </c>
      <c r="J38">
        <f t="shared" si="1"/>
        <v>6.3446070119875173E-3</v>
      </c>
      <c r="K38">
        <f t="shared" si="2"/>
        <v>6.7339347042274433E-3</v>
      </c>
    </row>
    <row r="39" spans="1:15" x14ac:dyDescent="0.45">
      <c r="A39">
        <v>9.25</v>
      </c>
      <c r="B39">
        <f t="shared" si="8"/>
        <v>0.72574957935513973</v>
      </c>
      <c r="C39">
        <f t="shared" si="9"/>
        <v>-0.32055025567778661</v>
      </c>
      <c r="G39">
        <f t="shared" si="0"/>
        <v>3.4654081694895852E-2</v>
      </c>
      <c r="H39">
        <f t="shared" si="5"/>
        <v>3.6776247458766953E-2</v>
      </c>
      <c r="J39">
        <f t="shared" si="1"/>
        <v>6.286805731163898E-3</v>
      </c>
      <c r="K39">
        <f t="shared" si="2"/>
        <v>6.6725865308651603E-3</v>
      </c>
    </row>
    <row r="40" spans="1:15" x14ac:dyDescent="0.45">
      <c r="A40">
        <v>9.5</v>
      </c>
      <c r="B40">
        <f t="shared" si="8"/>
        <v>0.71913778209729995</v>
      </c>
      <c r="C40">
        <f t="shared" si="9"/>
        <v>-0.32970230944275603</v>
      </c>
      <c r="G40">
        <f t="shared" si="0"/>
        <v>3.4705506257132215E-2</v>
      </c>
      <c r="H40">
        <f t="shared" si="5"/>
        <v>3.6776247458766953E-2</v>
      </c>
      <c r="J40">
        <f t="shared" si="1"/>
        <v>6.2295310374178604E-3</v>
      </c>
      <c r="K40">
        <f t="shared" si="2"/>
        <v>6.6117972578397825E-3</v>
      </c>
    </row>
    <row r="41" spans="1:15" x14ac:dyDescent="0.45">
      <c r="A41">
        <v>9.75</v>
      </c>
      <c r="B41">
        <f t="shared" si="8"/>
        <v>0.71258622030389906</v>
      </c>
      <c r="C41">
        <f t="shared" si="9"/>
        <v>-0.33885436320772544</v>
      </c>
      <c r="G41">
        <f t="shared" si="0"/>
        <v>3.4754293662330814E-2</v>
      </c>
      <c r="H41">
        <f t="shared" si="5"/>
        <v>3.6776247458766953E-2</v>
      </c>
      <c r="J41">
        <f t="shared" si="1"/>
        <v>6.1727781333825258E-3</v>
      </c>
      <c r="K41">
        <f t="shared" si="2"/>
        <v>6.551561793400904E-3</v>
      </c>
    </row>
    <row r="42" spans="1:15" x14ac:dyDescent="0.45">
      <c r="A42">
        <v>10</v>
      </c>
      <c r="B42">
        <v>0.70609434521171355</v>
      </c>
      <c r="C42">
        <f>LN(B42)</f>
        <v>-0.34800641697269485</v>
      </c>
      <c r="D42">
        <f>(1-B42)/(SUM($B$3:B42) *0.25)</f>
        <v>3.4750000000000003E-2</v>
      </c>
      <c r="E42">
        <f>VLOOKUP(A42,Sheet1!$V$15:$W$25,2)/100</f>
        <v>3.4749999999999996E-2</v>
      </c>
      <c r="F42">
        <f>D42-E42</f>
        <v>0</v>
      </c>
      <c r="G42">
        <f t="shared" si="0"/>
        <v>3.4800641697269485E-2</v>
      </c>
      <c r="H42">
        <f t="shared" si="5"/>
        <v>3.6776247458766953E-2</v>
      </c>
      <c r="J42">
        <f t="shared" si="1"/>
        <v>6.1165422653964687E-3</v>
      </c>
      <c r="K42">
        <f t="shared" si="2"/>
        <v>6.4918750921854991E-3</v>
      </c>
    </row>
    <row r="43" spans="1:15" x14ac:dyDescent="0.45">
      <c r="I43" t="s">
        <v>17</v>
      </c>
      <c r="J43">
        <f>SUM(J3:J42)</f>
        <v>0.293059883119831</v>
      </c>
      <c r="K43">
        <f>SUM(K3:K42)</f>
        <v>0.29390565478828662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2E0E-A3DB-4375-93EB-7FE81D80413D}">
  <dimension ref="A1"/>
  <sheetViews>
    <sheetView workbookViewId="0"/>
  </sheetViews>
  <sheetFormatPr defaultRowHeight="17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Sheet1</vt:lpstr>
      <vt:lpstr>Bootstrap</vt:lpstr>
      <vt:lpstr>Duration</vt:lpstr>
      <vt:lpstr>1Y duration</vt:lpstr>
      <vt:lpstr>2Y duration</vt:lpstr>
      <vt:lpstr>3Y duration</vt:lpstr>
      <vt:lpstr>4Y duration</vt:lpstr>
      <vt:lpstr>5Y duration</vt:lpstr>
      <vt:lpstr>7Y duration</vt:lpstr>
      <vt:lpstr>10Y duration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석진 박</dc:creator>
  <cp:lastModifiedBy>수린 김</cp:lastModifiedBy>
  <dcterms:created xsi:type="dcterms:W3CDTF">2026-02-26T13:08:04Z</dcterms:created>
  <dcterms:modified xsi:type="dcterms:W3CDTF">2026-05-31T13:38:06Z</dcterms:modified>
</cp:coreProperties>
</file>