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0CA5D28-C138-418B-AEFA-B447115E2F32}" xr6:coauthVersionLast="47" xr6:coauthVersionMax="47" xr10:uidLastSave="{00000000-0000-0000-0000-000000000000}"/>
  <bookViews>
    <workbookView xWindow="380" yWindow="380" windowWidth="16910" windowHeight="15240" firstSheet="2" activeTab="2" xr2:uid="{B30972F7-4D09-4A3F-B7DA-163E30ED5E17}"/>
  </bookViews>
  <sheets>
    <sheet name="Sheet1" sheetId="1" r:id="rId1"/>
    <sheet name="Bootstrap" sheetId="2" r:id="rId2"/>
    <sheet name="Duration" sheetId="4" r:id="rId3"/>
    <sheet name="1Y duration" sheetId="5" r:id="rId4"/>
    <sheet name="2Y duration" sheetId="6" r:id="rId5"/>
    <sheet name="3Y duration" sheetId="7" r:id="rId6"/>
    <sheet name="4Y duration" sheetId="8" r:id="rId7"/>
    <sheet name="5Y duration" sheetId="9" r:id="rId8"/>
    <sheet name="7Y duration" sheetId="10" r:id="rId9"/>
    <sheet name="10Y duration" sheetId="11" r:id="rId10"/>
  </sheets>
  <definedNames>
    <definedName name="solver_eng" localSheetId="9" hidden="1">1</definedName>
    <definedName name="solver_eng" localSheetId="3" hidden="1">1</definedName>
    <definedName name="solver_eng" localSheetId="4" hidden="1">1</definedName>
    <definedName name="solver_eng" localSheetId="5" hidden="1">1</definedName>
    <definedName name="solver_eng" localSheetId="6" hidden="1">1</definedName>
    <definedName name="solver_eng" localSheetId="7" hidden="1">1</definedName>
    <definedName name="solver_eng" localSheetId="8" hidden="1">1</definedName>
    <definedName name="solver_eng" localSheetId="1" hidden="1">1</definedName>
    <definedName name="solver_eng" localSheetId="2" hidden="1">1</definedName>
    <definedName name="solver_neg" localSheetId="9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eg" localSheetId="8" hidden="1">1</definedName>
    <definedName name="solver_neg" localSheetId="1" hidden="1">1</definedName>
    <definedName name="solver_neg" localSheetId="2" hidden="1">1</definedName>
    <definedName name="solver_num" localSheetId="9" hidden="1">0</definedName>
    <definedName name="solver_num" localSheetId="3" hidden="1">0</definedName>
    <definedName name="solver_num" localSheetId="4" hidden="1">0</definedName>
    <definedName name="solver_num" localSheetId="5" hidden="1">0</definedName>
    <definedName name="solver_num" localSheetId="6" hidden="1">0</definedName>
    <definedName name="solver_num" localSheetId="7" hidden="1">0</definedName>
    <definedName name="solver_num" localSheetId="8" hidden="1">0</definedName>
    <definedName name="solver_num" localSheetId="1" hidden="1">0</definedName>
    <definedName name="solver_num" localSheetId="2" hidden="1">0</definedName>
    <definedName name="solver_opt" localSheetId="9" hidden="1">'10Y duration'!$F$6</definedName>
    <definedName name="solver_opt" localSheetId="3" hidden="1">'1Y duration'!$F$6</definedName>
    <definedName name="solver_opt" localSheetId="4" hidden="1">'2Y duration'!$F$6</definedName>
    <definedName name="solver_opt" localSheetId="5" hidden="1">'3Y duration'!$F$6</definedName>
    <definedName name="solver_opt" localSheetId="6" hidden="1">'4Y duration'!$F$6</definedName>
    <definedName name="solver_opt" localSheetId="7" hidden="1">'5Y duration'!$F$6</definedName>
    <definedName name="solver_opt" localSheetId="8" hidden="1">'7Y duration'!$F$6</definedName>
    <definedName name="solver_opt" localSheetId="1" hidden="1">Bootstrap!$F$6</definedName>
    <definedName name="solver_opt" localSheetId="2" hidden="1">Duration!$F$6</definedName>
    <definedName name="solver_typ" localSheetId="9" hidden="1">1</definedName>
    <definedName name="solver_typ" localSheetId="3" hidden="1">1</definedName>
    <definedName name="solver_typ" localSheetId="4" hidden="1">1</definedName>
    <definedName name="solver_typ" localSheetId="5" hidden="1">1</definedName>
    <definedName name="solver_typ" localSheetId="6" hidden="1">1</definedName>
    <definedName name="solver_typ" localSheetId="7" hidden="1">1</definedName>
    <definedName name="solver_typ" localSheetId="8" hidden="1">1</definedName>
    <definedName name="solver_typ" localSheetId="1" hidden="1">1</definedName>
    <definedName name="solver_typ" localSheetId="2" hidden="1">1</definedName>
    <definedName name="solver_val" localSheetId="9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al" localSheetId="1" hidden="1">0</definedName>
    <definedName name="solver_val" localSheetId="2" hidden="1">0</definedName>
    <definedName name="solver_ver" localSheetId="9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8" hidden="1">3</definedName>
    <definedName name="solver_ver" localSheetId="1" hidden="1">3</definedName>
    <definedName name="solver_ver" localSheetId="2" hidden="1">3</definedName>
  </definedNames>
  <calcPr calcId="191029" iterateCount="32000" iterateDelta="1.0000000000000001E-1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K3" i="2" s="1"/>
  <c r="A3" i="11" a="1"/>
  <c r="E18" i="11" s="1"/>
  <c r="A3" i="10" a="1"/>
  <c r="E22" i="10" s="1"/>
  <c r="A3" i="9" a="1"/>
  <c r="G14" i="9" s="1"/>
  <c r="A3" i="8" a="1"/>
  <c r="G42" i="8" s="1"/>
  <c r="A3" i="7" a="1"/>
  <c r="E10" i="7" s="1"/>
  <c r="A3" i="6" a="1"/>
  <c r="G10" i="6" s="1"/>
  <c r="A3" i="5" a="1"/>
  <c r="E10" i="5" s="1"/>
  <c r="A3" i="4" a="1"/>
  <c r="E6" i="4" s="1"/>
  <c r="J1" i="2"/>
  <c r="J3" i="2" s="1"/>
  <c r="E14" i="4"/>
  <c r="E18" i="4"/>
  <c r="E22" i="4"/>
  <c r="A3" i="2" a="1"/>
  <c r="A3" i="2" s="1"/>
  <c r="E42" i="11" l="1"/>
  <c r="E6" i="11"/>
  <c r="G10" i="11"/>
  <c r="E10" i="11"/>
  <c r="E30" i="11"/>
  <c r="G18" i="11"/>
  <c r="G42" i="11"/>
  <c r="E14" i="11"/>
  <c r="E22" i="11"/>
  <c r="E10" i="10"/>
  <c r="E6" i="10"/>
  <c r="G10" i="10"/>
  <c r="E18" i="10"/>
  <c r="G18" i="10"/>
  <c r="E14" i="10"/>
  <c r="G42" i="10"/>
  <c r="E42" i="10"/>
  <c r="E30" i="10"/>
  <c r="E30" i="9"/>
  <c r="E14" i="9"/>
  <c r="E18" i="9"/>
  <c r="E42" i="9"/>
  <c r="E10" i="9"/>
  <c r="E6" i="9"/>
  <c r="G42" i="9"/>
  <c r="E22" i="9"/>
  <c r="E22" i="8"/>
  <c r="E42" i="8"/>
  <c r="E10" i="8"/>
  <c r="E18" i="8"/>
  <c r="E6" i="8"/>
  <c r="E14" i="8"/>
  <c r="E30" i="8"/>
  <c r="E6" i="7"/>
  <c r="G10" i="7"/>
  <c r="E14" i="7"/>
  <c r="G42" i="7"/>
  <c r="E42" i="7"/>
  <c r="E30" i="7"/>
  <c r="E22" i="7"/>
  <c r="E18" i="7"/>
  <c r="G42" i="6"/>
  <c r="E18" i="6"/>
  <c r="E42" i="6"/>
  <c r="E14" i="6"/>
  <c r="E6" i="6"/>
  <c r="E22" i="6"/>
  <c r="G14" i="6"/>
  <c r="E10" i="6"/>
  <c r="G18" i="6"/>
  <c r="E30" i="6"/>
  <c r="E30" i="5"/>
  <c r="E18" i="5"/>
  <c r="G10" i="5"/>
  <c r="G42" i="5"/>
  <c r="E14" i="5"/>
  <c r="E6" i="5"/>
  <c r="E42" i="5"/>
  <c r="E22" i="5"/>
  <c r="G10" i="4"/>
  <c r="G18" i="4"/>
  <c r="E42" i="4"/>
  <c r="E10" i="4"/>
  <c r="G42" i="4"/>
  <c r="E30" i="4"/>
  <c r="J42" i="2"/>
  <c r="J30" i="2"/>
  <c r="J22" i="2"/>
  <c r="J18" i="2"/>
  <c r="J14" i="2"/>
  <c r="J10" i="2"/>
  <c r="J6" i="2"/>
  <c r="H33" i="2"/>
  <c r="J20" i="2"/>
  <c r="J26" i="2"/>
  <c r="G10" i="2"/>
  <c r="G42" i="2"/>
  <c r="G22" i="2"/>
  <c r="G19" i="2"/>
  <c r="G37" i="2"/>
  <c r="G7" i="2"/>
  <c r="G31" i="2"/>
  <c r="G15" i="2"/>
  <c r="H9" i="2"/>
  <c r="J8" i="2"/>
  <c r="G9" i="2"/>
  <c r="G27" i="2"/>
  <c r="G21" i="2"/>
  <c r="J32" i="2"/>
  <c r="G3" i="2"/>
  <c r="G26" i="2"/>
  <c r="G14" i="2"/>
  <c r="G8" i="2"/>
  <c r="G30" i="2"/>
  <c r="G18" i="2"/>
  <c r="G6" i="2"/>
  <c r="E42" i="2"/>
  <c r="E30" i="2"/>
  <c r="E22" i="2"/>
  <c r="E18" i="2"/>
  <c r="E14" i="2"/>
  <c r="E10" i="2"/>
  <c r="E6" i="2"/>
  <c r="G41" i="11"/>
  <c r="G16" i="11"/>
  <c r="G21" i="11"/>
  <c r="G22" i="11"/>
  <c r="G30" i="11"/>
  <c r="G6" i="11"/>
  <c r="A3" i="11"/>
  <c r="G14" i="11"/>
  <c r="H3" i="11"/>
  <c r="G41" i="10"/>
  <c r="G16" i="10"/>
  <c r="G22" i="10"/>
  <c r="G30" i="10"/>
  <c r="G6" i="10"/>
  <c r="A3" i="10"/>
  <c r="G14" i="10"/>
  <c r="H3" i="10"/>
  <c r="G20" i="9"/>
  <c r="G15" i="9"/>
  <c r="G17" i="9"/>
  <c r="G18" i="9"/>
  <c r="G13" i="9"/>
  <c r="G41" i="8"/>
  <c r="G17" i="8"/>
  <c r="G18" i="8"/>
  <c r="G12" i="8"/>
  <c r="G22" i="9"/>
  <c r="G30" i="9"/>
  <c r="G6" i="9"/>
  <c r="A3" i="9"/>
  <c r="G10" i="9"/>
  <c r="H3" i="9"/>
  <c r="G22" i="8"/>
  <c r="G30" i="8"/>
  <c r="G6" i="8"/>
  <c r="A3" i="8"/>
  <c r="G10" i="8"/>
  <c r="G14" i="8"/>
  <c r="H3" i="8"/>
  <c r="G41" i="7"/>
  <c r="G21" i="7"/>
  <c r="G16" i="7"/>
  <c r="G18" i="7"/>
  <c r="G29" i="7"/>
  <c r="G22" i="7"/>
  <c r="G30" i="7"/>
  <c r="G6" i="7"/>
  <c r="A3" i="7"/>
  <c r="G14" i="7"/>
  <c r="H3" i="7"/>
  <c r="G41" i="6"/>
  <c r="G9" i="6"/>
  <c r="G22" i="6"/>
  <c r="G30" i="6"/>
  <c r="G6" i="6"/>
  <c r="A3" i="6"/>
  <c r="G29" i="5"/>
  <c r="G20" i="5"/>
  <c r="G18" i="5"/>
  <c r="G16" i="5"/>
  <c r="G9" i="5"/>
  <c r="G22" i="5"/>
  <c r="G30" i="5"/>
  <c r="G6" i="5"/>
  <c r="A3" i="5"/>
  <c r="G14" i="5"/>
  <c r="H3" i="5"/>
  <c r="G41" i="4"/>
  <c r="G21" i="4"/>
  <c r="G16" i="4"/>
  <c r="G20" i="4"/>
  <c r="G22" i="4"/>
  <c r="G30" i="4"/>
  <c r="G6" i="4"/>
  <c r="A3" i="4"/>
  <c r="G14" i="4"/>
  <c r="G38" i="2" l="1"/>
  <c r="G25" i="2"/>
  <c r="G20" i="2"/>
  <c r="G33" i="2"/>
  <c r="G32" i="2"/>
  <c r="G39" i="2"/>
  <c r="G35" i="2"/>
  <c r="J7" i="2"/>
  <c r="H7" i="2"/>
  <c r="H8" i="2"/>
  <c r="K33" i="2"/>
  <c r="H19" i="2"/>
  <c r="H20" i="2"/>
  <c r="J19" i="2"/>
  <c r="J25" i="2"/>
  <c r="H26" i="2"/>
  <c r="K9" i="2"/>
  <c r="G29" i="2"/>
  <c r="J31" i="2"/>
  <c r="H31" i="2"/>
  <c r="H32" i="2"/>
  <c r="G16" i="2"/>
  <c r="H38" i="2"/>
  <c r="J37" i="2"/>
  <c r="H22" i="2"/>
  <c r="J21" i="2"/>
  <c r="G28" i="2"/>
  <c r="G13" i="2"/>
  <c r="G34" i="2"/>
  <c r="J27" i="2"/>
  <c r="H15" i="2"/>
  <c r="J15" i="2"/>
  <c r="G41" i="2"/>
  <c r="G40" i="2"/>
  <c r="G12" i="2"/>
  <c r="G5" i="2"/>
  <c r="H27" i="2"/>
  <c r="G11" i="2"/>
  <c r="G24" i="2"/>
  <c r="G4" i="2"/>
  <c r="J9" i="2"/>
  <c r="H10" i="2"/>
  <c r="J38" i="2"/>
  <c r="H39" i="2"/>
  <c r="G17" i="2"/>
  <c r="G36" i="2"/>
  <c r="H21" i="2"/>
  <c r="G23" i="2"/>
  <c r="J33" i="2"/>
  <c r="H34" i="2"/>
  <c r="G9" i="11"/>
  <c r="H30" i="8"/>
  <c r="H30" i="7"/>
  <c r="H10" i="4"/>
  <c r="G20" i="11"/>
  <c r="H42" i="10"/>
  <c r="G38" i="9"/>
  <c r="H15" i="9"/>
  <c r="G9" i="9"/>
  <c r="G29" i="8"/>
  <c r="G20" i="8"/>
  <c r="G9" i="8"/>
  <c r="H10" i="8"/>
  <c r="H42" i="7"/>
  <c r="G41" i="5"/>
  <c r="H3" i="4"/>
  <c r="G3" i="4"/>
  <c r="H3" i="6"/>
  <c r="H42" i="11"/>
  <c r="G7" i="11"/>
  <c r="G31" i="11"/>
  <c r="G23" i="11"/>
  <c r="G3" i="11"/>
  <c r="G12" i="11"/>
  <c r="G33" i="11"/>
  <c r="G19" i="11"/>
  <c r="G25" i="11"/>
  <c r="G15" i="11"/>
  <c r="G8" i="11"/>
  <c r="G40" i="11"/>
  <c r="G28" i="11"/>
  <c r="G38" i="11"/>
  <c r="G26" i="11"/>
  <c r="G36" i="11"/>
  <c r="G24" i="11"/>
  <c r="G39" i="11"/>
  <c r="G34" i="11"/>
  <c r="G13" i="11"/>
  <c r="G37" i="11"/>
  <c r="G29" i="11"/>
  <c r="G32" i="11"/>
  <c r="G11" i="11"/>
  <c r="G35" i="11"/>
  <c r="G27" i="11"/>
  <c r="G17" i="11"/>
  <c r="H10" i="11"/>
  <c r="G20" i="10"/>
  <c r="H10" i="10"/>
  <c r="G9" i="10"/>
  <c r="G15" i="10"/>
  <c r="G11" i="10"/>
  <c r="G3" i="10"/>
  <c r="G12" i="10"/>
  <c r="G7" i="10"/>
  <c r="G21" i="10"/>
  <c r="G31" i="10"/>
  <c r="G19" i="10"/>
  <c r="G23" i="10"/>
  <c r="G8" i="10"/>
  <c r="G40" i="10"/>
  <c r="G38" i="10"/>
  <c r="G39" i="10"/>
  <c r="G36" i="10"/>
  <c r="G28" i="10"/>
  <c r="G37" i="10"/>
  <c r="G29" i="10"/>
  <c r="G34" i="10"/>
  <c r="G26" i="10"/>
  <c r="G35" i="10"/>
  <c r="G27" i="10"/>
  <c r="G32" i="10"/>
  <c r="G24" i="10"/>
  <c r="G33" i="10"/>
  <c r="G25" i="10"/>
  <c r="G17" i="10"/>
  <c r="G13" i="10"/>
  <c r="G11" i="9"/>
  <c r="G25" i="9"/>
  <c r="G26" i="9"/>
  <c r="G16" i="9"/>
  <c r="G23" i="9"/>
  <c r="G24" i="9"/>
  <c r="G31" i="9"/>
  <c r="G34" i="9"/>
  <c r="G19" i="9"/>
  <c r="G27" i="9"/>
  <c r="G36" i="9"/>
  <c r="G41" i="9"/>
  <c r="G8" i="9"/>
  <c r="H10" i="9"/>
  <c r="G28" i="9"/>
  <c r="G21" i="9"/>
  <c r="G39" i="9"/>
  <c r="G3" i="9"/>
  <c r="G37" i="9"/>
  <c r="G40" i="9"/>
  <c r="G12" i="9"/>
  <c r="G35" i="9"/>
  <c r="G32" i="9"/>
  <c r="G7" i="9"/>
  <c r="G33" i="9"/>
  <c r="G29" i="9"/>
  <c r="G3" i="8"/>
  <c r="G21" i="8"/>
  <c r="H21" i="8"/>
  <c r="G19" i="8"/>
  <c r="G8" i="8"/>
  <c r="G40" i="8"/>
  <c r="G38" i="8"/>
  <c r="G28" i="8"/>
  <c r="G39" i="8"/>
  <c r="G36" i="8"/>
  <c r="G26" i="8"/>
  <c r="G37" i="8"/>
  <c r="G34" i="8"/>
  <c r="G24" i="8"/>
  <c r="G35" i="8"/>
  <c r="G32" i="8"/>
  <c r="G13" i="8"/>
  <c r="G33" i="8"/>
  <c r="G27" i="8"/>
  <c r="G15" i="8"/>
  <c r="G11" i="8"/>
  <c r="G7" i="8"/>
  <c r="G31" i="8"/>
  <c r="G25" i="8"/>
  <c r="H42" i="8"/>
  <c r="G23" i="8"/>
  <c r="G16" i="8"/>
  <c r="G20" i="7"/>
  <c r="G9" i="7"/>
  <c r="H10" i="7"/>
  <c r="G8" i="7"/>
  <c r="G40" i="7"/>
  <c r="G38" i="7"/>
  <c r="G36" i="7"/>
  <c r="G28" i="7"/>
  <c r="G34" i="7"/>
  <c r="G26" i="7"/>
  <c r="G39" i="7"/>
  <c r="G32" i="7"/>
  <c r="G24" i="7"/>
  <c r="G37" i="7"/>
  <c r="G27" i="7"/>
  <c r="G17" i="7"/>
  <c r="G13" i="7"/>
  <c r="G3" i="7"/>
  <c r="G35" i="7"/>
  <c r="G25" i="7"/>
  <c r="G15" i="7"/>
  <c r="G11" i="7"/>
  <c r="G7" i="7"/>
  <c r="G33" i="7"/>
  <c r="G23" i="7"/>
  <c r="G19" i="7"/>
  <c r="G31" i="7"/>
  <c r="G12" i="7"/>
  <c r="G20" i="6"/>
  <c r="G31" i="6"/>
  <c r="G25" i="6"/>
  <c r="G11" i="6"/>
  <c r="G13" i="6"/>
  <c r="G7" i="6"/>
  <c r="G23" i="6"/>
  <c r="G15" i="6"/>
  <c r="G16" i="6"/>
  <c r="G12" i="6"/>
  <c r="G21" i="6"/>
  <c r="G33" i="6"/>
  <c r="G19" i="6"/>
  <c r="G40" i="6"/>
  <c r="G8" i="6"/>
  <c r="G38" i="6"/>
  <c r="G36" i="6"/>
  <c r="G39" i="6"/>
  <c r="G34" i="6"/>
  <c r="G28" i="6"/>
  <c r="G37" i="6"/>
  <c r="G32" i="6"/>
  <c r="G26" i="6"/>
  <c r="G27" i="6"/>
  <c r="G3" i="6"/>
  <c r="G35" i="6"/>
  <c r="G29" i="6"/>
  <c r="G17" i="6"/>
  <c r="G24" i="6"/>
  <c r="G7" i="5"/>
  <c r="G31" i="5"/>
  <c r="G3" i="5"/>
  <c r="G21" i="5"/>
  <c r="G19" i="5"/>
  <c r="G8" i="5"/>
  <c r="G40" i="5"/>
  <c r="G38" i="5"/>
  <c r="G28" i="5"/>
  <c r="G36" i="5"/>
  <c r="G26" i="5"/>
  <c r="G39" i="5"/>
  <c r="G34" i="5"/>
  <c r="G24" i="5"/>
  <c r="G37" i="5"/>
  <c r="G27" i="5"/>
  <c r="G32" i="5"/>
  <c r="G13" i="5"/>
  <c r="G12" i="5"/>
  <c r="G35" i="5"/>
  <c r="G25" i="5"/>
  <c r="G17" i="5"/>
  <c r="G11" i="5"/>
  <c r="G33" i="5"/>
  <c r="G23" i="5"/>
  <c r="G15" i="5"/>
  <c r="H42" i="5"/>
  <c r="G9" i="4"/>
  <c r="G12" i="4"/>
  <c r="G8" i="4"/>
  <c r="G40" i="4"/>
  <c r="G38" i="4"/>
  <c r="G36" i="4"/>
  <c r="G28" i="4"/>
  <c r="G39" i="4"/>
  <c r="G34" i="4"/>
  <c r="G26" i="4"/>
  <c r="G37" i="4"/>
  <c r="G29" i="4"/>
  <c r="G32" i="4"/>
  <c r="G24" i="4"/>
  <c r="G35" i="4"/>
  <c r="G17" i="4"/>
  <c r="G13" i="4"/>
  <c r="G19" i="4"/>
  <c r="G27" i="4"/>
  <c r="G33" i="4"/>
  <c r="G25" i="4"/>
  <c r="G15" i="4"/>
  <c r="G11" i="4"/>
  <c r="G7" i="4"/>
  <c r="G31" i="4"/>
  <c r="G23" i="4"/>
  <c r="K38" i="2" l="1"/>
  <c r="K39" i="2"/>
  <c r="J13" i="2"/>
  <c r="H14" i="2"/>
  <c r="H17" i="2"/>
  <c r="J16" i="2"/>
  <c r="J41" i="2"/>
  <c r="H42" i="2"/>
  <c r="K15" i="2"/>
  <c r="K26" i="2"/>
  <c r="K8" i="2"/>
  <c r="K27" i="2"/>
  <c r="H23" i="2"/>
  <c r="H24" i="2"/>
  <c r="J23" i="2"/>
  <c r="H6" i="2"/>
  <c r="J5" i="2"/>
  <c r="H16" i="2"/>
  <c r="H29" i="2"/>
  <c r="J28" i="2"/>
  <c r="K32" i="2"/>
  <c r="K7" i="2"/>
  <c r="K10" i="2"/>
  <c r="H13" i="2"/>
  <c r="J12" i="2"/>
  <c r="K31" i="2"/>
  <c r="K20" i="2"/>
  <c r="H36" i="2"/>
  <c r="J35" i="2"/>
  <c r="J11" i="2"/>
  <c r="H11" i="2"/>
  <c r="H12" i="2"/>
  <c r="K21" i="2"/>
  <c r="K19" i="2"/>
  <c r="K34" i="2"/>
  <c r="H37" i="2"/>
  <c r="J36" i="2"/>
  <c r="H28" i="2"/>
  <c r="K22" i="2"/>
  <c r="H30" i="2"/>
  <c r="J29" i="2"/>
  <c r="H5" i="2"/>
  <c r="J4" i="2"/>
  <c r="D10" i="2"/>
  <c r="F10" i="2" s="1"/>
  <c r="D22" i="2"/>
  <c r="F22" i="2" s="1"/>
  <c r="D6" i="2"/>
  <c r="F6" i="2" s="1"/>
  <c r="D18" i="2"/>
  <c r="F18" i="2" s="1"/>
  <c r="D30" i="2"/>
  <c r="F30" i="2" s="1"/>
  <c r="D42" i="2"/>
  <c r="F42" i="2" s="1"/>
  <c r="H4" i="2"/>
  <c r="D14" i="2"/>
  <c r="F14" i="2" s="1"/>
  <c r="J40" i="2"/>
  <c r="H41" i="2"/>
  <c r="J39" i="2"/>
  <c r="H40" i="2"/>
  <c r="H18" i="2"/>
  <c r="J17" i="2"/>
  <c r="J24" i="2"/>
  <c r="H25" i="2"/>
  <c r="H35" i="2"/>
  <c r="J34" i="2"/>
  <c r="H22" i="11"/>
  <c r="H21" i="10"/>
  <c r="H18" i="9"/>
  <c r="H16" i="9"/>
  <c r="H18" i="8"/>
  <c r="H22" i="7"/>
  <c r="H10" i="6"/>
  <c r="H30" i="5"/>
  <c r="H17" i="5"/>
  <c r="H10" i="5"/>
  <c r="H42" i="4"/>
  <c r="H22" i="4"/>
  <c r="G4" i="4"/>
  <c r="G5" i="4"/>
  <c r="H21" i="11"/>
  <c r="H21" i="9"/>
  <c r="H14" i="9"/>
  <c r="H13" i="8"/>
  <c r="H21" i="7"/>
  <c r="H17" i="7"/>
  <c r="H42" i="6"/>
  <c r="H25" i="11"/>
  <c r="G5" i="11"/>
  <c r="H18" i="11"/>
  <c r="H38" i="11"/>
  <c r="H37" i="11"/>
  <c r="H16" i="11"/>
  <c r="H15" i="11"/>
  <c r="H28" i="11"/>
  <c r="H14" i="11"/>
  <c r="H26" i="11"/>
  <c r="H23" i="11"/>
  <c r="H24" i="11"/>
  <c r="H27" i="11"/>
  <c r="H9" i="11"/>
  <c r="H36" i="11"/>
  <c r="H35" i="11"/>
  <c r="H39" i="11"/>
  <c r="H19" i="11"/>
  <c r="H20" i="11"/>
  <c r="H31" i="11"/>
  <c r="H32" i="11"/>
  <c r="H30" i="11"/>
  <c r="H40" i="11"/>
  <c r="H34" i="11"/>
  <c r="G4" i="11"/>
  <c r="H12" i="11"/>
  <c r="H11" i="11"/>
  <c r="H29" i="11"/>
  <c r="H8" i="11"/>
  <c r="H7" i="11"/>
  <c r="H33" i="11"/>
  <c r="H17" i="11"/>
  <c r="H41" i="11"/>
  <c r="H13" i="11"/>
  <c r="H14" i="10"/>
  <c r="H29" i="10"/>
  <c r="H13" i="10"/>
  <c r="H18" i="10"/>
  <c r="H36" i="10"/>
  <c r="H37" i="10"/>
  <c r="H23" i="10"/>
  <c r="H24" i="10"/>
  <c r="G4" i="10"/>
  <c r="H40" i="10"/>
  <c r="G5" i="10"/>
  <c r="H27" i="10"/>
  <c r="H19" i="10"/>
  <c r="H20" i="10"/>
  <c r="H34" i="10"/>
  <c r="H35" i="10"/>
  <c r="H39" i="10"/>
  <c r="H26" i="10"/>
  <c r="H31" i="10"/>
  <c r="H32" i="10"/>
  <c r="H30" i="10"/>
  <c r="H25" i="10"/>
  <c r="H17" i="10"/>
  <c r="H22" i="10"/>
  <c r="H33" i="10"/>
  <c r="H38" i="10"/>
  <c r="H41" i="10"/>
  <c r="H12" i="10"/>
  <c r="H11" i="10"/>
  <c r="H16" i="10"/>
  <c r="H15" i="10"/>
  <c r="H28" i="10"/>
  <c r="H9" i="10"/>
  <c r="H8" i="10"/>
  <c r="H7" i="10"/>
  <c r="H11" i="9"/>
  <c r="H36" i="9"/>
  <c r="H13" i="9"/>
  <c r="H12" i="9"/>
  <c r="H40" i="9"/>
  <c r="H39" i="9"/>
  <c r="H37" i="9"/>
  <c r="H41" i="9"/>
  <c r="H42" i="9"/>
  <c r="H23" i="9"/>
  <c r="H24" i="9"/>
  <c r="H34" i="9"/>
  <c r="H28" i="9"/>
  <c r="H17" i="9"/>
  <c r="H31" i="9"/>
  <c r="H32" i="9"/>
  <c r="H30" i="9"/>
  <c r="H38" i="9"/>
  <c r="H29" i="9"/>
  <c r="H19" i="9"/>
  <c r="H20" i="9"/>
  <c r="H7" i="9"/>
  <c r="H8" i="9"/>
  <c r="G5" i="9"/>
  <c r="H27" i="9"/>
  <c r="H25" i="9"/>
  <c r="H33" i="9"/>
  <c r="G4" i="9"/>
  <c r="H9" i="9"/>
  <c r="H35" i="9"/>
  <c r="H26" i="9"/>
  <c r="H22" i="9"/>
  <c r="H31" i="8"/>
  <c r="H32" i="8"/>
  <c r="H41" i="8"/>
  <c r="H14" i="8"/>
  <c r="H27" i="8"/>
  <c r="H9" i="8"/>
  <c r="H17" i="8"/>
  <c r="H8" i="8"/>
  <c r="H7" i="8"/>
  <c r="H33" i="8"/>
  <c r="H37" i="8"/>
  <c r="H12" i="8"/>
  <c r="H11" i="8"/>
  <c r="H19" i="8"/>
  <c r="H20" i="8"/>
  <c r="H23" i="8"/>
  <c r="H24" i="8"/>
  <c r="H36" i="8"/>
  <c r="H40" i="8"/>
  <c r="H16" i="8"/>
  <c r="H15" i="8"/>
  <c r="H22" i="8"/>
  <c r="H38" i="8"/>
  <c r="H28" i="8"/>
  <c r="H25" i="8"/>
  <c r="H29" i="8"/>
  <c r="G4" i="8"/>
  <c r="H35" i="8"/>
  <c r="H39" i="8"/>
  <c r="G5" i="8"/>
  <c r="H26" i="8"/>
  <c r="H34" i="8"/>
  <c r="H34" i="7"/>
  <c r="G4" i="7"/>
  <c r="H29" i="7"/>
  <c r="G5" i="7"/>
  <c r="H37" i="7"/>
  <c r="H13" i="7"/>
  <c r="H8" i="7"/>
  <c r="H7" i="7"/>
  <c r="H25" i="7"/>
  <c r="H23" i="7"/>
  <c r="H24" i="7"/>
  <c r="H33" i="7"/>
  <c r="H39" i="7"/>
  <c r="H12" i="7"/>
  <c r="H11" i="7"/>
  <c r="H14" i="7"/>
  <c r="H31" i="7"/>
  <c r="H32" i="7"/>
  <c r="H18" i="7"/>
  <c r="H40" i="7"/>
  <c r="H41" i="7"/>
  <c r="H16" i="7"/>
  <c r="H15" i="7"/>
  <c r="H36" i="7"/>
  <c r="H28" i="7"/>
  <c r="H9" i="7"/>
  <c r="H19" i="7"/>
  <c r="H20" i="7"/>
  <c r="H26" i="7"/>
  <c r="H27" i="7"/>
  <c r="H38" i="7"/>
  <c r="H35" i="7"/>
  <c r="H37" i="6"/>
  <c r="H27" i="6"/>
  <c r="H22" i="6"/>
  <c r="H23" i="6"/>
  <c r="H24" i="6"/>
  <c r="H8" i="6"/>
  <c r="H7" i="6"/>
  <c r="H18" i="6"/>
  <c r="H30" i="6"/>
  <c r="H13" i="6"/>
  <c r="H38" i="6"/>
  <c r="H9" i="6"/>
  <c r="H14" i="6"/>
  <c r="H39" i="6"/>
  <c r="H36" i="6"/>
  <c r="H17" i="6"/>
  <c r="H21" i="6"/>
  <c r="H12" i="6"/>
  <c r="H11" i="6"/>
  <c r="H34" i="6"/>
  <c r="G4" i="6"/>
  <c r="H29" i="6"/>
  <c r="H41" i="6"/>
  <c r="H16" i="6"/>
  <c r="H15" i="6"/>
  <c r="H26" i="6"/>
  <c r="H33" i="6"/>
  <c r="G5" i="6"/>
  <c r="H35" i="6"/>
  <c r="H19" i="6"/>
  <c r="H20" i="6"/>
  <c r="H31" i="6"/>
  <c r="H32" i="6"/>
  <c r="H25" i="6"/>
  <c r="H28" i="6"/>
  <c r="H40" i="6"/>
  <c r="H22" i="5"/>
  <c r="H25" i="5"/>
  <c r="H29" i="5"/>
  <c r="H37" i="5"/>
  <c r="H34" i="5"/>
  <c r="H13" i="5"/>
  <c r="H35" i="5"/>
  <c r="H39" i="5"/>
  <c r="G4" i="5"/>
  <c r="H26" i="5"/>
  <c r="G5" i="5"/>
  <c r="H19" i="5"/>
  <c r="H20" i="5"/>
  <c r="H36" i="5"/>
  <c r="H21" i="5"/>
  <c r="H27" i="5"/>
  <c r="H23" i="5"/>
  <c r="H24" i="5"/>
  <c r="H14" i="5"/>
  <c r="H41" i="5"/>
  <c r="H31" i="5"/>
  <c r="H32" i="5"/>
  <c r="H16" i="5"/>
  <c r="H15" i="5"/>
  <c r="H33" i="5"/>
  <c r="H9" i="5"/>
  <c r="H38" i="5"/>
  <c r="H40" i="5"/>
  <c r="H12" i="5"/>
  <c r="H11" i="5"/>
  <c r="H18" i="5"/>
  <c r="H28" i="5"/>
  <c r="H8" i="5"/>
  <c r="H7" i="5"/>
  <c r="H21" i="4"/>
  <c r="H38" i="4"/>
  <c r="H37" i="4"/>
  <c r="H27" i="4"/>
  <c r="H39" i="4"/>
  <c r="H18" i="4"/>
  <c r="H35" i="4"/>
  <c r="H41" i="4"/>
  <c r="H28" i="4"/>
  <c r="H16" i="4"/>
  <c r="H15" i="4"/>
  <c r="H36" i="4"/>
  <c r="H40" i="4"/>
  <c r="H9" i="4"/>
  <c r="H31" i="4"/>
  <c r="H32" i="4"/>
  <c r="H19" i="4"/>
  <c r="H20" i="4"/>
  <c r="H25" i="4"/>
  <c r="H23" i="4"/>
  <c r="H24" i="4"/>
  <c r="H33" i="4"/>
  <c r="H26" i="4"/>
  <c r="H8" i="4"/>
  <c r="H7" i="4"/>
  <c r="H12" i="4"/>
  <c r="H11" i="4"/>
  <c r="H14" i="4"/>
  <c r="H17" i="4"/>
  <c r="H13" i="4"/>
  <c r="H34" i="4"/>
  <c r="H30" i="4"/>
  <c r="H29" i="4"/>
  <c r="K40" i="2" l="1"/>
  <c r="K28" i="2"/>
  <c r="K6" i="2"/>
  <c r="K17" i="2"/>
  <c r="J43" i="2"/>
  <c r="K14" i="2"/>
  <c r="K35" i="2"/>
  <c r="K37" i="2"/>
  <c r="K12" i="2"/>
  <c r="K25" i="2"/>
  <c r="K41" i="2"/>
  <c r="K5" i="2"/>
  <c r="K11" i="2"/>
  <c r="K24" i="2"/>
  <c r="K13" i="2"/>
  <c r="K23" i="2"/>
  <c r="K4" i="2"/>
  <c r="K36" i="2"/>
  <c r="K29" i="2"/>
  <c r="K42" i="2"/>
  <c r="K18" i="2"/>
  <c r="K30" i="2"/>
  <c r="K16" i="2"/>
  <c r="H6" i="4"/>
  <c r="H5" i="11"/>
  <c r="D22" i="11"/>
  <c r="F22" i="11" s="1"/>
  <c r="H4" i="11"/>
  <c r="D30" i="11"/>
  <c r="F30" i="11" s="1"/>
  <c r="D42" i="11"/>
  <c r="F42" i="11" s="1"/>
  <c r="D10" i="11"/>
  <c r="F10" i="11" s="1"/>
  <c r="D14" i="11"/>
  <c r="F14" i="11" s="1"/>
  <c r="D18" i="11"/>
  <c r="F18" i="11" s="1"/>
  <c r="D6" i="11"/>
  <c r="F6" i="11" s="1"/>
  <c r="H6" i="11"/>
  <c r="H6" i="10"/>
  <c r="H5" i="10"/>
  <c r="D6" i="10"/>
  <c r="F6" i="10" s="1"/>
  <c r="D22" i="10"/>
  <c r="F22" i="10" s="1"/>
  <c r="D30" i="10"/>
  <c r="F30" i="10" s="1"/>
  <c r="H4" i="10"/>
  <c r="D42" i="10"/>
  <c r="F42" i="10" s="1"/>
  <c r="D10" i="10"/>
  <c r="F10" i="10" s="1"/>
  <c r="D14" i="10"/>
  <c r="F14" i="10" s="1"/>
  <c r="D18" i="10"/>
  <c r="F18" i="10" s="1"/>
  <c r="H5" i="9"/>
  <c r="D6" i="9"/>
  <c r="F6" i="9" s="1"/>
  <c r="D42" i="9"/>
  <c r="F42" i="9" s="1"/>
  <c r="D30" i="9"/>
  <c r="F30" i="9" s="1"/>
  <c r="H4" i="9"/>
  <c r="D10" i="9"/>
  <c r="F10" i="9" s="1"/>
  <c r="D22" i="9"/>
  <c r="F22" i="9" s="1"/>
  <c r="D14" i="9"/>
  <c r="F14" i="9" s="1"/>
  <c r="D18" i="9"/>
  <c r="F18" i="9" s="1"/>
  <c r="H6" i="9"/>
  <c r="H5" i="8"/>
  <c r="D14" i="8"/>
  <c r="F14" i="8" s="1"/>
  <c r="D18" i="8"/>
  <c r="F18" i="8" s="1"/>
  <c r="D6" i="8"/>
  <c r="F6" i="8" s="1"/>
  <c r="D22" i="8"/>
  <c r="F22" i="8" s="1"/>
  <c r="H4" i="8"/>
  <c r="D30" i="8"/>
  <c r="F30" i="8" s="1"/>
  <c r="D42" i="8"/>
  <c r="F42" i="8" s="1"/>
  <c r="D10" i="8"/>
  <c r="F10" i="8" s="1"/>
  <c r="H6" i="8"/>
  <c r="H6" i="7"/>
  <c r="H5" i="7"/>
  <c r="D6" i="7"/>
  <c r="F6" i="7" s="1"/>
  <c r="D18" i="7"/>
  <c r="F18" i="7" s="1"/>
  <c r="D14" i="7"/>
  <c r="F14" i="7" s="1"/>
  <c r="D22" i="7"/>
  <c r="F22" i="7" s="1"/>
  <c r="D30" i="7"/>
  <c r="F30" i="7" s="1"/>
  <c r="H4" i="7"/>
  <c r="D42" i="7"/>
  <c r="F42" i="7" s="1"/>
  <c r="D10" i="7"/>
  <c r="F10" i="7" s="1"/>
  <c r="H6" i="6"/>
  <c r="H5" i="6"/>
  <c r="D10" i="6"/>
  <c r="F10" i="6" s="1"/>
  <c r="H4" i="6"/>
  <c r="D30" i="6"/>
  <c r="F30" i="6" s="1"/>
  <c r="D42" i="6"/>
  <c r="F42" i="6" s="1"/>
  <c r="D22" i="6"/>
  <c r="F22" i="6" s="1"/>
  <c r="D14" i="6"/>
  <c r="F14" i="6" s="1"/>
  <c r="D18" i="6"/>
  <c r="F18" i="6" s="1"/>
  <c r="D6" i="6"/>
  <c r="F6" i="6" s="1"/>
  <c r="H6" i="5"/>
  <c r="H5" i="5"/>
  <c r="D22" i="5"/>
  <c r="F22" i="5" s="1"/>
  <c r="H4" i="5"/>
  <c r="D18" i="5"/>
  <c r="F18" i="5" s="1"/>
  <c r="D30" i="5"/>
  <c r="F30" i="5" s="1"/>
  <c r="D42" i="5"/>
  <c r="F42" i="5" s="1"/>
  <c r="D10" i="5"/>
  <c r="F10" i="5" s="1"/>
  <c r="D6" i="5"/>
  <c r="F6" i="5" s="1"/>
  <c r="D14" i="5"/>
  <c r="F14" i="5" s="1"/>
  <c r="D14" i="4"/>
  <c r="F14" i="4" s="1"/>
  <c r="D30" i="4"/>
  <c r="F30" i="4" s="1"/>
  <c r="H4" i="4"/>
  <c r="D18" i="4"/>
  <c r="F18" i="4" s="1"/>
  <c r="D42" i="4"/>
  <c r="F42" i="4" s="1"/>
  <c r="D10" i="4"/>
  <c r="F10" i="4" s="1"/>
  <c r="H5" i="4" l="1"/>
  <c r="D22" i="4"/>
  <c r="F22" i="4" s="1"/>
  <c r="D6" i="4"/>
  <c r="F6" i="4" s="1"/>
  <c r="L35" i="11" l="1"/>
  <c r="L35" i="10"/>
  <c r="L35" i="8"/>
  <c r="L35" i="6"/>
  <c r="L35" i="9"/>
  <c r="L35" i="5"/>
  <c r="L35" i="7"/>
  <c r="L35" i="4"/>
  <c r="K1" i="10" l="1"/>
  <c r="K1" i="11"/>
  <c r="K1" i="5"/>
  <c r="K1" i="8"/>
  <c r="K1" i="6"/>
  <c r="K1" i="4" l="1"/>
  <c r="K1" i="7"/>
  <c r="K1" i="9"/>
  <c r="K43" i="2" l="1"/>
  <c r="K35" i="8"/>
  <c r="K35" i="7"/>
  <c r="K35" i="5"/>
  <c r="K35" i="9"/>
  <c r="K35" i="11"/>
  <c r="K35" i="10"/>
  <c r="K35" i="4"/>
  <c r="K35" i="6"/>
  <c r="N36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<sst xmlns="http://schemas.openxmlformats.org/spreadsheetml/2006/main" count="157" uniqueCount="46">
  <si>
    <t>IRS tenor</t>
    <phoneticPr fontId="2" type="noConversion"/>
  </si>
  <si>
    <t>3개월=CD</t>
    <phoneticPr fontId="2" type="noConversion"/>
  </si>
  <si>
    <t>Bootstraping</t>
    <phoneticPr fontId="2" type="noConversion"/>
  </si>
  <si>
    <t>Maturity</t>
    <phoneticPr fontId="2" type="noConversion"/>
  </si>
  <si>
    <t>fixed</t>
    <phoneticPr fontId="2" type="noConversion"/>
  </si>
  <si>
    <t>floating</t>
    <phoneticPr fontId="2" type="noConversion"/>
  </si>
  <si>
    <t>error</t>
    <phoneticPr fontId="2" type="noConversion"/>
  </si>
  <si>
    <t>DF</t>
    <phoneticPr fontId="2" type="noConversion"/>
  </si>
  <si>
    <t>LN(DF)</t>
    <phoneticPr fontId="2" type="noConversion"/>
  </si>
  <si>
    <t>실제 rate</t>
    <phoneticPr fontId="2" type="noConversion"/>
  </si>
  <si>
    <t>이론 rate</t>
    <phoneticPr fontId="2" type="noConversion"/>
  </si>
  <si>
    <t>spot curve</t>
    <phoneticPr fontId="2" type="noConversion"/>
  </si>
  <si>
    <t>forward curve</t>
    <phoneticPr fontId="2" type="noConversion"/>
  </si>
  <si>
    <t>fixed leg</t>
    <phoneticPr fontId="2" type="noConversion"/>
  </si>
  <si>
    <t>floating leg</t>
    <phoneticPr fontId="2" type="noConversion"/>
  </si>
  <si>
    <t>Swap rate</t>
    <phoneticPr fontId="2" type="noConversion"/>
  </si>
  <si>
    <t>Total</t>
    <phoneticPr fontId="2" type="noConversion"/>
  </si>
  <si>
    <t>value change</t>
    <phoneticPr fontId="2" type="noConversion"/>
  </si>
  <si>
    <t>Duration</t>
    <phoneticPr fontId="2" type="noConversion"/>
  </si>
  <si>
    <t>1Y change</t>
    <phoneticPr fontId="2" type="noConversion"/>
  </si>
  <si>
    <t>2Y change</t>
    <phoneticPr fontId="2" type="noConversion"/>
  </si>
  <si>
    <t>3Y change</t>
    <phoneticPr fontId="2" type="noConversion"/>
  </si>
  <si>
    <t>4Y change</t>
    <phoneticPr fontId="2" type="noConversion"/>
  </si>
  <si>
    <t>5Y change</t>
    <phoneticPr fontId="2" type="noConversion"/>
  </si>
  <si>
    <t>7Y change</t>
    <phoneticPr fontId="2" type="noConversion"/>
  </si>
  <si>
    <t>10Y change</t>
    <phoneticPr fontId="2" type="noConversion"/>
  </si>
  <si>
    <t>S</t>
    <phoneticPr fontId="2" type="noConversion"/>
  </si>
  <si>
    <t>Notional</t>
    <phoneticPr fontId="2" type="noConversion"/>
  </si>
  <si>
    <t>8Y swap rate</t>
    <phoneticPr fontId="2" type="noConversion"/>
  </si>
  <si>
    <t>8Y swap</t>
    <phoneticPr fontId="2" type="noConversion"/>
  </si>
  <si>
    <t>&gt; Swap rate를 올바르게 구했는지 leg의 차이를 계산함으로써 구하기</t>
    <phoneticPr fontId="2" type="noConversion"/>
  </si>
  <si>
    <t>1bp</t>
    <phoneticPr fontId="2" type="noConversion"/>
  </si>
  <si>
    <t>http://www.smbs.biz/Exchange/IRS.jsp</t>
    <phoneticPr fontId="2" type="noConversion"/>
  </si>
  <si>
    <t xml:space="preserve">Value </t>
    <phoneticPr fontId="2" type="noConversion"/>
  </si>
  <si>
    <t>1. 위의 링크와 CD금리를 통해 앞의 tenor를 채워주세요</t>
    <phoneticPr fontId="2" type="noConversion"/>
  </si>
  <si>
    <t>&gt; 2월 26일 기준 금리로 답안이 게시될 예정입니다.</t>
    <phoneticPr fontId="2" type="noConversion"/>
  </si>
  <si>
    <t>&gt; Notional * value</t>
    <phoneticPr fontId="2" type="noConversion"/>
  </si>
  <si>
    <t>&gt; 여기만 상승</t>
    <phoneticPr fontId="2" type="noConversion"/>
  </si>
  <si>
    <t>parallel shift</t>
    <phoneticPr fontId="2" type="noConversion"/>
  </si>
  <si>
    <t>&gt; Bootstrap sheet에서 각 leg의 CashFlow를 구한 후 차이를 구해주시면 됩니다!</t>
    <phoneticPr fontId="2" type="noConversion"/>
  </si>
  <si>
    <t>&gt; 올바르게 bootstrap되었는지 확인</t>
    <phoneticPr fontId="2" type="noConversion"/>
  </si>
  <si>
    <t>2. 10년 만기 fixed rate 3.7%를 지급하는 IRS가 있다고 할때 해당 상품의 값을 구해주세요.</t>
    <phoneticPr fontId="2" type="noConversion"/>
  </si>
  <si>
    <t>3. 1bp만큼 원래 값에서 전체 tenor의 금리 or key rate을 변화시켜주세요</t>
    <phoneticPr fontId="2" type="noConversion"/>
  </si>
  <si>
    <t>3-1. 8년 swap 금리를 구하고 Bootstrap sheet를 통해 값이 맞는지 fixed/floating leg를 구하고 값을 비교해 확인해주세요</t>
    <phoneticPr fontId="2" type="noConversion"/>
  </si>
  <si>
    <t>bootstrap한 이후 값을 통해 value만 구해주시기만 하면 됩니다!</t>
    <phoneticPr fontId="2" type="noConversion"/>
  </si>
  <si>
    <t>&gt; 각 tenor에 맞게 bootstrap한 값을 통해 Duration, key rate duration을 구하고 key rate duration의 경우 전체 duration 대비 얼마만큼 영향을 미쳤는지 %로 나타내주세요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</si>
</sst>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9" fontId="0" fillId="0" borderId="0" xfId="1" applyFont="1">
      <alignment vertical="center"/>
    </xf>
    <xf numFmtId="0" fontId="0" fillId="0" borderId="0" xfId="0" applyAlignment="1">
      <alignment horizontal="right" vertical="center"/>
    </xf>
    <xf numFmtId="0" fontId="0" fillId="2" borderId="0" xfId="0" applyFill="1">
      <alignment vertical="center"/>
    </xf>
    <xf numFmtId="0" fontId="3" fillId="0" borderId="0" xfId="2">
      <alignment vertical="center"/>
    </xf>
    <xf numFmtId="9" fontId="0" fillId="2" borderId="0" xfId="1" applyFont="1" applyFill="1">
      <alignment vertical="center"/>
    </xf>
    <xf numFmtId="0" fontId="4" fillId="0" borderId="0" xfId="0" applyFont="1">
      <alignment vertical="center"/>
    </xf>
    <xf numFmtId="41" fontId="0" fillId="0" borderId="0" xfId="3" applyFont="1">
      <alignment vertical="center"/>
    </xf>
    <xf numFmtId="3" fontId="0" fillId="2" borderId="0" xfId="3" applyNumberFormat="1" applyFont="1" applyFill="1" applyAlignment="1">
      <alignment horizontal="right" vertical="center"/>
    </xf>
  </cellXfs>
  <cellStyles count="4">
    <cellStyle name="백분율" xfId="1" builtinId="5"/>
    <cellStyle name="쉼표 [0]" xfId="3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mbs.biz/Exchange/IRS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CC063-8E65-4D13-9CBF-21F2FD362C8E}">
  <dimension ref="A1:X31"/>
  <sheetViews>
    <sheetView zoomScale="85" zoomScaleNormal="85" workbookViewId="0">
      <selection activeCell="L8" sqref="L8"/>
    </sheetView>
  </sheetViews>
  <sheetFormatPr defaultRowHeight="17" x14ac:dyDescent="0.45"/>
  <cols>
    <col min="4" max="4" width="13.33203125" bestFit="1" customWidth="1"/>
    <col min="5" max="5" width="16.58203125" bestFit="1" customWidth="1"/>
    <col min="6" max="7" width="13.33203125" bestFit="1" customWidth="1"/>
    <col min="8" max="8" width="14" bestFit="1" customWidth="1"/>
    <col min="9" max="9" width="14.25" bestFit="1" customWidth="1"/>
    <col min="11" max="11" width="14" bestFit="1" customWidth="1"/>
    <col min="12" max="12" width="14.25" bestFit="1" customWidth="1"/>
    <col min="14" max="14" width="14" bestFit="1" customWidth="1"/>
    <col min="15" max="15" width="12.5" customWidth="1"/>
    <col min="17" max="17" width="13.08203125" bestFit="1" customWidth="1"/>
    <col min="18" max="18" width="12.58203125" customWidth="1"/>
    <col min="20" max="20" width="13.08203125" bestFit="1" customWidth="1"/>
    <col min="21" max="21" width="13.83203125" customWidth="1"/>
    <col min="23" max="23" width="10.5" customWidth="1"/>
  </cols>
  <sheetData>
    <row r="1" spans="1:23" x14ac:dyDescent="0.45">
      <c r="A1" t="s">
        <v>0</v>
      </c>
      <c r="C1" s="4" t="s">
        <v>32</v>
      </c>
      <c r="G1" t="s">
        <v>1</v>
      </c>
    </row>
    <row r="2" spans="1:23" x14ac:dyDescent="0.45">
      <c r="A2">
        <v>0.25</v>
      </c>
      <c r="B2" s="3"/>
      <c r="D2" s="6" t="s">
        <v>34</v>
      </c>
    </row>
    <row r="3" spans="1:23" x14ac:dyDescent="0.45">
      <c r="A3">
        <v>1</v>
      </c>
      <c r="B3" s="3"/>
      <c r="D3" t="s">
        <v>35</v>
      </c>
    </row>
    <row r="4" spans="1:23" x14ac:dyDescent="0.45">
      <c r="A4">
        <v>2</v>
      </c>
      <c r="B4" s="3"/>
      <c r="T4" t="s">
        <v>26</v>
      </c>
    </row>
    <row r="5" spans="1:23" x14ac:dyDescent="0.45">
      <c r="A5">
        <v>3</v>
      </c>
      <c r="B5" s="3"/>
      <c r="D5" s="6" t="s">
        <v>41</v>
      </c>
    </row>
    <row r="6" spans="1:23" x14ac:dyDescent="0.45">
      <c r="A6">
        <v>4</v>
      </c>
      <c r="B6" s="3"/>
      <c r="D6" s="6" t="s">
        <v>39</v>
      </c>
    </row>
    <row r="7" spans="1:23" x14ac:dyDescent="0.45">
      <c r="A7">
        <v>5</v>
      </c>
      <c r="B7" s="3"/>
      <c r="D7" t="s">
        <v>27</v>
      </c>
      <c r="E7" s="7">
        <v>10000000000</v>
      </c>
    </row>
    <row r="8" spans="1:23" x14ac:dyDescent="0.45">
      <c r="A8">
        <v>7</v>
      </c>
      <c r="B8" s="3"/>
      <c r="D8" t="s">
        <v>33</v>
      </c>
      <c r="E8" s="8"/>
      <c r="F8" t="s">
        <v>36</v>
      </c>
    </row>
    <row r="9" spans="1:23" x14ac:dyDescent="0.45">
      <c r="A9">
        <v>10</v>
      </c>
      <c r="B9" s="3"/>
    </row>
    <row r="13" spans="1:23" x14ac:dyDescent="0.45">
      <c r="B13" s="2" t="s">
        <v>31</v>
      </c>
      <c r="C13">
        <v>0.01</v>
      </c>
      <c r="D13" s="6" t="s">
        <v>42</v>
      </c>
    </row>
    <row r="14" spans="1:23" x14ac:dyDescent="0.45">
      <c r="A14" t="s">
        <v>38</v>
      </c>
      <c r="D14" t="s">
        <v>19</v>
      </c>
      <c r="G14" t="s">
        <v>20</v>
      </c>
      <c r="J14" t="s">
        <v>21</v>
      </c>
      <c r="M14" t="s">
        <v>22</v>
      </c>
      <c r="P14" t="s">
        <v>23</v>
      </c>
      <c r="S14" t="s">
        <v>24</v>
      </c>
      <c r="V14" t="s">
        <v>25</v>
      </c>
    </row>
    <row r="15" spans="1:23" x14ac:dyDescent="0.45">
      <c r="A15">
        <v>0.25</v>
      </c>
      <c r="B15" s="3"/>
      <c r="D15">
        <v>0.25</v>
      </c>
      <c r="E15" s="3"/>
      <c r="G15">
        <v>0.25</v>
      </c>
      <c r="H15" s="3"/>
      <c r="J15">
        <v>0.25</v>
      </c>
      <c r="K15" s="3"/>
      <c r="M15">
        <v>0.25</v>
      </c>
      <c r="N15" s="3"/>
      <c r="P15">
        <v>0.25</v>
      </c>
      <c r="Q15" s="3"/>
      <c r="S15">
        <v>0.25</v>
      </c>
      <c r="T15" s="3"/>
      <c r="V15">
        <v>0.25</v>
      </c>
      <c r="W15" s="3"/>
    </row>
    <row r="16" spans="1:23" x14ac:dyDescent="0.45">
      <c r="A16">
        <v>1</v>
      </c>
      <c r="B16" s="3"/>
      <c r="D16">
        <v>1</v>
      </c>
      <c r="E16" s="3"/>
      <c r="F16" t="s">
        <v>37</v>
      </c>
      <c r="G16">
        <v>1</v>
      </c>
      <c r="H16" s="3"/>
      <c r="J16">
        <v>1</v>
      </c>
      <c r="K16" s="3"/>
      <c r="M16">
        <v>1</v>
      </c>
      <c r="N16" s="3"/>
      <c r="P16">
        <v>1</v>
      </c>
      <c r="Q16" s="3"/>
      <c r="S16">
        <v>1</v>
      </c>
      <c r="T16" s="3"/>
      <c r="V16">
        <v>1</v>
      </c>
      <c r="W16" s="3"/>
    </row>
    <row r="17" spans="1:24" x14ac:dyDescent="0.45">
      <c r="A17">
        <v>2</v>
      </c>
      <c r="B17" s="3"/>
      <c r="D17">
        <v>2</v>
      </c>
      <c r="E17" s="3"/>
      <c r="G17">
        <v>2</v>
      </c>
      <c r="H17" s="3"/>
      <c r="I17" t="s">
        <v>37</v>
      </c>
      <c r="J17">
        <v>2</v>
      </c>
      <c r="K17" s="3"/>
      <c r="M17">
        <v>2</v>
      </c>
      <c r="N17" s="3"/>
      <c r="P17">
        <v>2</v>
      </c>
      <c r="Q17" s="3"/>
      <c r="S17">
        <v>2</v>
      </c>
      <c r="T17" s="3"/>
      <c r="V17">
        <v>2</v>
      </c>
      <c r="W17" s="3"/>
    </row>
    <row r="18" spans="1:24" x14ac:dyDescent="0.45">
      <c r="A18">
        <v>3</v>
      </c>
      <c r="B18" s="3"/>
      <c r="D18">
        <v>3</v>
      </c>
      <c r="E18" s="3"/>
      <c r="G18">
        <v>3</v>
      </c>
      <c r="H18" s="3"/>
      <c r="J18">
        <v>3</v>
      </c>
      <c r="K18" s="3"/>
      <c r="L18" t="s">
        <v>37</v>
      </c>
      <c r="M18">
        <v>3</v>
      </c>
      <c r="N18" s="3"/>
      <c r="P18">
        <v>3</v>
      </c>
      <c r="Q18" s="3"/>
      <c r="S18">
        <v>3</v>
      </c>
      <c r="T18" s="3"/>
      <c r="V18">
        <v>3</v>
      </c>
      <c r="W18" s="3"/>
    </row>
    <row r="19" spans="1:24" x14ac:dyDescent="0.45">
      <c r="A19">
        <v>4</v>
      </c>
      <c r="B19" s="3"/>
      <c r="D19">
        <v>4</v>
      </c>
      <c r="E19" s="3"/>
      <c r="G19">
        <v>4</v>
      </c>
      <c r="H19" s="3"/>
      <c r="J19">
        <v>4</v>
      </c>
      <c r="K19" s="3"/>
      <c r="M19">
        <v>4</v>
      </c>
      <c r="N19" s="3"/>
      <c r="O19" t="s">
        <v>37</v>
      </c>
      <c r="P19">
        <v>4</v>
      </c>
      <c r="Q19" s="3"/>
      <c r="S19">
        <v>4</v>
      </c>
      <c r="T19" s="3"/>
      <c r="V19">
        <v>4</v>
      </c>
      <c r="W19" s="3"/>
    </row>
    <row r="20" spans="1:24" x14ac:dyDescent="0.45">
      <c r="A20">
        <v>5</v>
      </c>
      <c r="B20" s="3"/>
      <c r="D20">
        <v>5</v>
      </c>
      <c r="E20" s="3"/>
      <c r="G20">
        <v>5</v>
      </c>
      <c r="H20" s="3"/>
      <c r="J20">
        <v>5</v>
      </c>
      <c r="K20" s="3"/>
      <c r="M20">
        <v>5</v>
      </c>
      <c r="N20" s="3"/>
      <c r="P20">
        <v>5</v>
      </c>
      <c r="Q20" s="3"/>
      <c r="R20" t="s">
        <v>37</v>
      </c>
      <c r="S20">
        <v>5</v>
      </c>
      <c r="T20" s="3"/>
      <c r="V20">
        <v>5</v>
      </c>
      <c r="W20" s="3"/>
    </row>
    <row r="21" spans="1:24" x14ac:dyDescent="0.45">
      <c r="A21">
        <v>7</v>
      </c>
      <c r="B21" s="3"/>
      <c r="D21">
        <v>7</v>
      </c>
      <c r="E21" s="3"/>
      <c r="G21">
        <v>7</v>
      </c>
      <c r="H21" s="3"/>
      <c r="J21">
        <v>7</v>
      </c>
      <c r="K21" s="3"/>
      <c r="M21">
        <v>7</v>
      </c>
      <c r="N21" s="3"/>
      <c r="P21">
        <v>7</v>
      </c>
      <c r="Q21" s="3"/>
      <c r="S21">
        <v>7</v>
      </c>
      <c r="T21" s="3"/>
      <c r="U21" t="s">
        <v>37</v>
      </c>
      <c r="V21">
        <v>7</v>
      </c>
      <c r="W21" s="3"/>
    </row>
    <row r="22" spans="1:24" x14ac:dyDescent="0.45">
      <c r="A22">
        <v>10</v>
      </c>
      <c r="B22" s="3"/>
      <c r="D22">
        <v>10</v>
      </c>
      <c r="E22" s="3"/>
      <c r="G22">
        <v>10</v>
      </c>
      <c r="H22" s="3"/>
      <c r="J22">
        <v>10</v>
      </c>
      <c r="K22" s="3"/>
      <c r="M22">
        <v>10</v>
      </c>
      <c r="N22" s="3"/>
      <c r="P22">
        <v>10</v>
      </c>
      <c r="Q22" s="3"/>
      <c r="S22">
        <v>10</v>
      </c>
      <c r="T22" s="3"/>
      <c r="V22">
        <v>10</v>
      </c>
      <c r="W22" s="3"/>
      <c r="X22" t="s">
        <v>37</v>
      </c>
    </row>
    <row r="24" spans="1:24" x14ac:dyDescent="0.45">
      <c r="A24" s="6" t="s">
        <v>43</v>
      </c>
    </row>
    <row r="25" spans="1:24" x14ac:dyDescent="0.45">
      <c r="A25" s="6" t="s">
        <v>44</v>
      </c>
    </row>
    <row r="26" spans="1:24" x14ac:dyDescent="0.45">
      <c r="A26" s="6" t="s">
        <v>45</v>
      </c>
    </row>
    <row r="27" spans="1:24" x14ac:dyDescent="0.45">
      <c r="A27" t="s">
        <v>28</v>
      </c>
      <c r="C27" s="3"/>
    </row>
    <row r="28" spans="1:24" x14ac:dyDescent="0.45">
      <c r="A28" t="s">
        <v>17</v>
      </c>
      <c r="B28" s="3"/>
      <c r="E28" s="3"/>
      <c r="H28" s="3"/>
      <c r="K28" s="3"/>
      <c r="N28" s="3"/>
      <c r="Q28" s="3"/>
      <c r="T28" s="3"/>
      <c r="W28" s="3"/>
    </row>
    <row r="29" spans="1:24" x14ac:dyDescent="0.45">
      <c r="A29" t="s">
        <v>18</v>
      </c>
      <c r="B29" s="3"/>
      <c r="E29" s="5"/>
      <c r="F29" s="1"/>
      <c r="G29" s="1"/>
      <c r="H29" s="5"/>
      <c r="I29" s="1"/>
      <c r="J29" s="1"/>
      <c r="K29" s="5"/>
      <c r="L29" s="1"/>
      <c r="M29" s="1"/>
      <c r="N29" s="5"/>
      <c r="O29" s="1"/>
      <c r="P29" s="1"/>
      <c r="Q29" s="5"/>
      <c r="R29" s="1"/>
      <c r="S29" s="1"/>
      <c r="T29" s="5"/>
      <c r="U29" s="1"/>
      <c r="V29" s="1"/>
      <c r="W29" s="5"/>
    </row>
    <row r="31" spans="1:24" x14ac:dyDescent="0.45">
      <c r="A31" s="6"/>
    </row>
  </sheetData>
  <phoneticPr fontId="2" type="noConversion"/>
  <hyperlinks>
    <hyperlink ref="C1" r:id="rId1" xr:uid="{9FC0976F-F280-4332-B478-2539C6E2DC7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E95F-3AF6-47F3-8779-09E24CF88EAA}">
  <dimension ref="A1:O44"/>
  <sheetViews>
    <sheetView workbookViewId="0">
      <selection activeCell="M18" sqref="M18"/>
    </sheetView>
  </sheetViews>
  <sheetFormatPr defaultRowHeight="17" x14ac:dyDescent="0.45"/>
  <cols>
    <col min="4" max="4" width="9.5" customWidth="1"/>
    <col min="7" max="7" width="10.25" bestFit="1" customWidth="1"/>
    <col min="8" max="8" width="13.5" bestFit="1" customWidth="1"/>
    <col min="10" max="10" width="11.83203125" customWidth="1"/>
    <col min="11" max="11" width="11.5" bestFit="1" customWidth="1"/>
    <col min="13" max="13" width="12.33203125" bestFit="1" customWidth="1"/>
  </cols>
  <sheetData>
    <row r="1" spans="1:15" x14ac:dyDescent="0.45">
      <c r="A1" t="s">
        <v>2</v>
      </c>
      <c r="I1" t="s">
        <v>15</v>
      </c>
      <c r="J1">
        <f>Sheet1!B9/100</f>
        <v>0</v>
      </c>
      <c r="M1" t="s">
        <v>29</v>
      </c>
      <c r="N1" s="3"/>
    </row>
    <row r="2" spans="1:15" x14ac:dyDescent="0.45">
      <c r="A2" t="s">
        <v>3</v>
      </c>
      <c r="B2" t="s">
        <v>7</v>
      </c>
      <c r="C2" t="s">
        <v>8</v>
      </c>
      <c r="D2" t="s">
        <v>10</v>
      </c>
      <c r="E2" t="s">
        <v>9</v>
      </c>
      <c r="F2" t="s">
        <v>6</v>
      </c>
      <c r="G2" t="s">
        <v>11</v>
      </c>
      <c r="H2" t="s">
        <v>12</v>
      </c>
      <c r="J2" t="s">
        <v>13</v>
      </c>
      <c r="K2" t="s">
        <v>14</v>
      </c>
      <c r="N2" t="s">
        <v>13</v>
      </c>
      <c r="O2" t="s">
        <v>14</v>
      </c>
    </row>
    <row r="3" spans="1:15" x14ac:dyDescent="0.45">
      <c r="A3" cm="1">
        <f t="array" ref="A3:A42">_xlfn.SEQUENCE(40,,0.25,0.25)</f>
        <v>0.25</v>
      </c>
      <c r="B3" s="3"/>
      <c r="C3" s="3"/>
      <c r="G3">
        <f>-C3/A3</f>
        <v>0</v>
      </c>
      <c r="H3" t="e">
        <f>(1/B3-1)/0.25</f>
        <v>#DIV/0!</v>
      </c>
      <c r="J3">
        <f>$J$1*0.25*B3</f>
        <v>0</v>
      </c>
      <c r="K3" t="e">
        <f>H3*0.25*B3</f>
        <v>#DIV/0!</v>
      </c>
      <c r="N3" s="3"/>
      <c r="O3" s="3"/>
    </row>
    <row r="4" spans="1:15" x14ac:dyDescent="0.45">
      <c r="A4">
        <v>0.5</v>
      </c>
      <c r="B4" s="3"/>
      <c r="C4" s="3"/>
      <c r="G4">
        <f t="shared" ref="G4:G42" si="0">-C4/A4</f>
        <v>0</v>
      </c>
      <c r="H4" t="e">
        <f>(B3/B4-1)/0.25</f>
        <v>#DIV/0!</v>
      </c>
      <c r="J4">
        <f t="shared" ref="J4:J42" si="1">$J$1*0.25*B4</f>
        <v>0</v>
      </c>
      <c r="K4" t="e">
        <f t="shared" ref="K4:K42" si="2">H4*0.25*B4</f>
        <v>#DIV/0!</v>
      </c>
      <c r="N4" s="3"/>
      <c r="O4" s="3"/>
    </row>
    <row r="5" spans="1:15" x14ac:dyDescent="0.45">
      <c r="A5">
        <v>0.75</v>
      </c>
      <c r="B5" s="3"/>
      <c r="C5" s="3"/>
      <c r="G5">
        <f t="shared" si="0"/>
        <v>0</v>
      </c>
      <c r="H5" t="e">
        <f t="shared" ref="H5:H42" si="3">(B4/B5-1)/0.25</f>
        <v>#DIV/0!</v>
      </c>
      <c r="J5">
        <f t="shared" si="1"/>
        <v>0</v>
      </c>
      <c r="K5" t="e">
        <f t="shared" si="2"/>
        <v>#DIV/0!</v>
      </c>
      <c r="N5" s="3"/>
      <c r="O5" s="3"/>
    </row>
    <row r="6" spans="1:15" x14ac:dyDescent="0.45">
      <c r="A6">
        <v>1</v>
      </c>
      <c r="B6" s="3"/>
      <c r="C6" s="3"/>
      <c r="D6" t="e">
        <f>(1-B6)/(SUM($B$3:B6) *0.25)</f>
        <v>#DIV/0!</v>
      </c>
      <c r="E6">
        <f>VLOOKUP(A6,Sheet1!$A$2:$B$12,2)/100</f>
        <v>0</v>
      </c>
      <c r="F6" t="e">
        <f>D6-E6</f>
        <v>#DIV/0!</v>
      </c>
      <c r="G6">
        <f t="shared" si="0"/>
        <v>0</v>
      </c>
      <c r="H6" t="e">
        <f t="shared" si="3"/>
        <v>#DIV/0!</v>
      </c>
      <c r="J6">
        <f t="shared" si="1"/>
        <v>0</v>
      </c>
      <c r="K6" t="e">
        <f t="shared" si="2"/>
        <v>#DIV/0!</v>
      </c>
      <c r="N6" s="3"/>
      <c r="O6" s="3"/>
    </row>
    <row r="7" spans="1:15" x14ac:dyDescent="0.45">
      <c r="A7">
        <v>1.25</v>
      </c>
      <c r="B7" s="3"/>
      <c r="C7" s="3"/>
      <c r="G7">
        <f t="shared" si="0"/>
        <v>0</v>
      </c>
      <c r="H7" t="e">
        <f t="shared" si="3"/>
        <v>#DIV/0!</v>
      </c>
      <c r="J7">
        <f t="shared" si="1"/>
        <v>0</v>
      </c>
      <c r="K7" t="e">
        <f t="shared" si="2"/>
        <v>#DIV/0!</v>
      </c>
      <c r="N7" s="3"/>
      <c r="O7" s="3"/>
    </row>
    <row r="8" spans="1:15" x14ac:dyDescent="0.45">
      <c r="A8">
        <v>1.5</v>
      </c>
      <c r="B8" s="3"/>
      <c r="C8" s="3"/>
      <c r="G8">
        <f t="shared" si="0"/>
        <v>0</v>
      </c>
      <c r="H8" t="e">
        <f t="shared" si="3"/>
        <v>#DIV/0!</v>
      </c>
      <c r="J8">
        <f t="shared" si="1"/>
        <v>0</v>
      </c>
      <c r="K8" t="e">
        <f t="shared" si="2"/>
        <v>#DIV/0!</v>
      </c>
      <c r="N8" s="3"/>
      <c r="O8" s="3"/>
    </row>
    <row r="9" spans="1:15" x14ac:dyDescent="0.45">
      <c r="A9">
        <v>1.75</v>
      </c>
      <c r="B9" s="3"/>
      <c r="C9" s="3"/>
      <c r="G9">
        <f t="shared" si="0"/>
        <v>0</v>
      </c>
      <c r="H9" t="e">
        <f t="shared" si="3"/>
        <v>#DIV/0!</v>
      </c>
      <c r="J9">
        <f t="shared" si="1"/>
        <v>0</v>
      </c>
      <c r="K9" t="e">
        <f t="shared" si="2"/>
        <v>#DIV/0!</v>
      </c>
      <c r="N9" s="3"/>
      <c r="O9" s="3"/>
    </row>
    <row r="10" spans="1:15" x14ac:dyDescent="0.45">
      <c r="A10">
        <v>2</v>
      </c>
      <c r="B10" s="3"/>
      <c r="C10" s="3"/>
      <c r="D10" t="e">
        <f>(1-B10)/(SUM($B$3:B10) *0.25)</f>
        <v>#DIV/0!</v>
      </c>
      <c r="E10">
        <f>VLOOKUP(A10,Sheet1!$A$2:$B$12,2)/100</f>
        <v>0</v>
      </c>
      <c r="F10" t="e">
        <f>D10-E10</f>
        <v>#DIV/0!</v>
      </c>
      <c r="G10">
        <f t="shared" si="0"/>
        <v>0</v>
      </c>
      <c r="H10" t="e">
        <f t="shared" si="3"/>
        <v>#DIV/0!</v>
      </c>
      <c r="J10">
        <f t="shared" si="1"/>
        <v>0</v>
      </c>
      <c r="K10" t="e">
        <f t="shared" si="2"/>
        <v>#DIV/0!</v>
      </c>
      <c r="N10" s="3"/>
      <c r="O10" s="3"/>
    </row>
    <row r="11" spans="1:15" x14ac:dyDescent="0.45">
      <c r="A11">
        <v>2.25</v>
      </c>
      <c r="B11" s="3"/>
      <c r="C11" s="3"/>
      <c r="G11">
        <f t="shared" si="0"/>
        <v>0</v>
      </c>
      <c r="H11" t="e">
        <f t="shared" si="3"/>
        <v>#DIV/0!</v>
      </c>
      <c r="J11">
        <f t="shared" si="1"/>
        <v>0</v>
      </c>
      <c r="K11" t="e">
        <f t="shared" si="2"/>
        <v>#DIV/0!</v>
      </c>
      <c r="N11" s="3"/>
      <c r="O11" s="3"/>
    </row>
    <row r="12" spans="1:15" x14ac:dyDescent="0.45">
      <c r="A12">
        <v>2.5</v>
      </c>
      <c r="B12" s="3"/>
      <c r="C12" s="3"/>
      <c r="G12">
        <f t="shared" si="0"/>
        <v>0</v>
      </c>
      <c r="H12" t="e">
        <f t="shared" si="3"/>
        <v>#DIV/0!</v>
      </c>
      <c r="J12">
        <f t="shared" si="1"/>
        <v>0</v>
      </c>
      <c r="K12" t="e">
        <f t="shared" si="2"/>
        <v>#DIV/0!</v>
      </c>
      <c r="N12" s="3"/>
      <c r="O12" s="3"/>
    </row>
    <row r="13" spans="1:15" x14ac:dyDescent="0.45">
      <c r="A13">
        <v>2.75</v>
      </c>
      <c r="B13" s="3"/>
      <c r="C13" s="3"/>
      <c r="G13">
        <f t="shared" si="0"/>
        <v>0</v>
      </c>
      <c r="H13" t="e">
        <f t="shared" si="3"/>
        <v>#DIV/0!</v>
      </c>
      <c r="J13">
        <f t="shared" si="1"/>
        <v>0</v>
      </c>
      <c r="K13" t="e">
        <f t="shared" si="2"/>
        <v>#DIV/0!</v>
      </c>
      <c r="N13" s="3"/>
      <c r="O13" s="3"/>
    </row>
    <row r="14" spans="1:15" x14ac:dyDescent="0.45">
      <c r="A14">
        <v>3</v>
      </c>
      <c r="B14" s="3"/>
      <c r="C14" s="3"/>
      <c r="D14" t="e">
        <f>(1-B14)/(SUM($B$3:B14) *0.25)</f>
        <v>#DIV/0!</v>
      </c>
      <c r="E14">
        <f>VLOOKUP(A14,Sheet1!$A$2:$B$12,2)/100</f>
        <v>0</v>
      </c>
      <c r="F14" t="e">
        <f>D14-E14</f>
        <v>#DIV/0!</v>
      </c>
      <c r="G14">
        <f t="shared" si="0"/>
        <v>0</v>
      </c>
      <c r="H14" t="e">
        <f t="shared" si="3"/>
        <v>#DIV/0!</v>
      </c>
      <c r="J14">
        <f t="shared" si="1"/>
        <v>0</v>
      </c>
      <c r="K14" t="e">
        <f t="shared" si="2"/>
        <v>#DIV/0!</v>
      </c>
      <c r="N14" s="3"/>
      <c r="O14" s="3"/>
    </row>
    <row r="15" spans="1:15" x14ac:dyDescent="0.45">
      <c r="A15">
        <v>3.25</v>
      </c>
      <c r="B15" s="3"/>
      <c r="C15" s="3"/>
      <c r="G15">
        <f t="shared" si="0"/>
        <v>0</v>
      </c>
      <c r="H15" t="e">
        <f t="shared" si="3"/>
        <v>#DIV/0!</v>
      </c>
      <c r="J15">
        <f t="shared" si="1"/>
        <v>0</v>
      </c>
      <c r="K15" t="e">
        <f t="shared" si="2"/>
        <v>#DIV/0!</v>
      </c>
      <c r="N15" s="3"/>
      <c r="O15" s="3"/>
    </row>
    <row r="16" spans="1:15" x14ac:dyDescent="0.45">
      <c r="A16">
        <v>3.5</v>
      </c>
      <c r="B16" s="3"/>
      <c r="C16" s="3"/>
      <c r="G16">
        <f t="shared" si="0"/>
        <v>0</v>
      </c>
      <c r="H16" t="e">
        <f t="shared" si="3"/>
        <v>#DIV/0!</v>
      </c>
      <c r="J16">
        <f t="shared" si="1"/>
        <v>0</v>
      </c>
      <c r="K16" t="e">
        <f t="shared" si="2"/>
        <v>#DIV/0!</v>
      </c>
      <c r="N16" s="3"/>
      <c r="O16" s="3"/>
    </row>
    <row r="17" spans="1:15" x14ac:dyDescent="0.45">
      <c r="A17">
        <v>3.75</v>
      </c>
      <c r="B17" s="3"/>
      <c r="C17" s="3"/>
      <c r="G17">
        <f t="shared" si="0"/>
        <v>0</v>
      </c>
      <c r="H17" t="e">
        <f t="shared" si="3"/>
        <v>#DIV/0!</v>
      </c>
      <c r="J17">
        <f t="shared" si="1"/>
        <v>0</v>
      </c>
      <c r="K17" t="e">
        <f t="shared" si="2"/>
        <v>#DIV/0!</v>
      </c>
      <c r="N17" s="3"/>
      <c r="O17" s="3"/>
    </row>
    <row r="18" spans="1:15" x14ac:dyDescent="0.45">
      <c r="A18">
        <v>4</v>
      </c>
      <c r="B18" s="3"/>
      <c r="C18" s="3"/>
      <c r="D18" t="e">
        <f>(1-B18)/(SUM($B$3:B18) *0.25)</f>
        <v>#DIV/0!</v>
      </c>
      <c r="E18">
        <f>VLOOKUP(A18,Sheet1!$A$2:$B$12,2)/100</f>
        <v>0</v>
      </c>
      <c r="F18" t="e">
        <f>D18-E18</f>
        <v>#DIV/0!</v>
      </c>
      <c r="G18">
        <f t="shared" si="0"/>
        <v>0</v>
      </c>
      <c r="H18" t="e">
        <f t="shared" si="3"/>
        <v>#DIV/0!</v>
      </c>
      <c r="J18">
        <f t="shared" si="1"/>
        <v>0</v>
      </c>
      <c r="K18" t="e">
        <f t="shared" si="2"/>
        <v>#DIV/0!</v>
      </c>
      <c r="N18" s="3"/>
      <c r="O18" s="3"/>
    </row>
    <row r="19" spans="1:15" x14ac:dyDescent="0.45">
      <c r="A19">
        <v>4.25</v>
      </c>
      <c r="B19" s="3"/>
      <c r="C19" s="3"/>
      <c r="G19">
        <f t="shared" si="0"/>
        <v>0</v>
      </c>
      <c r="H19" t="e">
        <f t="shared" si="3"/>
        <v>#DIV/0!</v>
      </c>
      <c r="J19">
        <f t="shared" si="1"/>
        <v>0</v>
      </c>
      <c r="K19" t="e">
        <f t="shared" si="2"/>
        <v>#DIV/0!</v>
      </c>
      <c r="N19" s="3"/>
      <c r="O19" s="3"/>
    </row>
    <row r="20" spans="1:15" x14ac:dyDescent="0.45">
      <c r="A20">
        <v>4.5</v>
      </c>
      <c r="B20" s="3"/>
      <c r="C20" s="3"/>
      <c r="G20">
        <f t="shared" si="0"/>
        <v>0</v>
      </c>
      <c r="H20" t="e">
        <f t="shared" si="3"/>
        <v>#DIV/0!</v>
      </c>
      <c r="J20">
        <f t="shared" si="1"/>
        <v>0</v>
      </c>
      <c r="K20" t="e">
        <f t="shared" si="2"/>
        <v>#DIV/0!</v>
      </c>
      <c r="N20" s="3"/>
      <c r="O20" s="3"/>
    </row>
    <row r="21" spans="1:15" x14ac:dyDescent="0.45">
      <c r="A21">
        <v>4.75</v>
      </c>
      <c r="B21" s="3"/>
      <c r="C21" s="3"/>
      <c r="G21">
        <f t="shared" si="0"/>
        <v>0</v>
      </c>
      <c r="H21" t="e">
        <f t="shared" si="3"/>
        <v>#DIV/0!</v>
      </c>
      <c r="J21">
        <f t="shared" si="1"/>
        <v>0</v>
      </c>
      <c r="K21" t="e">
        <f t="shared" si="2"/>
        <v>#DIV/0!</v>
      </c>
      <c r="N21" s="3"/>
      <c r="O21" s="3"/>
    </row>
    <row r="22" spans="1:15" x14ac:dyDescent="0.45">
      <c r="A22">
        <v>5</v>
      </c>
      <c r="B22" s="3"/>
      <c r="C22" s="3"/>
      <c r="D22" t="e">
        <f>(1-B22)/(SUM($B$3:B22) *0.25)</f>
        <v>#DIV/0!</v>
      </c>
      <c r="E22">
        <f>VLOOKUP(A22,Sheet1!$A$2:$B$12,2)/100</f>
        <v>0</v>
      </c>
      <c r="F22" t="e">
        <f>D22-E22</f>
        <v>#DIV/0!</v>
      </c>
      <c r="G22">
        <f t="shared" si="0"/>
        <v>0</v>
      </c>
      <c r="H22" t="e">
        <f t="shared" si="3"/>
        <v>#DIV/0!</v>
      </c>
      <c r="J22">
        <f t="shared" si="1"/>
        <v>0</v>
      </c>
      <c r="K22" t="e">
        <f t="shared" si="2"/>
        <v>#DIV/0!</v>
      </c>
      <c r="N22" s="3"/>
      <c r="O22" s="3"/>
    </row>
    <row r="23" spans="1:15" x14ac:dyDescent="0.45">
      <c r="A23">
        <v>5.25</v>
      </c>
      <c r="B23" s="3"/>
      <c r="C23" s="3"/>
      <c r="G23">
        <f t="shared" si="0"/>
        <v>0</v>
      </c>
      <c r="H23" t="e">
        <f t="shared" si="3"/>
        <v>#DIV/0!</v>
      </c>
      <c r="J23">
        <f t="shared" si="1"/>
        <v>0</v>
      </c>
      <c r="K23" t="e">
        <f t="shared" si="2"/>
        <v>#DIV/0!</v>
      </c>
      <c r="N23" s="3"/>
      <c r="O23" s="3"/>
    </row>
    <row r="24" spans="1:15" x14ac:dyDescent="0.45">
      <c r="A24">
        <v>5.5</v>
      </c>
      <c r="B24" s="3"/>
      <c r="C24" s="3"/>
      <c r="G24">
        <f t="shared" si="0"/>
        <v>0</v>
      </c>
      <c r="H24" t="e">
        <f t="shared" si="3"/>
        <v>#DIV/0!</v>
      </c>
      <c r="J24">
        <f t="shared" si="1"/>
        <v>0</v>
      </c>
      <c r="K24" t="e">
        <f t="shared" si="2"/>
        <v>#DIV/0!</v>
      </c>
      <c r="N24" s="3"/>
      <c r="O24" s="3"/>
    </row>
    <row r="25" spans="1:15" x14ac:dyDescent="0.45">
      <c r="A25">
        <v>5.75</v>
      </c>
      <c r="B25" s="3"/>
      <c r="C25" s="3"/>
      <c r="G25">
        <f t="shared" si="0"/>
        <v>0</v>
      </c>
      <c r="H25" t="e">
        <f t="shared" si="3"/>
        <v>#DIV/0!</v>
      </c>
      <c r="J25">
        <f t="shared" si="1"/>
        <v>0</v>
      </c>
      <c r="K25" t="e">
        <f t="shared" si="2"/>
        <v>#DIV/0!</v>
      </c>
      <c r="N25" s="3"/>
      <c r="O25" s="3"/>
    </row>
    <row r="26" spans="1:15" x14ac:dyDescent="0.45">
      <c r="A26">
        <v>6</v>
      </c>
      <c r="B26" s="3"/>
      <c r="C26" s="3"/>
      <c r="G26">
        <f t="shared" si="0"/>
        <v>0</v>
      </c>
      <c r="H26" t="e">
        <f t="shared" si="3"/>
        <v>#DIV/0!</v>
      </c>
      <c r="J26">
        <f t="shared" si="1"/>
        <v>0</v>
      </c>
      <c r="K26" t="e">
        <f t="shared" si="2"/>
        <v>#DIV/0!</v>
      </c>
      <c r="N26" s="3"/>
      <c r="O26" s="3"/>
    </row>
    <row r="27" spans="1:15" x14ac:dyDescent="0.45">
      <c r="A27">
        <v>6.25</v>
      </c>
      <c r="B27" s="3"/>
      <c r="C27" s="3"/>
      <c r="G27">
        <f t="shared" si="0"/>
        <v>0</v>
      </c>
      <c r="H27" t="e">
        <f t="shared" si="3"/>
        <v>#DIV/0!</v>
      </c>
      <c r="J27">
        <f t="shared" si="1"/>
        <v>0</v>
      </c>
      <c r="K27" t="e">
        <f t="shared" si="2"/>
        <v>#DIV/0!</v>
      </c>
      <c r="N27" s="3"/>
      <c r="O27" s="3"/>
    </row>
    <row r="28" spans="1:15" x14ac:dyDescent="0.45">
      <c r="A28">
        <v>6.5</v>
      </c>
      <c r="B28" s="3"/>
      <c r="C28" s="3"/>
      <c r="G28">
        <f t="shared" si="0"/>
        <v>0</v>
      </c>
      <c r="H28" t="e">
        <f t="shared" si="3"/>
        <v>#DIV/0!</v>
      </c>
      <c r="J28">
        <f t="shared" si="1"/>
        <v>0</v>
      </c>
      <c r="K28" t="e">
        <f t="shared" si="2"/>
        <v>#DIV/0!</v>
      </c>
      <c r="N28" s="3"/>
      <c r="O28" s="3"/>
    </row>
    <row r="29" spans="1:15" x14ac:dyDescent="0.45">
      <c r="A29">
        <v>6.75</v>
      </c>
      <c r="B29" s="3"/>
      <c r="C29" s="3"/>
      <c r="G29">
        <f t="shared" si="0"/>
        <v>0</v>
      </c>
      <c r="H29" t="e">
        <f t="shared" si="3"/>
        <v>#DIV/0!</v>
      </c>
      <c r="J29">
        <f t="shared" si="1"/>
        <v>0</v>
      </c>
      <c r="K29" t="e">
        <f t="shared" si="2"/>
        <v>#DIV/0!</v>
      </c>
      <c r="N29" s="3"/>
      <c r="O29" s="3"/>
    </row>
    <row r="30" spans="1:15" x14ac:dyDescent="0.45">
      <c r="A30">
        <v>7</v>
      </c>
      <c r="B30" s="3"/>
      <c r="C30" s="3"/>
      <c r="D30" t="e">
        <f>(1-B30)/(SUM($B$3:B30) *0.25)</f>
        <v>#DIV/0!</v>
      </c>
      <c r="E30">
        <f>VLOOKUP(A30,Sheet1!$A$2:$B$12,2)/100</f>
        <v>0</v>
      </c>
      <c r="F30" t="e">
        <f>D30-E30</f>
        <v>#DIV/0!</v>
      </c>
      <c r="G30">
        <f t="shared" si="0"/>
        <v>0</v>
      </c>
      <c r="H30" t="e">
        <f t="shared" si="3"/>
        <v>#DIV/0!</v>
      </c>
      <c r="J30">
        <f t="shared" si="1"/>
        <v>0</v>
      </c>
      <c r="K30" t="e">
        <f t="shared" si="2"/>
        <v>#DIV/0!</v>
      </c>
      <c r="N30" s="3"/>
      <c r="O30" s="3"/>
    </row>
    <row r="31" spans="1:15" x14ac:dyDescent="0.45">
      <c r="A31">
        <v>7.25</v>
      </c>
      <c r="B31" s="3"/>
      <c r="C31" s="3"/>
      <c r="G31">
        <f t="shared" si="0"/>
        <v>0</v>
      </c>
      <c r="H31" t="e">
        <f t="shared" si="3"/>
        <v>#DIV/0!</v>
      </c>
      <c r="J31">
        <f t="shared" si="1"/>
        <v>0</v>
      </c>
      <c r="K31" t="e">
        <f t="shared" si="2"/>
        <v>#DIV/0!</v>
      </c>
      <c r="N31" s="3"/>
      <c r="O31" s="3"/>
    </row>
    <row r="32" spans="1:15" x14ac:dyDescent="0.45">
      <c r="A32">
        <v>7.5</v>
      </c>
      <c r="B32" s="3"/>
      <c r="C32" s="3"/>
      <c r="G32">
        <f t="shared" si="0"/>
        <v>0</v>
      </c>
      <c r="H32" t="e">
        <f t="shared" si="3"/>
        <v>#DIV/0!</v>
      </c>
      <c r="J32">
        <f t="shared" si="1"/>
        <v>0</v>
      </c>
      <c r="K32" t="e">
        <f t="shared" si="2"/>
        <v>#DIV/0!</v>
      </c>
      <c r="N32" s="3"/>
      <c r="O32" s="3"/>
    </row>
    <row r="33" spans="1:15" x14ac:dyDescent="0.45">
      <c r="A33">
        <v>7.75</v>
      </c>
      <c r="B33" s="3"/>
      <c r="C33" s="3"/>
      <c r="G33">
        <f t="shared" si="0"/>
        <v>0</v>
      </c>
      <c r="H33" t="e">
        <f t="shared" si="3"/>
        <v>#DIV/0!</v>
      </c>
      <c r="J33">
        <f t="shared" si="1"/>
        <v>0</v>
      </c>
      <c r="K33" t="e">
        <f t="shared" si="2"/>
        <v>#DIV/0!</v>
      </c>
      <c r="N33" s="3"/>
      <c r="O33" s="3"/>
    </row>
    <row r="34" spans="1:15" x14ac:dyDescent="0.45">
      <c r="A34">
        <v>8</v>
      </c>
      <c r="B34" s="3"/>
      <c r="C34" s="3"/>
      <c r="G34">
        <f t="shared" si="0"/>
        <v>0</v>
      </c>
      <c r="H34" t="e">
        <f t="shared" si="3"/>
        <v>#DIV/0!</v>
      </c>
      <c r="J34">
        <f t="shared" si="1"/>
        <v>0</v>
      </c>
      <c r="K34" t="e">
        <f t="shared" si="2"/>
        <v>#DIV/0!</v>
      </c>
      <c r="N34" s="3"/>
      <c r="O34" s="3"/>
    </row>
    <row r="35" spans="1:15" x14ac:dyDescent="0.45">
      <c r="A35">
        <v>8.25</v>
      </c>
      <c r="B35" s="3"/>
      <c r="C35" s="3"/>
      <c r="G35">
        <f t="shared" si="0"/>
        <v>0</v>
      </c>
      <c r="H35" t="e">
        <f t="shared" si="3"/>
        <v>#DIV/0!</v>
      </c>
      <c r="J35">
        <f t="shared" si="1"/>
        <v>0</v>
      </c>
      <c r="K35" t="e">
        <f t="shared" si="2"/>
        <v>#DIV/0!</v>
      </c>
      <c r="M35" t="s">
        <v>16</v>
      </c>
      <c r="N35" s="3"/>
      <c r="O35" s="3"/>
    </row>
    <row r="36" spans="1:15" x14ac:dyDescent="0.45">
      <c r="A36">
        <v>8.5</v>
      </c>
      <c r="B36" s="3"/>
      <c r="C36" s="3"/>
      <c r="G36">
        <f t="shared" si="0"/>
        <v>0</v>
      </c>
      <c r="H36" t="e">
        <f t="shared" si="3"/>
        <v>#DIV/0!</v>
      </c>
      <c r="J36">
        <f t="shared" si="1"/>
        <v>0</v>
      </c>
      <c r="K36" t="e">
        <f t="shared" si="2"/>
        <v>#DIV/0!</v>
      </c>
      <c r="N36">
        <f>N35-O35</f>
        <v>0</v>
      </c>
      <c r="O36" t="s">
        <v>30</v>
      </c>
    </row>
    <row r="37" spans="1:15" x14ac:dyDescent="0.45">
      <c r="A37">
        <v>8.75</v>
      </c>
      <c r="B37" s="3"/>
      <c r="C37" s="3"/>
      <c r="G37">
        <f t="shared" si="0"/>
        <v>0</v>
      </c>
      <c r="H37" t="e">
        <f t="shared" si="3"/>
        <v>#DIV/0!</v>
      </c>
      <c r="J37">
        <f t="shared" si="1"/>
        <v>0</v>
      </c>
      <c r="K37" t="e">
        <f t="shared" si="2"/>
        <v>#DIV/0!</v>
      </c>
    </row>
    <row r="38" spans="1:15" x14ac:dyDescent="0.45">
      <c r="A38">
        <v>9</v>
      </c>
      <c r="B38" s="3"/>
      <c r="C38" s="3"/>
      <c r="G38">
        <f t="shared" si="0"/>
        <v>0</v>
      </c>
      <c r="H38" t="e">
        <f t="shared" si="3"/>
        <v>#DIV/0!</v>
      </c>
      <c r="J38">
        <f t="shared" si="1"/>
        <v>0</v>
      </c>
      <c r="K38" t="e">
        <f t="shared" si="2"/>
        <v>#DIV/0!</v>
      </c>
    </row>
    <row r="39" spans="1:15" x14ac:dyDescent="0.45">
      <c r="A39">
        <v>9.25</v>
      </c>
      <c r="B39" s="3"/>
      <c r="C39" s="3"/>
      <c r="G39">
        <f t="shared" si="0"/>
        <v>0</v>
      </c>
      <c r="H39" t="e">
        <f t="shared" si="3"/>
        <v>#DIV/0!</v>
      </c>
      <c r="J39">
        <f t="shared" si="1"/>
        <v>0</v>
      </c>
      <c r="K39" t="e">
        <f t="shared" si="2"/>
        <v>#DIV/0!</v>
      </c>
    </row>
    <row r="40" spans="1:15" x14ac:dyDescent="0.45">
      <c r="A40">
        <v>9.5</v>
      </c>
      <c r="B40" s="3"/>
      <c r="C40" s="3"/>
      <c r="G40">
        <f t="shared" si="0"/>
        <v>0</v>
      </c>
      <c r="H40" t="e">
        <f t="shared" si="3"/>
        <v>#DIV/0!</v>
      </c>
      <c r="J40">
        <f t="shared" si="1"/>
        <v>0</v>
      </c>
      <c r="K40" t="e">
        <f t="shared" si="2"/>
        <v>#DIV/0!</v>
      </c>
    </row>
    <row r="41" spans="1:15" x14ac:dyDescent="0.45">
      <c r="A41">
        <v>9.75</v>
      </c>
      <c r="B41" s="3"/>
      <c r="C41" s="3"/>
      <c r="G41">
        <f t="shared" si="0"/>
        <v>0</v>
      </c>
      <c r="H41" t="e">
        <f t="shared" si="3"/>
        <v>#DIV/0!</v>
      </c>
      <c r="J41">
        <f t="shared" si="1"/>
        <v>0</v>
      </c>
      <c r="K41" t="e">
        <f t="shared" si="2"/>
        <v>#DIV/0!</v>
      </c>
    </row>
    <row r="42" spans="1:15" x14ac:dyDescent="0.45">
      <c r="A42">
        <v>10</v>
      </c>
      <c r="B42" s="3"/>
      <c r="C42" s="3"/>
      <c r="D42" t="e">
        <f>(1-B42)/(SUM($B$3:B42) *0.25)</f>
        <v>#DIV/0!</v>
      </c>
      <c r="E42">
        <f>VLOOKUP(A42,Sheet1!$A$2:$B$12,2)/100</f>
        <v>0</v>
      </c>
      <c r="F42" t="e">
        <f>D42-E42</f>
        <v>#DIV/0!</v>
      </c>
      <c r="G42">
        <f t="shared" si="0"/>
        <v>0</v>
      </c>
      <c r="H42" t="e">
        <f t="shared" si="3"/>
        <v>#DIV/0!</v>
      </c>
      <c r="J42">
        <f t="shared" si="1"/>
        <v>0</v>
      </c>
      <c r="K42" t="e">
        <f t="shared" si="2"/>
        <v>#DIV/0!</v>
      </c>
    </row>
    <row r="43" spans="1:15" x14ac:dyDescent="0.45">
      <c r="I43" t="s">
        <v>16</v>
      </c>
      <c r="J43">
        <f>SUM(J3:J42)</f>
        <v>0</v>
      </c>
      <c r="K43" t="e">
        <f>SUM(K3:K42)</f>
        <v>#DIV/0!</v>
      </c>
    </row>
    <row r="44" spans="1:15" x14ac:dyDescent="0.45">
      <c r="J44" t="s">
        <v>40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0F442-C9E2-4F83-8019-B825F62BABA9}">
  <dimension ref="A1:L42"/>
  <sheetViews>
    <sheetView tabSelected="1" workbookViewId="0">
      <selection activeCell="K16" sqref="K16"/>
    </sheetView>
  </sheetViews>
  <sheetFormatPr defaultRowHeight="17" x14ac:dyDescent="0.45"/>
  <cols>
    <col min="4" max="4" width="9.5" customWidth="1"/>
    <col min="7" max="7" width="10.25" bestFit="1" customWidth="1"/>
    <col min="8" max="8" width="13.5" bestFit="1" customWidth="1"/>
  </cols>
  <sheetData>
    <row r="1" spans="1:12" x14ac:dyDescent="0.45">
      <c r="A1" t="s">
        <v>2</v>
      </c>
      <c r="J1" t="s">
        <v>29</v>
      </c>
      <c r="K1">
        <f>Sheet1!C27</f>
        <v>0</v>
      </c>
    </row>
    <row r="2" spans="1:12" x14ac:dyDescent="0.45">
      <c r="A2" t="s">
        <v>3</v>
      </c>
      <c r="B2" t="s">
        <v>7</v>
      </c>
      <c r="C2" t="s">
        <v>8</v>
      </c>
      <c r="D2" t="s">
        <v>10</v>
      </c>
      <c r="E2" t="s">
        <v>9</v>
      </c>
      <c r="F2" t="s">
        <v>6</v>
      </c>
      <c r="G2" t="s">
        <v>11</v>
      </c>
      <c r="H2" t="s">
        <v>12</v>
      </c>
      <c r="K2" t="s">
        <v>4</v>
      </c>
      <c r="L2" t="s">
        <v>5</v>
      </c>
    </row>
    <row r="3" spans="1:12" x14ac:dyDescent="0.45">
      <c r="A3" cm="1">
        <f t="array" ref="A3:A42">_xlfn.SEQUENCE(40,,0.25,0.25)</f>
        <v>0.25</v>
      </c>
      <c r="G3">
        <f>-C3/A3</f>
        <v>0</v>
      </c>
      <c r="H3" t="e">
        <f>(1/B3-1)/0.25</f>
        <v>#DIV/0!</v>
      </c>
    </row>
    <row r="4" spans="1:12" x14ac:dyDescent="0.45">
      <c r="A4">
        <v>0.5</v>
      </c>
      <c r="G4">
        <f t="shared" ref="G4:G42" si="0">-C4/A4</f>
        <v>0</v>
      </c>
      <c r="H4" t="e">
        <f>(B3/B4-1)/0.25</f>
        <v>#DIV/0!</v>
      </c>
    </row>
    <row r="5" spans="1:12" x14ac:dyDescent="0.45">
      <c r="A5">
        <v>0.75</v>
      </c>
      <c r="G5">
        <f t="shared" si="0"/>
        <v>0</v>
      </c>
      <c r="H5" t="e">
        <f t="shared" ref="H5:H42" si="1">(B4/B5-1)/0.25</f>
        <v>#DIV/0!</v>
      </c>
    </row>
    <row r="6" spans="1:12" x14ac:dyDescent="0.45">
      <c r="A6">
        <v>1</v>
      </c>
      <c r="D6" t="e">
        <f>(1-B6)/(SUM($B$3:B6) *0.25)</f>
        <v>#DIV/0!</v>
      </c>
      <c r="E6">
        <f>VLOOKUP(A6,Sheet1!$A$15:$B$23,2)/100</f>
        <v>0</v>
      </c>
      <c r="F6" t="e">
        <f>D6-E6</f>
        <v>#DIV/0!</v>
      </c>
      <c r="G6">
        <f t="shared" si="0"/>
        <v>0</v>
      </c>
      <c r="H6" t="e">
        <f t="shared" si="1"/>
        <v>#DIV/0!</v>
      </c>
    </row>
    <row r="7" spans="1:12" x14ac:dyDescent="0.45">
      <c r="A7">
        <v>1.25</v>
      </c>
      <c r="G7">
        <f t="shared" si="0"/>
        <v>0</v>
      </c>
      <c r="H7" t="e">
        <f t="shared" si="1"/>
        <v>#DIV/0!</v>
      </c>
    </row>
    <row r="8" spans="1:12" x14ac:dyDescent="0.45">
      <c r="A8">
        <v>1.5</v>
      </c>
      <c r="G8">
        <f t="shared" si="0"/>
        <v>0</v>
      </c>
      <c r="H8" t="e">
        <f t="shared" si="1"/>
        <v>#DIV/0!</v>
      </c>
    </row>
    <row r="9" spans="1:12" x14ac:dyDescent="0.45">
      <c r="A9">
        <v>1.75</v>
      </c>
      <c r="G9">
        <f t="shared" si="0"/>
        <v>0</v>
      </c>
      <c r="H9" t="e">
        <f t="shared" si="1"/>
        <v>#DIV/0!</v>
      </c>
    </row>
    <row r="10" spans="1:12" x14ac:dyDescent="0.45">
      <c r="A10">
        <v>2</v>
      </c>
      <c r="D10" t="e">
        <f>(1-B10)/(SUM($B$3:B10) *0.25)</f>
        <v>#DIV/0!</v>
      </c>
      <c r="E10">
        <f>VLOOKUP(A10,Sheet1!$A$15:$B$23,2)/100</f>
        <v>0</v>
      </c>
      <c r="F10" t="e">
        <f>D10-E10</f>
        <v>#DIV/0!</v>
      </c>
      <c r="G10">
        <f t="shared" si="0"/>
        <v>0</v>
      </c>
      <c r="H10" t="e">
        <f t="shared" si="1"/>
        <v>#DIV/0!</v>
      </c>
    </row>
    <row r="11" spans="1:12" x14ac:dyDescent="0.45">
      <c r="A11">
        <v>2.25</v>
      </c>
      <c r="G11">
        <f t="shared" si="0"/>
        <v>0</v>
      </c>
      <c r="H11" t="e">
        <f t="shared" si="1"/>
        <v>#DIV/0!</v>
      </c>
    </row>
    <row r="12" spans="1:12" x14ac:dyDescent="0.45">
      <c r="A12">
        <v>2.5</v>
      </c>
      <c r="G12">
        <f t="shared" si="0"/>
        <v>0</v>
      </c>
      <c r="H12" t="e">
        <f t="shared" si="1"/>
        <v>#DIV/0!</v>
      </c>
    </row>
    <row r="13" spans="1:12" x14ac:dyDescent="0.45">
      <c r="A13">
        <v>2.75</v>
      </c>
      <c r="G13">
        <f t="shared" si="0"/>
        <v>0</v>
      </c>
      <c r="H13" t="e">
        <f t="shared" si="1"/>
        <v>#DIV/0!</v>
      </c>
    </row>
    <row r="14" spans="1:12" x14ac:dyDescent="0.45">
      <c r="A14">
        <v>3</v>
      </c>
      <c r="D14" t="e">
        <f>(1-B14)/(SUM($B$3:B14) *0.25)</f>
        <v>#DIV/0!</v>
      </c>
      <c r="E14">
        <f>VLOOKUP(A14,Sheet1!$A$15:$B$23,2)/100</f>
        <v>0</v>
      </c>
      <c r="F14" t="e">
        <f>D14-E14</f>
        <v>#DIV/0!</v>
      </c>
      <c r="G14">
        <f t="shared" si="0"/>
        <v>0</v>
      </c>
      <c r="H14" t="e">
        <f t="shared" si="1"/>
        <v>#DIV/0!</v>
      </c>
    </row>
    <row r="15" spans="1:12" x14ac:dyDescent="0.45">
      <c r="A15">
        <v>3.25</v>
      </c>
      <c r="G15">
        <f t="shared" si="0"/>
        <v>0</v>
      </c>
      <c r="H15" t="e">
        <f t="shared" si="1"/>
        <v>#DIV/0!</v>
      </c>
    </row>
    <row r="16" spans="1:12" x14ac:dyDescent="0.45">
      <c r="A16">
        <v>3.5</v>
      </c>
      <c r="G16">
        <f t="shared" si="0"/>
        <v>0</v>
      </c>
      <c r="H16" t="e">
        <f t="shared" si="1"/>
        <v>#DIV/0!</v>
      </c>
    </row>
    <row r="17" spans="1:8" x14ac:dyDescent="0.45">
      <c r="A17">
        <v>3.75</v>
      </c>
      <c r="G17">
        <f t="shared" si="0"/>
        <v>0</v>
      </c>
      <c r="H17" t="e">
        <f t="shared" si="1"/>
        <v>#DIV/0!</v>
      </c>
    </row>
    <row r="18" spans="1:8" x14ac:dyDescent="0.45">
      <c r="A18">
        <v>4</v>
      </c>
      <c r="D18" t="e">
        <f>(1-B18)/(SUM($B$3:B18) *0.25)</f>
        <v>#DIV/0!</v>
      </c>
      <c r="E18">
        <f>VLOOKUP(A18,Sheet1!$A$15:$B$23,2)/100</f>
        <v>0</v>
      </c>
      <c r="F18" t="e">
        <f>D18-E18</f>
        <v>#DIV/0!</v>
      </c>
      <c r="G18">
        <f t="shared" si="0"/>
        <v>0</v>
      </c>
      <c r="H18" t="e">
        <f t="shared" si="1"/>
        <v>#DIV/0!</v>
      </c>
    </row>
    <row r="19" spans="1:8" x14ac:dyDescent="0.45">
      <c r="A19">
        <v>4.25</v>
      </c>
      <c r="G19">
        <f t="shared" si="0"/>
        <v>0</v>
      </c>
      <c r="H19" t="e">
        <f t="shared" si="1"/>
        <v>#DIV/0!</v>
      </c>
    </row>
    <row r="20" spans="1:8" x14ac:dyDescent="0.45">
      <c r="A20">
        <v>4.5</v>
      </c>
      <c r="G20">
        <f t="shared" si="0"/>
        <v>0</v>
      </c>
      <c r="H20" t="e">
        <f t="shared" si="1"/>
        <v>#DIV/0!</v>
      </c>
    </row>
    <row r="21" spans="1:8" x14ac:dyDescent="0.45">
      <c r="A21">
        <v>4.75</v>
      </c>
      <c r="G21">
        <f t="shared" si="0"/>
        <v>0</v>
      </c>
      <c r="H21" t="e">
        <f t="shared" si="1"/>
        <v>#DIV/0!</v>
      </c>
    </row>
    <row r="22" spans="1:8" x14ac:dyDescent="0.45">
      <c r="A22">
        <v>5</v>
      </c>
      <c r="D22" t="e">
        <f>(1-B22)/(SUM($B$3:B22) *0.25)</f>
        <v>#DIV/0!</v>
      </c>
      <c r="E22">
        <f>VLOOKUP(A22,Sheet1!$A$15:$B$23,2)/100</f>
        <v>0</v>
      </c>
      <c r="F22" t="e">
        <f>D22-E22</f>
        <v>#DIV/0!</v>
      </c>
      <c r="G22">
        <f t="shared" si="0"/>
        <v>0</v>
      </c>
      <c r="H22" t="e">
        <f t="shared" si="1"/>
        <v>#DIV/0!</v>
      </c>
    </row>
    <row r="23" spans="1:8" x14ac:dyDescent="0.45">
      <c r="A23">
        <v>5.25</v>
      </c>
      <c r="G23">
        <f t="shared" si="0"/>
        <v>0</v>
      </c>
      <c r="H23" t="e">
        <f t="shared" si="1"/>
        <v>#DIV/0!</v>
      </c>
    </row>
    <row r="24" spans="1:8" x14ac:dyDescent="0.45">
      <c r="A24">
        <v>5.5</v>
      </c>
      <c r="G24">
        <f t="shared" si="0"/>
        <v>0</v>
      </c>
      <c r="H24" t="e">
        <f t="shared" si="1"/>
        <v>#DIV/0!</v>
      </c>
    </row>
    <row r="25" spans="1:8" x14ac:dyDescent="0.45">
      <c r="A25">
        <v>5.75</v>
      </c>
      <c r="G25">
        <f t="shared" si="0"/>
        <v>0</v>
      </c>
      <c r="H25" t="e">
        <f t="shared" si="1"/>
        <v>#DIV/0!</v>
      </c>
    </row>
    <row r="26" spans="1:8" x14ac:dyDescent="0.45">
      <c r="A26">
        <v>6</v>
      </c>
      <c r="G26">
        <f t="shared" si="0"/>
        <v>0</v>
      </c>
      <c r="H26" t="e">
        <f t="shared" si="1"/>
        <v>#DIV/0!</v>
      </c>
    </row>
    <row r="27" spans="1:8" x14ac:dyDescent="0.45">
      <c r="A27">
        <v>6.25</v>
      </c>
      <c r="G27">
        <f t="shared" si="0"/>
        <v>0</v>
      </c>
      <c r="H27" t="e">
        <f t="shared" si="1"/>
        <v>#DIV/0!</v>
      </c>
    </row>
    <row r="28" spans="1:8" x14ac:dyDescent="0.45">
      <c r="A28">
        <v>6.5</v>
      </c>
      <c r="G28">
        <f t="shared" si="0"/>
        <v>0</v>
      </c>
      <c r="H28" t="e">
        <f t="shared" si="1"/>
        <v>#DIV/0!</v>
      </c>
    </row>
    <row r="29" spans="1:8" x14ac:dyDescent="0.45">
      <c r="A29">
        <v>6.75</v>
      </c>
      <c r="G29">
        <f t="shared" si="0"/>
        <v>0</v>
      </c>
      <c r="H29" t="e">
        <f t="shared" si="1"/>
        <v>#DIV/0!</v>
      </c>
    </row>
    <row r="30" spans="1:8" x14ac:dyDescent="0.45">
      <c r="A30">
        <v>7</v>
      </c>
      <c r="D30" t="e">
        <f>(1-B30)/(SUM($B$3:B30) *0.25)</f>
        <v>#DIV/0!</v>
      </c>
      <c r="E30">
        <f>VLOOKUP(A30,Sheet1!$A$15:$B$23,2)/100</f>
        <v>0</v>
      </c>
      <c r="F30" t="e">
        <f>D30-E30</f>
        <v>#DIV/0!</v>
      </c>
      <c r="G30">
        <f t="shared" si="0"/>
        <v>0</v>
      </c>
      <c r="H30" t="e">
        <f t="shared" si="1"/>
        <v>#DIV/0!</v>
      </c>
    </row>
    <row r="31" spans="1:8" x14ac:dyDescent="0.45">
      <c r="A31">
        <v>7.25</v>
      </c>
      <c r="G31">
        <f t="shared" si="0"/>
        <v>0</v>
      </c>
      <c r="H31" t="e">
        <f t="shared" si="1"/>
        <v>#DIV/0!</v>
      </c>
    </row>
    <row r="32" spans="1:8" x14ac:dyDescent="0.45">
      <c r="A32">
        <v>7.5</v>
      </c>
      <c r="G32">
        <f t="shared" si="0"/>
        <v>0</v>
      </c>
      <c r="H32" t="e">
        <f t="shared" si="1"/>
        <v>#DIV/0!</v>
      </c>
    </row>
    <row r="33" spans="1:12" x14ac:dyDescent="0.45">
      <c r="A33">
        <v>7.75</v>
      </c>
      <c r="G33">
        <f t="shared" si="0"/>
        <v>0</v>
      </c>
      <c r="H33" t="e">
        <f t="shared" si="1"/>
        <v>#DIV/0!</v>
      </c>
    </row>
    <row r="34" spans="1:12" x14ac:dyDescent="0.45">
      <c r="A34">
        <v>8</v>
      </c>
      <c r="G34">
        <f t="shared" si="0"/>
        <v>0</v>
      </c>
      <c r="H34" t="e">
        <f t="shared" si="1"/>
        <v>#DIV/0!</v>
      </c>
    </row>
    <row r="35" spans="1:12" x14ac:dyDescent="0.45">
      <c r="A35">
        <v>8.25</v>
      </c>
      <c r="G35">
        <f t="shared" si="0"/>
        <v>0</v>
      </c>
      <c r="H35" t="e">
        <f t="shared" si="1"/>
        <v>#DIV/0!</v>
      </c>
      <c r="J35" t="s">
        <v>16</v>
      </c>
      <c r="K35">
        <f>SUM(K3:K34)</f>
        <v>0</v>
      </c>
      <c r="L35">
        <f>SUM(L3:L34)</f>
        <v>0</v>
      </c>
    </row>
    <row r="36" spans="1:12" x14ac:dyDescent="0.45">
      <c r="A36">
        <v>8.5</v>
      </c>
      <c r="G36">
        <f t="shared" si="0"/>
        <v>0</v>
      </c>
      <c r="H36" t="e">
        <f t="shared" si="1"/>
        <v>#DIV/0!</v>
      </c>
    </row>
    <row r="37" spans="1:12" x14ac:dyDescent="0.45">
      <c r="A37">
        <v>8.75</v>
      </c>
      <c r="G37">
        <f t="shared" si="0"/>
        <v>0</v>
      </c>
      <c r="H37" t="e">
        <f t="shared" si="1"/>
        <v>#DIV/0!</v>
      </c>
    </row>
    <row r="38" spans="1:12" x14ac:dyDescent="0.45">
      <c r="A38">
        <v>9</v>
      </c>
      <c r="G38">
        <f t="shared" si="0"/>
        <v>0</v>
      </c>
      <c r="H38" t="e">
        <f t="shared" si="1"/>
        <v>#DIV/0!</v>
      </c>
    </row>
    <row r="39" spans="1:12" x14ac:dyDescent="0.45">
      <c r="A39">
        <v>9.25</v>
      </c>
      <c r="G39">
        <f t="shared" si="0"/>
        <v>0</v>
      </c>
      <c r="H39" t="e">
        <f t="shared" si="1"/>
        <v>#DIV/0!</v>
      </c>
    </row>
    <row r="40" spans="1:12" x14ac:dyDescent="0.45">
      <c r="A40">
        <v>9.5</v>
      </c>
      <c r="G40">
        <f t="shared" si="0"/>
        <v>0</v>
      </c>
      <c r="H40" t="e">
        <f t="shared" si="1"/>
        <v>#DIV/0!</v>
      </c>
    </row>
    <row r="41" spans="1:12" x14ac:dyDescent="0.45">
      <c r="A41">
        <v>9.75</v>
      </c>
      <c r="G41">
        <f t="shared" si="0"/>
        <v>0</v>
      </c>
      <c r="H41" t="e">
        <f t="shared" si="1"/>
        <v>#DIV/0!</v>
      </c>
    </row>
    <row r="42" spans="1:12" x14ac:dyDescent="0.45">
      <c r="A42">
        <v>10</v>
      </c>
      <c r="D42" t="e">
        <f>(1-B42)/(SUM($B$3:B42) *0.25)</f>
        <v>#DIV/0!</v>
      </c>
      <c r="E42">
        <f>VLOOKUP(A42,Sheet1!$A$15:$B$23,2)/100</f>
        <v>0</v>
      </c>
      <c r="F42" t="e">
        <f>D42-E42</f>
        <v>#DIV/0!</v>
      </c>
      <c r="G42">
        <f t="shared" si="0"/>
        <v>0</v>
      </c>
      <c r="H42" t="e">
        <f t="shared" si="1"/>
        <v>#DIV/0!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53728-E3E1-4CDB-9E1D-44675775A2DB}">
  <dimension ref="A1:L42"/>
  <sheetViews>
    <sheetView workbookViewId="0">
      <selection activeCell="M11" sqref="M11"/>
    </sheetView>
  </sheetViews>
  <sheetFormatPr defaultRowHeight="17" x14ac:dyDescent="0.45"/>
  <cols>
    <col min="2" max="2" width="15.75" customWidth="1"/>
    <col min="4" max="4" width="9.5" customWidth="1"/>
    <col min="5" max="5" width="10.83203125" customWidth="1"/>
    <col min="7" max="7" width="10.25" bestFit="1" customWidth="1"/>
    <col min="8" max="8" width="13.5" bestFit="1" customWidth="1"/>
  </cols>
  <sheetData>
    <row r="1" spans="1:12" x14ac:dyDescent="0.45">
      <c r="A1" t="s">
        <v>2</v>
      </c>
      <c r="J1" t="s">
        <v>29</v>
      </c>
      <c r="K1">
        <f>Sheet1!C27</f>
        <v>0</v>
      </c>
    </row>
    <row r="2" spans="1:12" x14ac:dyDescent="0.45">
      <c r="A2" t="s">
        <v>3</v>
      </c>
      <c r="B2" t="s">
        <v>7</v>
      </c>
      <c r="C2" t="s">
        <v>8</v>
      </c>
      <c r="D2" t="s">
        <v>10</v>
      </c>
      <c r="E2" t="s">
        <v>9</v>
      </c>
      <c r="F2" t="s">
        <v>6</v>
      </c>
      <c r="G2" t="s">
        <v>11</v>
      </c>
      <c r="H2" t="s">
        <v>12</v>
      </c>
      <c r="K2" t="s">
        <v>4</v>
      </c>
      <c r="L2" t="s">
        <v>5</v>
      </c>
    </row>
    <row r="3" spans="1:12" x14ac:dyDescent="0.45">
      <c r="A3" cm="1">
        <f t="array" ref="A3:A42">_xlfn.SEQUENCE(40,,0.25,0.25)</f>
        <v>0.25</v>
      </c>
      <c r="G3">
        <f>-C3/A3</f>
        <v>0</v>
      </c>
      <c r="H3" t="e">
        <f>(1/B3-1)/0.25</f>
        <v>#DIV/0!</v>
      </c>
    </row>
    <row r="4" spans="1:12" x14ac:dyDescent="0.45">
      <c r="A4">
        <v>0.5</v>
      </c>
      <c r="G4">
        <f t="shared" ref="G4:G42" si="0">-C4/A4</f>
        <v>0</v>
      </c>
      <c r="H4" t="e">
        <f>(B3/B4-1)/0.25</f>
        <v>#DIV/0!</v>
      </c>
    </row>
    <row r="5" spans="1:12" x14ac:dyDescent="0.45">
      <c r="A5">
        <v>0.75</v>
      </c>
      <c r="G5">
        <f t="shared" si="0"/>
        <v>0</v>
      </c>
      <c r="H5" t="e">
        <f t="shared" ref="H5:H42" si="1">(B4/B5-1)/0.25</f>
        <v>#DIV/0!</v>
      </c>
    </row>
    <row r="6" spans="1:12" x14ac:dyDescent="0.45">
      <c r="A6">
        <v>1</v>
      </c>
      <c r="D6" t="e">
        <f>(1-B6)/(SUM($B$3:B6) *0.25)</f>
        <v>#DIV/0!</v>
      </c>
      <c r="E6">
        <f>VLOOKUP(A6,Sheet1!$D$15:$E$23,2)/100</f>
        <v>0</v>
      </c>
      <c r="F6" t="e">
        <f>D6-E6</f>
        <v>#DIV/0!</v>
      </c>
      <c r="G6">
        <f t="shared" si="0"/>
        <v>0</v>
      </c>
      <c r="H6" t="e">
        <f t="shared" si="1"/>
        <v>#DIV/0!</v>
      </c>
    </row>
    <row r="7" spans="1:12" x14ac:dyDescent="0.45">
      <c r="A7">
        <v>1.25</v>
      </c>
      <c r="G7">
        <f t="shared" si="0"/>
        <v>0</v>
      </c>
      <c r="H7" t="e">
        <f t="shared" si="1"/>
        <v>#DIV/0!</v>
      </c>
    </row>
    <row r="8" spans="1:12" x14ac:dyDescent="0.45">
      <c r="A8">
        <v>1.5</v>
      </c>
      <c r="G8">
        <f t="shared" si="0"/>
        <v>0</v>
      </c>
      <c r="H8" t="e">
        <f t="shared" si="1"/>
        <v>#DIV/0!</v>
      </c>
    </row>
    <row r="9" spans="1:12" x14ac:dyDescent="0.45">
      <c r="A9">
        <v>1.75</v>
      </c>
      <c r="G9">
        <f t="shared" si="0"/>
        <v>0</v>
      </c>
      <c r="H9" t="e">
        <f t="shared" si="1"/>
        <v>#DIV/0!</v>
      </c>
    </row>
    <row r="10" spans="1:12" x14ac:dyDescent="0.45">
      <c r="A10">
        <v>2</v>
      </c>
      <c r="D10" t="e">
        <f>(1-B10)/(SUM($B$3:B10) *0.25)</f>
        <v>#DIV/0!</v>
      </c>
      <c r="E10">
        <f>VLOOKUP(A10,Sheet1!$D$15:$E$23,2)/100</f>
        <v>0</v>
      </c>
      <c r="F10" t="e">
        <f>D10-E10</f>
        <v>#DIV/0!</v>
      </c>
      <c r="G10">
        <f t="shared" si="0"/>
        <v>0</v>
      </c>
      <c r="H10" t="e">
        <f t="shared" si="1"/>
        <v>#DIV/0!</v>
      </c>
    </row>
    <row r="11" spans="1:12" x14ac:dyDescent="0.45">
      <c r="A11">
        <v>2.25</v>
      </c>
      <c r="G11">
        <f t="shared" si="0"/>
        <v>0</v>
      </c>
      <c r="H11" t="e">
        <f t="shared" si="1"/>
        <v>#DIV/0!</v>
      </c>
    </row>
    <row r="12" spans="1:12" x14ac:dyDescent="0.45">
      <c r="A12">
        <v>2.5</v>
      </c>
      <c r="G12">
        <f t="shared" si="0"/>
        <v>0</v>
      </c>
      <c r="H12" t="e">
        <f t="shared" si="1"/>
        <v>#DIV/0!</v>
      </c>
    </row>
    <row r="13" spans="1:12" x14ac:dyDescent="0.45">
      <c r="A13">
        <v>2.75</v>
      </c>
      <c r="G13">
        <f t="shared" si="0"/>
        <v>0</v>
      </c>
      <c r="H13" t="e">
        <f t="shared" si="1"/>
        <v>#DIV/0!</v>
      </c>
    </row>
    <row r="14" spans="1:12" x14ac:dyDescent="0.45">
      <c r="A14">
        <v>3</v>
      </c>
      <c r="D14" t="e">
        <f>(1-B14)/(SUM($B$3:B14) *0.25)</f>
        <v>#DIV/0!</v>
      </c>
      <c r="E14">
        <f>VLOOKUP(A14,Sheet1!$D$15:$E$23,2)/100</f>
        <v>0</v>
      </c>
      <c r="F14" t="e">
        <f>D14-E14</f>
        <v>#DIV/0!</v>
      </c>
      <c r="G14">
        <f t="shared" si="0"/>
        <v>0</v>
      </c>
      <c r="H14" t="e">
        <f t="shared" si="1"/>
        <v>#DIV/0!</v>
      </c>
    </row>
    <row r="15" spans="1:12" x14ac:dyDescent="0.45">
      <c r="A15">
        <v>3.25</v>
      </c>
      <c r="G15">
        <f t="shared" si="0"/>
        <v>0</v>
      </c>
      <c r="H15" t="e">
        <f t="shared" si="1"/>
        <v>#DIV/0!</v>
      </c>
    </row>
    <row r="16" spans="1:12" x14ac:dyDescent="0.45">
      <c r="A16">
        <v>3.5</v>
      </c>
      <c r="G16">
        <f t="shared" si="0"/>
        <v>0</v>
      </c>
      <c r="H16" t="e">
        <f t="shared" si="1"/>
        <v>#DIV/0!</v>
      </c>
    </row>
    <row r="17" spans="1:8" x14ac:dyDescent="0.45">
      <c r="A17">
        <v>3.75</v>
      </c>
      <c r="G17">
        <f t="shared" si="0"/>
        <v>0</v>
      </c>
      <c r="H17" t="e">
        <f t="shared" si="1"/>
        <v>#DIV/0!</v>
      </c>
    </row>
    <row r="18" spans="1:8" x14ac:dyDescent="0.45">
      <c r="A18">
        <v>4</v>
      </c>
      <c r="D18" t="e">
        <f>(1-B18)/(SUM($B$3:B18) *0.25)</f>
        <v>#DIV/0!</v>
      </c>
      <c r="E18">
        <f>VLOOKUP(A18,Sheet1!$D$15:$E$23,2)/100</f>
        <v>0</v>
      </c>
      <c r="F18" t="e">
        <f>D18-E18</f>
        <v>#DIV/0!</v>
      </c>
      <c r="G18">
        <f t="shared" si="0"/>
        <v>0</v>
      </c>
      <c r="H18" t="e">
        <f t="shared" si="1"/>
        <v>#DIV/0!</v>
      </c>
    </row>
    <row r="19" spans="1:8" x14ac:dyDescent="0.45">
      <c r="A19">
        <v>4.25</v>
      </c>
      <c r="G19">
        <f t="shared" si="0"/>
        <v>0</v>
      </c>
      <c r="H19" t="e">
        <f t="shared" si="1"/>
        <v>#DIV/0!</v>
      </c>
    </row>
    <row r="20" spans="1:8" x14ac:dyDescent="0.45">
      <c r="A20">
        <v>4.5</v>
      </c>
      <c r="G20">
        <f t="shared" si="0"/>
        <v>0</v>
      </c>
      <c r="H20" t="e">
        <f t="shared" si="1"/>
        <v>#DIV/0!</v>
      </c>
    </row>
    <row r="21" spans="1:8" x14ac:dyDescent="0.45">
      <c r="A21">
        <v>4.75</v>
      </c>
      <c r="G21">
        <f t="shared" si="0"/>
        <v>0</v>
      </c>
      <c r="H21" t="e">
        <f t="shared" si="1"/>
        <v>#DIV/0!</v>
      </c>
    </row>
    <row r="22" spans="1:8" x14ac:dyDescent="0.45">
      <c r="A22">
        <v>5</v>
      </c>
      <c r="D22" t="e">
        <f>(1-B22)/(SUM($B$3:B22) *0.25)</f>
        <v>#DIV/0!</v>
      </c>
      <c r="E22">
        <f>VLOOKUP(A22,Sheet1!$D$15:$E$23,2)/100</f>
        <v>0</v>
      </c>
      <c r="F22" t="e">
        <f>D22-E22</f>
        <v>#DIV/0!</v>
      </c>
      <c r="G22">
        <f t="shared" si="0"/>
        <v>0</v>
      </c>
      <c r="H22" t="e">
        <f t="shared" si="1"/>
        <v>#DIV/0!</v>
      </c>
    </row>
    <row r="23" spans="1:8" x14ac:dyDescent="0.45">
      <c r="A23">
        <v>5.25</v>
      </c>
      <c r="G23">
        <f t="shared" si="0"/>
        <v>0</v>
      </c>
      <c r="H23" t="e">
        <f t="shared" si="1"/>
        <v>#DIV/0!</v>
      </c>
    </row>
    <row r="24" spans="1:8" x14ac:dyDescent="0.45">
      <c r="A24">
        <v>5.5</v>
      </c>
      <c r="G24">
        <f t="shared" si="0"/>
        <v>0</v>
      </c>
      <c r="H24" t="e">
        <f t="shared" si="1"/>
        <v>#DIV/0!</v>
      </c>
    </row>
    <row r="25" spans="1:8" x14ac:dyDescent="0.45">
      <c r="A25">
        <v>5.75</v>
      </c>
      <c r="G25">
        <f t="shared" si="0"/>
        <v>0</v>
      </c>
      <c r="H25" t="e">
        <f t="shared" si="1"/>
        <v>#DIV/0!</v>
      </c>
    </row>
    <row r="26" spans="1:8" x14ac:dyDescent="0.45">
      <c r="A26">
        <v>6</v>
      </c>
      <c r="G26">
        <f t="shared" si="0"/>
        <v>0</v>
      </c>
      <c r="H26" t="e">
        <f t="shared" si="1"/>
        <v>#DIV/0!</v>
      </c>
    </row>
    <row r="27" spans="1:8" x14ac:dyDescent="0.45">
      <c r="A27">
        <v>6.25</v>
      </c>
      <c r="G27">
        <f t="shared" si="0"/>
        <v>0</v>
      </c>
      <c r="H27" t="e">
        <f t="shared" si="1"/>
        <v>#DIV/0!</v>
      </c>
    </row>
    <row r="28" spans="1:8" x14ac:dyDescent="0.45">
      <c r="A28">
        <v>6.5</v>
      </c>
      <c r="G28">
        <f t="shared" si="0"/>
        <v>0</v>
      </c>
      <c r="H28" t="e">
        <f t="shared" si="1"/>
        <v>#DIV/0!</v>
      </c>
    </row>
    <row r="29" spans="1:8" x14ac:dyDescent="0.45">
      <c r="A29">
        <v>6.75</v>
      </c>
      <c r="G29">
        <f t="shared" si="0"/>
        <v>0</v>
      </c>
      <c r="H29" t="e">
        <f t="shared" si="1"/>
        <v>#DIV/0!</v>
      </c>
    </row>
    <row r="30" spans="1:8" x14ac:dyDescent="0.45">
      <c r="A30">
        <v>7</v>
      </c>
      <c r="D30" t="e">
        <f>(1-B30)/(SUM($B$3:B30) *0.25)</f>
        <v>#DIV/0!</v>
      </c>
      <c r="E30">
        <f>VLOOKUP(A30,Sheet1!$D$15:$E$23,2)/100</f>
        <v>0</v>
      </c>
      <c r="F30" t="e">
        <f>D30-E30</f>
        <v>#DIV/0!</v>
      </c>
      <c r="G30">
        <f t="shared" si="0"/>
        <v>0</v>
      </c>
      <c r="H30" t="e">
        <f t="shared" si="1"/>
        <v>#DIV/0!</v>
      </c>
    </row>
    <row r="31" spans="1:8" x14ac:dyDescent="0.45">
      <c r="A31">
        <v>7.25</v>
      </c>
      <c r="G31">
        <f t="shared" si="0"/>
        <v>0</v>
      </c>
      <c r="H31" t="e">
        <f t="shared" si="1"/>
        <v>#DIV/0!</v>
      </c>
    </row>
    <row r="32" spans="1:8" x14ac:dyDescent="0.45">
      <c r="A32">
        <v>7.5</v>
      </c>
      <c r="G32">
        <f t="shared" si="0"/>
        <v>0</v>
      </c>
      <c r="H32" t="e">
        <f t="shared" si="1"/>
        <v>#DIV/0!</v>
      </c>
    </row>
    <row r="33" spans="1:12" x14ac:dyDescent="0.45">
      <c r="A33">
        <v>7.75</v>
      </c>
      <c r="G33">
        <f t="shared" si="0"/>
        <v>0</v>
      </c>
      <c r="H33" t="e">
        <f t="shared" si="1"/>
        <v>#DIV/0!</v>
      </c>
    </row>
    <row r="34" spans="1:12" x14ac:dyDescent="0.45">
      <c r="A34">
        <v>8</v>
      </c>
      <c r="G34">
        <f t="shared" si="0"/>
        <v>0</v>
      </c>
      <c r="H34" t="e">
        <f t="shared" si="1"/>
        <v>#DIV/0!</v>
      </c>
    </row>
    <row r="35" spans="1:12" x14ac:dyDescent="0.45">
      <c r="A35">
        <v>8.25</v>
      </c>
      <c r="G35">
        <f t="shared" si="0"/>
        <v>0</v>
      </c>
      <c r="H35" t="e">
        <f t="shared" si="1"/>
        <v>#DIV/0!</v>
      </c>
      <c r="J35" t="s">
        <v>16</v>
      </c>
      <c r="K35">
        <f>SUM(K3:K34)</f>
        <v>0</v>
      </c>
      <c r="L35">
        <f>SUM(L3:L34)</f>
        <v>0</v>
      </c>
    </row>
    <row r="36" spans="1:12" x14ac:dyDescent="0.45">
      <c r="A36">
        <v>8.5</v>
      </c>
      <c r="G36">
        <f t="shared" si="0"/>
        <v>0</v>
      </c>
      <c r="H36" t="e">
        <f t="shared" si="1"/>
        <v>#DIV/0!</v>
      </c>
    </row>
    <row r="37" spans="1:12" x14ac:dyDescent="0.45">
      <c r="A37">
        <v>8.75</v>
      </c>
      <c r="G37">
        <f t="shared" si="0"/>
        <v>0</v>
      </c>
      <c r="H37" t="e">
        <f t="shared" si="1"/>
        <v>#DIV/0!</v>
      </c>
    </row>
    <row r="38" spans="1:12" x14ac:dyDescent="0.45">
      <c r="A38">
        <v>9</v>
      </c>
      <c r="G38">
        <f t="shared" si="0"/>
        <v>0</v>
      </c>
      <c r="H38" t="e">
        <f t="shared" si="1"/>
        <v>#DIV/0!</v>
      </c>
    </row>
    <row r="39" spans="1:12" x14ac:dyDescent="0.45">
      <c r="A39">
        <v>9.25</v>
      </c>
      <c r="G39">
        <f t="shared" si="0"/>
        <v>0</v>
      </c>
      <c r="H39" t="e">
        <f t="shared" si="1"/>
        <v>#DIV/0!</v>
      </c>
    </row>
    <row r="40" spans="1:12" x14ac:dyDescent="0.45">
      <c r="A40">
        <v>9.5</v>
      </c>
      <c r="G40">
        <f t="shared" si="0"/>
        <v>0</v>
      </c>
      <c r="H40" t="e">
        <f t="shared" si="1"/>
        <v>#DIV/0!</v>
      </c>
    </row>
    <row r="41" spans="1:12" x14ac:dyDescent="0.45">
      <c r="A41">
        <v>9.75</v>
      </c>
      <c r="G41">
        <f t="shared" si="0"/>
        <v>0</v>
      </c>
      <c r="H41" t="e">
        <f t="shared" si="1"/>
        <v>#DIV/0!</v>
      </c>
    </row>
    <row r="42" spans="1:12" x14ac:dyDescent="0.45">
      <c r="A42">
        <v>10</v>
      </c>
      <c r="D42" t="e">
        <f>(1-B42)/(SUM($B$3:B42) *0.25)</f>
        <v>#DIV/0!</v>
      </c>
      <c r="E42">
        <f>VLOOKUP(A42,Sheet1!$D$15:$E$23,2)/100</f>
        <v>0</v>
      </c>
      <c r="F42" t="e">
        <f>D42-E42</f>
        <v>#DIV/0!</v>
      </c>
      <c r="G42">
        <f t="shared" si="0"/>
        <v>0</v>
      </c>
      <c r="H42" t="e">
        <f t="shared" si="1"/>
        <v>#DIV/0!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312F5-F5EF-4D86-B892-2E143EC9E35B}">
  <dimension ref="A1:L42"/>
  <sheetViews>
    <sheetView workbookViewId="0">
      <selection activeCell="I1" sqref="I1:K1048576"/>
    </sheetView>
  </sheetViews>
  <sheetFormatPr defaultRowHeight="17" x14ac:dyDescent="0.45"/>
  <cols>
    <col min="4" max="4" width="9.5" customWidth="1"/>
    <col min="7" max="7" width="10.25" bestFit="1" customWidth="1"/>
    <col min="8" max="8" width="13.5" bestFit="1" customWidth="1"/>
  </cols>
  <sheetData>
    <row r="1" spans="1:12" x14ac:dyDescent="0.45">
      <c r="A1" t="s">
        <v>2</v>
      </c>
      <c r="J1" t="s">
        <v>29</v>
      </c>
      <c r="K1">
        <f>Sheet1!C27</f>
        <v>0</v>
      </c>
    </row>
    <row r="2" spans="1:12" x14ac:dyDescent="0.45">
      <c r="A2" t="s">
        <v>3</v>
      </c>
      <c r="B2" t="s">
        <v>7</v>
      </c>
      <c r="C2" t="s">
        <v>8</v>
      </c>
      <c r="D2" t="s">
        <v>10</v>
      </c>
      <c r="E2" t="s">
        <v>9</v>
      </c>
      <c r="F2" t="s">
        <v>6</v>
      </c>
      <c r="G2" t="s">
        <v>11</v>
      </c>
      <c r="H2" t="s">
        <v>12</v>
      </c>
      <c r="K2" t="s">
        <v>4</v>
      </c>
      <c r="L2" t="s">
        <v>5</v>
      </c>
    </row>
    <row r="3" spans="1:12" x14ac:dyDescent="0.45">
      <c r="A3" cm="1">
        <f t="array" ref="A3:A42">_xlfn.SEQUENCE(40,,0.25,0.25)</f>
        <v>0.25</v>
      </c>
      <c r="G3">
        <f>-C3/A3</f>
        <v>0</v>
      </c>
      <c r="H3" t="e">
        <f>(1/B3-1)/0.25</f>
        <v>#DIV/0!</v>
      </c>
    </row>
    <row r="4" spans="1:12" x14ac:dyDescent="0.45">
      <c r="A4">
        <v>0.5</v>
      </c>
      <c r="G4">
        <f t="shared" ref="G4:G42" si="0">-C4/A4</f>
        <v>0</v>
      </c>
      <c r="H4" t="e">
        <f>(B3/B4-1)/0.25</f>
        <v>#DIV/0!</v>
      </c>
    </row>
    <row r="5" spans="1:12" x14ac:dyDescent="0.45">
      <c r="A5">
        <v>0.75</v>
      </c>
      <c r="G5">
        <f t="shared" si="0"/>
        <v>0</v>
      </c>
      <c r="H5" t="e">
        <f t="shared" ref="H5:H42" si="1">(B4/B5-1)/0.25</f>
        <v>#DIV/0!</v>
      </c>
    </row>
    <row r="6" spans="1:12" x14ac:dyDescent="0.45">
      <c r="A6">
        <v>1</v>
      </c>
      <c r="D6" t="e">
        <f>(1-B6)/(SUM($B$3:B6) *0.25)</f>
        <v>#DIV/0!</v>
      </c>
      <c r="E6">
        <f>VLOOKUP(A6,Sheet1!$G$15:$H$23,2)/100</f>
        <v>0</v>
      </c>
      <c r="F6" t="e">
        <f>D6-E6</f>
        <v>#DIV/0!</v>
      </c>
      <c r="G6">
        <f t="shared" si="0"/>
        <v>0</v>
      </c>
      <c r="H6" t="e">
        <f t="shared" si="1"/>
        <v>#DIV/0!</v>
      </c>
    </row>
    <row r="7" spans="1:12" x14ac:dyDescent="0.45">
      <c r="A7">
        <v>1.25</v>
      </c>
      <c r="G7">
        <f t="shared" si="0"/>
        <v>0</v>
      </c>
      <c r="H7" t="e">
        <f t="shared" si="1"/>
        <v>#DIV/0!</v>
      </c>
    </row>
    <row r="8" spans="1:12" x14ac:dyDescent="0.45">
      <c r="A8">
        <v>1.5</v>
      </c>
      <c r="G8">
        <f t="shared" si="0"/>
        <v>0</v>
      </c>
      <c r="H8" t="e">
        <f t="shared" si="1"/>
        <v>#DIV/0!</v>
      </c>
    </row>
    <row r="9" spans="1:12" x14ac:dyDescent="0.45">
      <c r="A9">
        <v>1.75</v>
      </c>
      <c r="G9">
        <f t="shared" si="0"/>
        <v>0</v>
      </c>
      <c r="H9" t="e">
        <f t="shared" si="1"/>
        <v>#DIV/0!</v>
      </c>
    </row>
    <row r="10" spans="1:12" x14ac:dyDescent="0.45">
      <c r="A10">
        <v>2</v>
      </c>
      <c r="D10" t="e">
        <f>(1-B10)/(SUM($B$3:B10) *0.25)</f>
        <v>#DIV/0!</v>
      </c>
      <c r="E10">
        <f>VLOOKUP(A10,Sheet1!$G$15:$H$23,2)/100</f>
        <v>0</v>
      </c>
      <c r="F10" t="e">
        <f>D10-E10</f>
        <v>#DIV/0!</v>
      </c>
      <c r="G10">
        <f t="shared" si="0"/>
        <v>0</v>
      </c>
      <c r="H10" t="e">
        <f t="shared" si="1"/>
        <v>#DIV/0!</v>
      </c>
    </row>
    <row r="11" spans="1:12" x14ac:dyDescent="0.45">
      <c r="A11">
        <v>2.25</v>
      </c>
      <c r="G11">
        <f t="shared" si="0"/>
        <v>0</v>
      </c>
      <c r="H11" t="e">
        <f t="shared" si="1"/>
        <v>#DIV/0!</v>
      </c>
    </row>
    <row r="12" spans="1:12" x14ac:dyDescent="0.45">
      <c r="A12">
        <v>2.5</v>
      </c>
      <c r="G12">
        <f t="shared" si="0"/>
        <v>0</v>
      </c>
      <c r="H12" t="e">
        <f t="shared" si="1"/>
        <v>#DIV/0!</v>
      </c>
    </row>
    <row r="13" spans="1:12" x14ac:dyDescent="0.45">
      <c r="A13">
        <v>2.75</v>
      </c>
      <c r="G13">
        <f t="shared" si="0"/>
        <v>0</v>
      </c>
      <c r="H13" t="e">
        <f t="shared" si="1"/>
        <v>#DIV/0!</v>
      </c>
    </row>
    <row r="14" spans="1:12" x14ac:dyDescent="0.45">
      <c r="A14">
        <v>3</v>
      </c>
      <c r="D14" t="e">
        <f>(1-B14)/(SUM($B$3:B14) *0.25)</f>
        <v>#DIV/0!</v>
      </c>
      <c r="E14">
        <f>VLOOKUP(A14,Sheet1!$G$15:$H$23,2)/100</f>
        <v>0</v>
      </c>
      <c r="F14" t="e">
        <f>D14-E14</f>
        <v>#DIV/0!</v>
      </c>
      <c r="G14">
        <f t="shared" si="0"/>
        <v>0</v>
      </c>
      <c r="H14" t="e">
        <f t="shared" si="1"/>
        <v>#DIV/0!</v>
      </c>
    </row>
    <row r="15" spans="1:12" x14ac:dyDescent="0.45">
      <c r="A15">
        <v>3.25</v>
      </c>
      <c r="G15">
        <f t="shared" si="0"/>
        <v>0</v>
      </c>
      <c r="H15" t="e">
        <f t="shared" si="1"/>
        <v>#DIV/0!</v>
      </c>
    </row>
    <row r="16" spans="1:12" x14ac:dyDescent="0.45">
      <c r="A16">
        <v>3.5</v>
      </c>
      <c r="G16">
        <f t="shared" si="0"/>
        <v>0</v>
      </c>
      <c r="H16" t="e">
        <f t="shared" si="1"/>
        <v>#DIV/0!</v>
      </c>
    </row>
    <row r="17" spans="1:8" x14ac:dyDescent="0.45">
      <c r="A17">
        <v>3.75</v>
      </c>
      <c r="G17">
        <f t="shared" si="0"/>
        <v>0</v>
      </c>
      <c r="H17" t="e">
        <f t="shared" si="1"/>
        <v>#DIV/0!</v>
      </c>
    </row>
    <row r="18" spans="1:8" x14ac:dyDescent="0.45">
      <c r="A18">
        <v>4</v>
      </c>
      <c r="D18" t="e">
        <f>(1-B18)/(SUM($B$3:B18) *0.25)</f>
        <v>#DIV/0!</v>
      </c>
      <c r="E18">
        <f>VLOOKUP(A18,Sheet1!$G$15:$H$23,2)/100</f>
        <v>0</v>
      </c>
      <c r="F18" t="e">
        <f>D18-E18</f>
        <v>#DIV/0!</v>
      </c>
      <c r="G18">
        <f t="shared" si="0"/>
        <v>0</v>
      </c>
      <c r="H18" t="e">
        <f t="shared" si="1"/>
        <v>#DIV/0!</v>
      </c>
    </row>
    <row r="19" spans="1:8" x14ac:dyDescent="0.45">
      <c r="A19">
        <v>4.25</v>
      </c>
      <c r="G19">
        <f t="shared" si="0"/>
        <v>0</v>
      </c>
      <c r="H19" t="e">
        <f t="shared" si="1"/>
        <v>#DIV/0!</v>
      </c>
    </row>
    <row r="20" spans="1:8" x14ac:dyDescent="0.45">
      <c r="A20">
        <v>4.5</v>
      </c>
      <c r="G20">
        <f t="shared" si="0"/>
        <v>0</v>
      </c>
      <c r="H20" t="e">
        <f t="shared" si="1"/>
        <v>#DIV/0!</v>
      </c>
    </row>
    <row r="21" spans="1:8" x14ac:dyDescent="0.45">
      <c r="A21">
        <v>4.75</v>
      </c>
      <c r="G21">
        <f t="shared" si="0"/>
        <v>0</v>
      </c>
      <c r="H21" t="e">
        <f t="shared" si="1"/>
        <v>#DIV/0!</v>
      </c>
    </row>
    <row r="22" spans="1:8" x14ac:dyDescent="0.45">
      <c r="A22">
        <v>5</v>
      </c>
      <c r="D22" t="e">
        <f>(1-B22)/(SUM($B$3:B22) *0.25)</f>
        <v>#DIV/0!</v>
      </c>
      <c r="E22">
        <f>VLOOKUP(A22,Sheet1!$G$15:$H$23,2)/100</f>
        <v>0</v>
      </c>
      <c r="F22" t="e">
        <f>D22-E22</f>
        <v>#DIV/0!</v>
      </c>
      <c r="G22">
        <f t="shared" si="0"/>
        <v>0</v>
      </c>
      <c r="H22" t="e">
        <f t="shared" si="1"/>
        <v>#DIV/0!</v>
      </c>
    </row>
    <row r="23" spans="1:8" x14ac:dyDescent="0.45">
      <c r="A23">
        <v>5.25</v>
      </c>
      <c r="G23">
        <f t="shared" si="0"/>
        <v>0</v>
      </c>
      <c r="H23" t="e">
        <f t="shared" si="1"/>
        <v>#DIV/0!</v>
      </c>
    </row>
    <row r="24" spans="1:8" x14ac:dyDescent="0.45">
      <c r="A24">
        <v>5.5</v>
      </c>
      <c r="G24">
        <f t="shared" si="0"/>
        <v>0</v>
      </c>
      <c r="H24" t="e">
        <f t="shared" si="1"/>
        <v>#DIV/0!</v>
      </c>
    </row>
    <row r="25" spans="1:8" x14ac:dyDescent="0.45">
      <c r="A25">
        <v>5.75</v>
      </c>
      <c r="G25">
        <f t="shared" si="0"/>
        <v>0</v>
      </c>
      <c r="H25" t="e">
        <f t="shared" si="1"/>
        <v>#DIV/0!</v>
      </c>
    </row>
    <row r="26" spans="1:8" x14ac:dyDescent="0.45">
      <c r="A26">
        <v>6</v>
      </c>
      <c r="G26">
        <f t="shared" si="0"/>
        <v>0</v>
      </c>
      <c r="H26" t="e">
        <f t="shared" si="1"/>
        <v>#DIV/0!</v>
      </c>
    </row>
    <row r="27" spans="1:8" x14ac:dyDescent="0.45">
      <c r="A27">
        <v>6.25</v>
      </c>
      <c r="G27">
        <f t="shared" si="0"/>
        <v>0</v>
      </c>
      <c r="H27" t="e">
        <f t="shared" si="1"/>
        <v>#DIV/0!</v>
      </c>
    </row>
    <row r="28" spans="1:8" x14ac:dyDescent="0.45">
      <c r="A28">
        <v>6.5</v>
      </c>
      <c r="G28">
        <f t="shared" si="0"/>
        <v>0</v>
      </c>
      <c r="H28" t="e">
        <f t="shared" si="1"/>
        <v>#DIV/0!</v>
      </c>
    </row>
    <row r="29" spans="1:8" x14ac:dyDescent="0.45">
      <c r="A29">
        <v>6.75</v>
      </c>
      <c r="G29">
        <f t="shared" si="0"/>
        <v>0</v>
      </c>
      <c r="H29" t="e">
        <f t="shared" si="1"/>
        <v>#DIV/0!</v>
      </c>
    </row>
    <row r="30" spans="1:8" x14ac:dyDescent="0.45">
      <c r="A30">
        <v>7</v>
      </c>
      <c r="D30" t="e">
        <f>(1-B30)/(SUM($B$3:B30) *0.25)</f>
        <v>#DIV/0!</v>
      </c>
      <c r="E30">
        <f>VLOOKUP(A30,Sheet1!$G$15:$H$23,2)/100</f>
        <v>0</v>
      </c>
      <c r="F30" t="e">
        <f>D30-E30</f>
        <v>#DIV/0!</v>
      </c>
      <c r="G30">
        <f t="shared" si="0"/>
        <v>0</v>
      </c>
      <c r="H30" t="e">
        <f t="shared" si="1"/>
        <v>#DIV/0!</v>
      </c>
    </row>
    <row r="31" spans="1:8" x14ac:dyDescent="0.45">
      <c r="A31">
        <v>7.25</v>
      </c>
      <c r="G31">
        <f t="shared" si="0"/>
        <v>0</v>
      </c>
      <c r="H31" t="e">
        <f t="shared" si="1"/>
        <v>#DIV/0!</v>
      </c>
    </row>
    <row r="32" spans="1:8" x14ac:dyDescent="0.45">
      <c r="A32">
        <v>7.5</v>
      </c>
      <c r="G32">
        <f t="shared" si="0"/>
        <v>0</v>
      </c>
      <c r="H32" t="e">
        <f t="shared" si="1"/>
        <v>#DIV/0!</v>
      </c>
    </row>
    <row r="33" spans="1:12" x14ac:dyDescent="0.45">
      <c r="A33">
        <v>7.75</v>
      </c>
      <c r="G33">
        <f t="shared" si="0"/>
        <v>0</v>
      </c>
      <c r="H33" t="e">
        <f t="shared" si="1"/>
        <v>#DIV/0!</v>
      </c>
    </row>
    <row r="34" spans="1:12" x14ac:dyDescent="0.45">
      <c r="A34">
        <v>8</v>
      </c>
      <c r="G34">
        <f t="shared" si="0"/>
        <v>0</v>
      </c>
      <c r="H34" t="e">
        <f t="shared" si="1"/>
        <v>#DIV/0!</v>
      </c>
    </row>
    <row r="35" spans="1:12" x14ac:dyDescent="0.45">
      <c r="A35">
        <v>8.25</v>
      </c>
      <c r="G35">
        <f t="shared" si="0"/>
        <v>0</v>
      </c>
      <c r="H35" t="e">
        <f t="shared" si="1"/>
        <v>#DIV/0!</v>
      </c>
      <c r="J35" t="s">
        <v>16</v>
      </c>
      <c r="K35">
        <f>SUM(K3:K34)</f>
        <v>0</v>
      </c>
      <c r="L35">
        <f>SUM(L3:L34)</f>
        <v>0</v>
      </c>
    </row>
    <row r="36" spans="1:12" x14ac:dyDescent="0.45">
      <c r="A36">
        <v>8.5</v>
      </c>
      <c r="G36">
        <f t="shared" si="0"/>
        <v>0</v>
      </c>
      <c r="H36" t="e">
        <f t="shared" si="1"/>
        <v>#DIV/0!</v>
      </c>
    </row>
    <row r="37" spans="1:12" x14ac:dyDescent="0.45">
      <c r="A37">
        <v>8.75</v>
      </c>
      <c r="G37">
        <f t="shared" si="0"/>
        <v>0</v>
      </c>
      <c r="H37" t="e">
        <f t="shared" si="1"/>
        <v>#DIV/0!</v>
      </c>
    </row>
    <row r="38" spans="1:12" x14ac:dyDescent="0.45">
      <c r="A38">
        <v>9</v>
      </c>
      <c r="G38">
        <f t="shared" si="0"/>
        <v>0</v>
      </c>
      <c r="H38" t="e">
        <f t="shared" si="1"/>
        <v>#DIV/0!</v>
      </c>
    </row>
    <row r="39" spans="1:12" x14ac:dyDescent="0.45">
      <c r="A39">
        <v>9.25</v>
      </c>
      <c r="G39">
        <f t="shared" si="0"/>
        <v>0</v>
      </c>
      <c r="H39" t="e">
        <f t="shared" si="1"/>
        <v>#DIV/0!</v>
      </c>
    </row>
    <row r="40" spans="1:12" x14ac:dyDescent="0.45">
      <c r="A40">
        <v>9.5</v>
      </c>
      <c r="G40">
        <f t="shared" si="0"/>
        <v>0</v>
      </c>
      <c r="H40" t="e">
        <f t="shared" si="1"/>
        <v>#DIV/0!</v>
      </c>
    </row>
    <row r="41" spans="1:12" x14ac:dyDescent="0.45">
      <c r="A41">
        <v>9.75</v>
      </c>
      <c r="G41">
        <f t="shared" si="0"/>
        <v>0</v>
      </c>
      <c r="H41" t="e">
        <f t="shared" si="1"/>
        <v>#DIV/0!</v>
      </c>
    </row>
    <row r="42" spans="1:12" x14ac:dyDescent="0.45">
      <c r="A42">
        <v>10</v>
      </c>
      <c r="D42" t="e">
        <f>(1-B42)/(SUM($B$3:B42) *0.25)</f>
        <v>#DIV/0!</v>
      </c>
      <c r="E42">
        <f>VLOOKUP(A42,Sheet1!$G$15:$H$23,2)/100</f>
        <v>0</v>
      </c>
      <c r="F42" t="e">
        <f>D42-E42</f>
        <v>#DIV/0!</v>
      </c>
      <c r="G42">
        <f t="shared" si="0"/>
        <v>0</v>
      </c>
      <c r="H42" t="e">
        <f t="shared" si="1"/>
        <v>#DIV/0!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8FB8A-53EC-4405-A986-34FF25BB0B8D}">
  <dimension ref="A1:L42"/>
  <sheetViews>
    <sheetView workbookViewId="0">
      <selection activeCell="I1" sqref="I1:K1048576"/>
    </sheetView>
  </sheetViews>
  <sheetFormatPr defaultRowHeight="17" x14ac:dyDescent="0.45"/>
  <cols>
    <col min="4" max="4" width="9.5" customWidth="1"/>
    <col min="7" max="7" width="10.25" bestFit="1" customWidth="1"/>
    <col min="8" max="8" width="13.5" bestFit="1" customWidth="1"/>
  </cols>
  <sheetData>
    <row r="1" spans="1:12" x14ac:dyDescent="0.45">
      <c r="A1" t="s">
        <v>2</v>
      </c>
      <c r="J1" t="s">
        <v>29</v>
      </c>
      <c r="K1">
        <f>Sheet1!C27</f>
        <v>0</v>
      </c>
    </row>
    <row r="2" spans="1:12" x14ac:dyDescent="0.45">
      <c r="A2" t="s">
        <v>3</v>
      </c>
      <c r="B2" t="s">
        <v>7</v>
      </c>
      <c r="C2" t="s">
        <v>8</v>
      </c>
      <c r="D2" t="s">
        <v>10</v>
      </c>
      <c r="E2" t="s">
        <v>9</v>
      </c>
      <c r="F2" t="s">
        <v>6</v>
      </c>
      <c r="G2" t="s">
        <v>11</v>
      </c>
      <c r="H2" t="s">
        <v>12</v>
      </c>
      <c r="K2" t="s">
        <v>4</v>
      </c>
      <c r="L2" t="s">
        <v>5</v>
      </c>
    </row>
    <row r="3" spans="1:12" x14ac:dyDescent="0.45">
      <c r="A3" cm="1">
        <f t="array" ref="A3:A42">_xlfn.SEQUENCE(40,,0.25,0.25)</f>
        <v>0.25</v>
      </c>
      <c r="G3">
        <f>-C3/A3</f>
        <v>0</v>
      </c>
      <c r="H3" t="e">
        <f>(1/B3-1)/0.25</f>
        <v>#DIV/0!</v>
      </c>
    </row>
    <row r="4" spans="1:12" x14ac:dyDescent="0.45">
      <c r="A4">
        <v>0.5</v>
      </c>
      <c r="G4">
        <f t="shared" ref="G4:G42" si="0">-C4/A4</f>
        <v>0</v>
      </c>
      <c r="H4" t="e">
        <f>(B3/B4-1)/0.25</f>
        <v>#DIV/0!</v>
      </c>
    </row>
    <row r="5" spans="1:12" x14ac:dyDescent="0.45">
      <c r="A5">
        <v>0.75</v>
      </c>
      <c r="G5">
        <f t="shared" si="0"/>
        <v>0</v>
      </c>
      <c r="H5" t="e">
        <f t="shared" ref="H5:H42" si="1">(B4/B5-1)/0.25</f>
        <v>#DIV/0!</v>
      </c>
    </row>
    <row r="6" spans="1:12" x14ac:dyDescent="0.45">
      <c r="A6">
        <v>1</v>
      </c>
      <c r="D6" t="e">
        <f>(1-B6)/(SUM($B$3:B6) *0.25)</f>
        <v>#DIV/0!</v>
      </c>
      <c r="E6">
        <f>VLOOKUP(A6,Sheet1!$J$15:$K$23,2)/100</f>
        <v>0</v>
      </c>
      <c r="F6" t="e">
        <f>D6-E6</f>
        <v>#DIV/0!</v>
      </c>
      <c r="G6">
        <f t="shared" si="0"/>
        <v>0</v>
      </c>
      <c r="H6" t="e">
        <f t="shared" si="1"/>
        <v>#DIV/0!</v>
      </c>
    </row>
    <row r="7" spans="1:12" x14ac:dyDescent="0.45">
      <c r="A7">
        <v>1.25</v>
      </c>
      <c r="G7">
        <f t="shared" si="0"/>
        <v>0</v>
      </c>
      <c r="H7" t="e">
        <f t="shared" si="1"/>
        <v>#DIV/0!</v>
      </c>
    </row>
    <row r="8" spans="1:12" x14ac:dyDescent="0.45">
      <c r="A8">
        <v>1.5</v>
      </c>
      <c r="G8">
        <f t="shared" si="0"/>
        <v>0</v>
      </c>
      <c r="H8" t="e">
        <f t="shared" si="1"/>
        <v>#DIV/0!</v>
      </c>
    </row>
    <row r="9" spans="1:12" x14ac:dyDescent="0.45">
      <c r="A9">
        <v>1.75</v>
      </c>
      <c r="G9">
        <f t="shared" si="0"/>
        <v>0</v>
      </c>
      <c r="H9" t="e">
        <f t="shared" si="1"/>
        <v>#DIV/0!</v>
      </c>
    </row>
    <row r="10" spans="1:12" x14ac:dyDescent="0.45">
      <c r="A10">
        <v>2</v>
      </c>
      <c r="D10" t="e">
        <f>(1-B10)/(SUM($B$3:B10) *0.25)</f>
        <v>#DIV/0!</v>
      </c>
      <c r="E10">
        <f>VLOOKUP(A10,Sheet1!$J$15:$K$23,2)/100</f>
        <v>0</v>
      </c>
      <c r="F10" t="e">
        <f>D10-E10</f>
        <v>#DIV/0!</v>
      </c>
      <c r="G10">
        <f t="shared" si="0"/>
        <v>0</v>
      </c>
      <c r="H10" t="e">
        <f t="shared" si="1"/>
        <v>#DIV/0!</v>
      </c>
    </row>
    <row r="11" spans="1:12" x14ac:dyDescent="0.45">
      <c r="A11">
        <v>2.25</v>
      </c>
      <c r="G11">
        <f t="shared" si="0"/>
        <v>0</v>
      </c>
      <c r="H11" t="e">
        <f t="shared" si="1"/>
        <v>#DIV/0!</v>
      </c>
    </row>
    <row r="12" spans="1:12" x14ac:dyDescent="0.45">
      <c r="A12">
        <v>2.5</v>
      </c>
      <c r="G12">
        <f t="shared" si="0"/>
        <v>0</v>
      </c>
      <c r="H12" t="e">
        <f t="shared" si="1"/>
        <v>#DIV/0!</v>
      </c>
    </row>
    <row r="13" spans="1:12" x14ac:dyDescent="0.45">
      <c r="A13">
        <v>2.75</v>
      </c>
      <c r="G13">
        <f t="shared" si="0"/>
        <v>0</v>
      </c>
      <c r="H13" t="e">
        <f t="shared" si="1"/>
        <v>#DIV/0!</v>
      </c>
    </row>
    <row r="14" spans="1:12" x14ac:dyDescent="0.45">
      <c r="A14">
        <v>3</v>
      </c>
      <c r="D14" t="e">
        <f>(1-B14)/(SUM($B$3:B14) *0.25)</f>
        <v>#DIV/0!</v>
      </c>
      <c r="E14">
        <f>VLOOKUP(A14,Sheet1!$J$15:$K$23,2)/100</f>
        <v>0</v>
      </c>
      <c r="F14" t="e">
        <f>D14-E14</f>
        <v>#DIV/0!</v>
      </c>
      <c r="G14">
        <f t="shared" si="0"/>
        <v>0</v>
      </c>
      <c r="H14" t="e">
        <f t="shared" si="1"/>
        <v>#DIV/0!</v>
      </c>
    </row>
    <row r="15" spans="1:12" x14ac:dyDescent="0.45">
      <c r="A15">
        <v>3.25</v>
      </c>
      <c r="G15">
        <f t="shared" si="0"/>
        <v>0</v>
      </c>
      <c r="H15" t="e">
        <f t="shared" si="1"/>
        <v>#DIV/0!</v>
      </c>
    </row>
    <row r="16" spans="1:12" x14ac:dyDescent="0.45">
      <c r="A16">
        <v>3.5</v>
      </c>
      <c r="G16">
        <f t="shared" si="0"/>
        <v>0</v>
      </c>
      <c r="H16" t="e">
        <f t="shared" si="1"/>
        <v>#DIV/0!</v>
      </c>
    </row>
    <row r="17" spans="1:8" x14ac:dyDescent="0.45">
      <c r="A17">
        <v>3.75</v>
      </c>
      <c r="G17">
        <f t="shared" si="0"/>
        <v>0</v>
      </c>
      <c r="H17" t="e">
        <f t="shared" si="1"/>
        <v>#DIV/0!</v>
      </c>
    </row>
    <row r="18" spans="1:8" x14ac:dyDescent="0.45">
      <c r="A18">
        <v>4</v>
      </c>
      <c r="D18" t="e">
        <f>(1-B18)/(SUM($B$3:B18) *0.25)</f>
        <v>#DIV/0!</v>
      </c>
      <c r="E18">
        <f>VLOOKUP(A18,Sheet1!$J$15:$K$23,2)/100</f>
        <v>0</v>
      </c>
      <c r="F18" t="e">
        <f>D18-E18</f>
        <v>#DIV/0!</v>
      </c>
      <c r="G18">
        <f t="shared" si="0"/>
        <v>0</v>
      </c>
      <c r="H18" t="e">
        <f t="shared" si="1"/>
        <v>#DIV/0!</v>
      </c>
    </row>
    <row r="19" spans="1:8" x14ac:dyDescent="0.45">
      <c r="A19">
        <v>4.25</v>
      </c>
      <c r="G19">
        <f t="shared" si="0"/>
        <v>0</v>
      </c>
      <c r="H19" t="e">
        <f t="shared" si="1"/>
        <v>#DIV/0!</v>
      </c>
    </row>
    <row r="20" spans="1:8" x14ac:dyDescent="0.45">
      <c r="A20">
        <v>4.5</v>
      </c>
      <c r="G20">
        <f t="shared" si="0"/>
        <v>0</v>
      </c>
      <c r="H20" t="e">
        <f t="shared" si="1"/>
        <v>#DIV/0!</v>
      </c>
    </row>
    <row r="21" spans="1:8" x14ac:dyDescent="0.45">
      <c r="A21">
        <v>4.75</v>
      </c>
      <c r="G21">
        <f t="shared" si="0"/>
        <v>0</v>
      </c>
      <c r="H21" t="e">
        <f t="shared" si="1"/>
        <v>#DIV/0!</v>
      </c>
    </row>
    <row r="22" spans="1:8" x14ac:dyDescent="0.45">
      <c r="A22">
        <v>5</v>
      </c>
      <c r="D22" t="e">
        <f>(1-B22)/(SUM($B$3:B22) *0.25)</f>
        <v>#DIV/0!</v>
      </c>
      <c r="E22">
        <f>VLOOKUP(A22,Sheet1!$J$15:$K$23,2)/100</f>
        <v>0</v>
      </c>
      <c r="F22" t="e">
        <f>D22-E22</f>
        <v>#DIV/0!</v>
      </c>
      <c r="G22">
        <f t="shared" si="0"/>
        <v>0</v>
      </c>
      <c r="H22" t="e">
        <f t="shared" si="1"/>
        <v>#DIV/0!</v>
      </c>
    </row>
    <row r="23" spans="1:8" x14ac:dyDescent="0.45">
      <c r="A23">
        <v>5.25</v>
      </c>
      <c r="G23">
        <f t="shared" si="0"/>
        <v>0</v>
      </c>
      <c r="H23" t="e">
        <f t="shared" si="1"/>
        <v>#DIV/0!</v>
      </c>
    </row>
    <row r="24" spans="1:8" x14ac:dyDescent="0.45">
      <c r="A24">
        <v>5.5</v>
      </c>
      <c r="G24">
        <f t="shared" si="0"/>
        <v>0</v>
      </c>
      <c r="H24" t="e">
        <f t="shared" si="1"/>
        <v>#DIV/0!</v>
      </c>
    </row>
    <row r="25" spans="1:8" x14ac:dyDescent="0.45">
      <c r="A25">
        <v>5.75</v>
      </c>
      <c r="G25">
        <f t="shared" si="0"/>
        <v>0</v>
      </c>
      <c r="H25" t="e">
        <f t="shared" si="1"/>
        <v>#DIV/0!</v>
      </c>
    </row>
    <row r="26" spans="1:8" x14ac:dyDescent="0.45">
      <c r="A26">
        <v>6</v>
      </c>
      <c r="G26">
        <f t="shared" si="0"/>
        <v>0</v>
      </c>
      <c r="H26" t="e">
        <f t="shared" si="1"/>
        <v>#DIV/0!</v>
      </c>
    </row>
    <row r="27" spans="1:8" x14ac:dyDescent="0.45">
      <c r="A27">
        <v>6.25</v>
      </c>
      <c r="G27">
        <f t="shared" si="0"/>
        <v>0</v>
      </c>
      <c r="H27" t="e">
        <f t="shared" si="1"/>
        <v>#DIV/0!</v>
      </c>
    </row>
    <row r="28" spans="1:8" x14ac:dyDescent="0.45">
      <c r="A28">
        <v>6.5</v>
      </c>
      <c r="G28">
        <f t="shared" si="0"/>
        <v>0</v>
      </c>
      <c r="H28" t="e">
        <f t="shared" si="1"/>
        <v>#DIV/0!</v>
      </c>
    </row>
    <row r="29" spans="1:8" x14ac:dyDescent="0.45">
      <c r="A29">
        <v>6.75</v>
      </c>
      <c r="G29">
        <f t="shared" si="0"/>
        <v>0</v>
      </c>
      <c r="H29" t="e">
        <f t="shared" si="1"/>
        <v>#DIV/0!</v>
      </c>
    </row>
    <row r="30" spans="1:8" x14ac:dyDescent="0.45">
      <c r="A30">
        <v>7</v>
      </c>
      <c r="D30" t="e">
        <f>(1-B30)/(SUM($B$3:B30) *0.25)</f>
        <v>#DIV/0!</v>
      </c>
      <c r="E30">
        <f>VLOOKUP(A30,Sheet1!$J$15:$K$23,2)/100</f>
        <v>0</v>
      </c>
      <c r="F30" t="e">
        <f>D30-E30</f>
        <v>#DIV/0!</v>
      </c>
      <c r="G30">
        <f t="shared" si="0"/>
        <v>0</v>
      </c>
      <c r="H30" t="e">
        <f t="shared" si="1"/>
        <v>#DIV/0!</v>
      </c>
    </row>
    <row r="31" spans="1:8" x14ac:dyDescent="0.45">
      <c r="A31">
        <v>7.25</v>
      </c>
      <c r="G31">
        <f t="shared" si="0"/>
        <v>0</v>
      </c>
      <c r="H31" t="e">
        <f t="shared" si="1"/>
        <v>#DIV/0!</v>
      </c>
    </row>
    <row r="32" spans="1:8" x14ac:dyDescent="0.45">
      <c r="A32">
        <v>7.5</v>
      </c>
      <c r="G32">
        <f t="shared" si="0"/>
        <v>0</v>
      </c>
      <c r="H32" t="e">
        <f t="shared" si="1"/>
        <v>#DIV/0!</v>
      </c>
    </row>
    <row r="33" spans="1:12" x14ac:dyDescent="0.45">
      <c r="A33">
        <v>7.75</v>
      </c>
      <c r="G33">
        <f t="shared" si="0"/>
        <v>0</v>
      </c>
      <c r="H33" t="e">
        <f t="shared" si="1"/>
        <v>#DIV/0!</v>
      </c>
    </row>
    <row r="34" spans="1:12" x14ac:dyDescent="0.45">
      <c r="A34">
        <v>8</v>
      </c>
      <c r="G34">
        <f t="shared" si="0"/>
        <v>0</v>
      </c>
      <c r="H34" t="e">
        <f t="shared" si="1"/>
        <v>#DIV/0!</v>
      </c>
    </row>
    <row r="35" spans="1:12" x14ac:dyDescent="0.45">
      <c r="A35">
        <v>8.25</v>
      </c>
      <c r="G35">
        <f t="shared" si="0"/>
        <v>0</v>
      </c>
      <c r="H35" t="e">
        <f t="shared" si="1"/>
        <v>#DIV/0!</v>
      </c>
      <c r="J35" t="s">
        <v>16</v>
      </c>
      <c r="K35">
        <f>SUM(K3:K34)</f>
        <v>0</v>
      </c>
      <c r="L35">
        <f>SUM(L3:L34)</f>
        <v>0</v>
      </c>
    </row>
    <row r="36" spans="1:12" x14ac:dyDescent="0.45">
      <c r="A36">
        <v>8.5</v>
      </c>
      <c r="G36">
        <f t="shared" si="0"/>
        <v>0</v>
      </c>
      <c r="H36" t="e">
        <f t="shared" si="1"/>
        <v>#DIV/0!</v>
      </c>
    </row>
    <row r="37" spans="1:12" x14ac:dyDescent="0.45">
      <c r="A37">
        <v>8.75</v>
      </c>
      <c r="G37">
        <f t="shared" si="0"/>
        <v>0</v>
      </c>
      <c r="H37" t="e">
        <f t="shared" si="1"/>
        <v>#DIV/0!</v>
      </c>
    </row>
    <row r="38" spans="1:12" x14ac:dyDescent="0.45">
      <c r="A38">
        <v>9</v>
      </c>
      <c r="G38">
        <f t="shared" si="0"/>
        <v>0</v>
      </c>
      <c r="H38" t="e">
        <f t="shared" si="1"/>
        <v>#DIV/0!</v>
      </c>
    </row>
    <row r="39" spans="1:12" x14ac:dyDescent="0.45">
      <c r="A39">
        <v>9.25</v>
      </c>
      <c r="G39">
        <f t="shared" si="0"/>
        <v>0</v>
      </c>
      <c r="H39" t="e">
        <f t="shared" si="1"/>
        <v>#DIV/0!</v>
      </c>
    </row>
    <row r="40" spans="1:12" x14ac:dyDescent="0.45">
      <c r="A40">
        <v>9.5</v>
      </c>
      <c r="G40">
        <f t="shared" si="0"/>
        <v>0</v>
      </c>
      <c r="H40" t="e">
        <f t="shared" si="1"/>
        <v>#DIV/0!</v>
      </c>
    </row>
    <row r="41" spans="1:12" x14ac:dyDescent="0.45">
      <c r="A41">
        <v>9.75</v>
      </c>
      <c r="G41">
        <f t="shared" si="0"/>
        <v>0</v>
      </c>
      <c r="H41" t="e">
        <f t="shared" si="1"/>
        <v>#DIV/0!</v>
      </c>
    </row>
    <row r="42" spans="1:12" x14ac:dyDescent="0.45">
      <c r="A42">
        <v>10</v>
      </c>
      <c r="D42" t="e">
        <f>(1-B42)/(SUM($B$3:B42) *0.25)</f>
        <v>#DIV/0!</v>
      </c>
      <c r="E42">
        <f>VLOOKUP(A42,Sheet1!$J$15:$K$23,2)/100</f>
        <v>0</v>
      </c>
      <c r="F42" t="e">
        <f>D42-E42</f>
        <v>#DIV/0!</v>
      </c>
      <c r="G42">
        <f t="shared" si="0"/>
        <v>0</v>
      </c>
      <c r="H42" t="e">
        <f t="shared" si="1"/>
        <v>#DIV/0!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7DC17-CEC1-4DA3-AB2A-7BC37FABCDAA}">
  <dimension ref="A1:L42"/>
  <sheetViews>
    <sheetView workbookViewId="0">
      <selection activeCell="I1" sqref="I1:K1048576"/>
    </sheetView>
  </sheetViews>
  <sheetFormatPr defaultRowHeight="17" x14ac:dyDescent="0.45"/>
  <cols>
    <col min="4" max="4" width="9.5" customWidth="1"/>
    <col min="7" max="7" width="10.25" bestFit="1" customWidth="1"/>
    <col min="8" max="8" width="13.5" bestFit="1" customWidth="1"/>
  </cols>
  <sheetData>
    <row r="1" spans="1:12" x14ac:dyDescent="0.45">
      <c r="A1" t="s">
        <v>2</v>
      </c>
      <c r="J1" t="s">
        <v>29</v>
      </c>
      <c r="K1">
        <f>Sheet1!C27</f>
        <v>0</v>
      </c>
    </row>
    <row r="2" spans="1:12" x14ac:dyDescent="0.45">
      <c r="A2" t="s">
        <v>3</v>
      </c>
      <c r="B2" t="s">
        <v>7</v>
      </c>
      <c r="C2" t="s">
        <v>8</v>
      </c>
      <c r="D2" t="s">
        <v>10</v>
      </c>
      <c r="E2" t="s">
        <v>9</v>
      </c>
      <c r="F2" t="s">
        <v>6</v>
      </c>
      <c r="G2" t="s">
        <v>11</v>
      </c>
      <c r="H2" t="s">
        <v>12</v>
      </c>
      <c r="K2" t="s">
        <v>4</v>
      </c>
      <c r="L2" t="s">
        <v>5</v>
      </c>
    </row>
    <row r="3" spans="1:12" x14ac:dyDescent="0.45">
      <c r="A3" cm="1">
        <f t="array" ref="A3:A42">_xlfn.SEQUENCE(40,,0.25,0.25)</f>
        <v>0.25</v>
      </c>
      <c r="G3">
        <f>-C3/A3</f>
        <v>0</v>
      </c>
      <c r="H3" t="e">
        <f>(1/B3-1)/0.25</f>
        <v>#DIV/0!</v>
      </c>
    </row>
    <row r="4" spans="1:12" x14ac:dyDescent="0.45">
      <c r="A4">
        <v>0.5</v>
      </c>
      <c r="G4">
        <f t="shared" ref="G4:G42" si="0">-C4/A4</f>
        <v>0</v>
      </c>
      <c r="H4" t="e">
        <f>(B3/B4-1)/0.25</f>
        <v>#DIV/0!</v>
      </c>
    </row>
    <row r="5" spans="1:12" x14ac:dyDescent="0.45">
      <c r="A5">
        <v>0.75</v>
      </c>
      <c r="G5">
        <f t="shared" si="0"/>
        <v>0</v>
      </c>
      <c r="H5" t="e">
        <f t="shared" ref="H5:H42" si="1">(B4/B5-1)/0.25</f>
        <v>#DIV/0!</v>
      </c>
    </row>
    <row r="6" spans="1:12" x14ac:dyDescent="0.45">
      <c r="A6">
        <v>1</v>
      </c>
      <c r="D6" t="e">
        <f>(1-B6)/(SUM($B$3:B6) *0.25)</f>
        <v>#DIV/0!</v>
      </c>
      <c r="E6">
        <f>VLOOKUP(A6,Sheet1!$M$15:$N$23,2)/100</f>
        <v>0</v>
      </c>
      <c r="F6" t="e">
        <f>D6-E6</f>
        <v>#DIV/0!</v>
      </c>
      <c r="G6">
        <f t="shared" si="0"/>
        <v>0</v>
      </c>
      <c r="H6" t="e">
        <f t="shared" si="1"/>
        <v>#DIV/0!</v>
      </c>
    </row>
    <row r="7" spans="1:12" x14ac:dyDescent="0.45">
      <c r="A7">
        <v>1.25</v>
      </c>
      <c r="G7">
        <f t="shared" si="0"/>
        <v>0</v>
      </c>
      <c r="H7" t="e">
        <f t="shared" si="1"/>
        <v>#DIV/0!</v>
      </c>
    </row>
    <row r="8" spans="1:12" x14ac:dyDescent="0.45">
      <c r="A8">
        <v>1.5</v>
      </c>
      <c r="G8">
        <f t="shared" si="0"/>
        <v>0</v>
      </c>
      <c r="H8" t="e">
        <f t="shared" si="1"/>
        <v>#DIV/0!</v>
      </c>
    </row>
    <row r="9" spans="1:12" x14ac:dyDescent="0.45">
      <c r="A9">
        <v>1.75</v>
      </c>
      <c r="G9">
        <f t="shared" si="0"/>
        <v>0</v>
      </c>
      <c r="H9" t="e">
        <f t="shared" si="1"/>
        <v>#DIV/0!</v>
      </c>
    </row>
    <row r="10" spans="1:12" x14ac:dyDescent="0.45">
      <c r="A10">
        <v>2</v>
      </c>
      <c r="D10" t="e">
        <f>(1-B10)/(SUM($B$3:B10) *0.25)</f>
        <v>#DIV/0!</v>
      </c>
      <c r="E10">
        <f>VLOOKUP(A10,Sheet1!$M$15:$N$23,2)/100</f>
        <v>0</v>
      </c>
      <c r="F10" t="e">
        <f>D10-E10</f>
        <v>#DIV/0!</v>
      </c>
      <c r="G10">
        <f t="shared" si="0"/>
        <v>0</v>
      </c>
      <c r="H10" t="e">
        <f t="shared" si="1"/>
        <v>#DIV/0!</v>
      </c>
    </row>
    <row r="11" spans="1:12" x14ac:dyDescent="0.45">
      <c r="A11">
        <v>2.25</v>
      </c>
      <c r="G11">
        <f t="shared" si="0"/>
        <v>0</v>
      </c>
      <c r="H11" t="e">
        <f t="shared" si="1"/>
        <v>#DIV/0!</v>
      </c>
    </row>
    <row r="12" spans="1:12" x14ac:dyDescent="0.45">
      <c r="A12">
        <v>2.5</v>
      </c>
      <c r="G12">
        <f t="shared" si="0"/>
        <v>0</v>
      </c>
      <c r="H12" t="e">
        <f t="shared" si="1"/>
        <v>#DIV/0!</v>
      </c>
    </row>
    <row r="13" spans="1:12" x14ac:dyDescent="0.45">
      <c r="A13">
        <v>2.75</v>
      </c>
      <c r="G13">
        <f t="shared" si="0"/>
        <v>0</v>
      </c>
      <c r="H13" t="e">
        <f t="shared" si="1"/>
        <v>#DIV/0!</v>
      </c>
    </row>
    <row r="14" spans="1:12" x14ac:dyDescent="0.45">
      <c r="A14">
        <v>3</v>
      </c>
      <c r="D14" t="e">
        <f>(1-B14)/(SUM($B$3:B14) *0.25)</f>
        <v>#DIV/0!</v>
      </c>
      <c r="E14">
        <f>VLOOKUP(A14,Sheet1!$M$15:$N$23,2)/100</f>
        <v>0</v>
      </c>
      <c r="F14" t="e">
        <f>D14-E14</f>
        <v>#DIV/0!</v>
      </c>
      <c r="G14">
        <f t="shared" si="0"/>
        <v>0</v>
      </c>
      <c r="H14" t="e">
        <f t="shared" si="1"/>
        <v>#DIV/0!</v>
      </c>
    </row>
    <row r="15" spans="1:12" x14ac:dyDescent="0.45">
      <c r="A15">
        <v>3.25</v>
      </c>
      <c r="G15">
        <f t="shared" si="0"/>
        <v>0</v>
      </c>
      <c r="H15" t="e">
        <f t="shared" si="1"/>
        <v>#DIV/0!</v>
      </c>
    </row>
    <row r="16" spans="1:12" x14ac:dyDescent="0.45">
      <c r="A16">
        <v>3.5</v>
      </c>
      <c r="G16">
        <f t="shared" si="0"/>
        <v>0</v>
      </c>
      <c r="H16" t="e">
        <f t="shared" si="1"/>
        <v>#DIV/0!</v>
      </c>
    </row>
    <row r="17" spans="1:8" x14ac:dyDescent="0.45">
      <c r="A17">
        <v>3.75</v>
      </c>
      <c r="G17">
        <f t="shared" si="0"/>
        <v>0</v>
      </c>
      <c r="H17" t="e">
        <f t="shared" si="1"/>
        <v>#DIV/0!</v>
      </c>
    </row>
    <row r="18" spans="1:8" x14ac:dyDescent="0.45">
      <c r="A18">
        <v>4</v>
      </c>
      <c r="D18" t="e">
        <f>(1-B18)/(SUM($B$3:B18) *0.25)</f>
        <v>#DIV/0!</v>
      </c>
      <c r="E18">
        <f>VLOOKUP(A18,Sheet1!$M$15:$N$23,2)/100</f>
        <v>0</v>
      </c>
      <c r="F18" t="e">
        <f>D18-E18</f>
        <v>#DIV/0!</v>
      </c>
      <c r="G18">
        <f t="shared" si="0"/>
        <v>0</v>
      </c>
      <c r="H18" t="e">
        <f t="shared" si="1"/>
        <v>#DIV/0!</v>
      </c>
    </row>
    <row r="19" spans="1:8" x14ac:dyDescent="0.45">
      <c r="A19">
        <v>4.25</v>
      </c>
      <c r="G19">
        <f t="shared" si="0"/>
        <v>0</v>
      </c>
      <c r="H19" t="e">
        <f t="shared" si="1"/>
        <v>#DIV/0!</v>
      </c>
    </row>
    <row r="20" spans="1:8" x14ac:dyDescent="0.45">
      <c r="A20">
        <v>4.5</v>
      </c>
      <c r="G20">
        <f t="shared" si="0"/>
        <v>0</v>
      </c>
      <c r="H20" t="e">
        <f t="shared" si="1"/>
        <v>#DIV/0!</v>
      </c>
    </row>
    <row r="21" spans="1:8" x14ac:dyDescent="0.45">
      <c r="A21">
        <v>4.75</v>
      </c>
      <c r="G21">
        <f t="shared" si="0"/>
        <v>0</v>
      </c>
      <c r="H21" t="e">
        <f t="shared" si="1"/>
        <v>#DIV/0!</v>
      </c>
    </row>
    <row r="22" spans="1:8" x14ac:dyDescent="0.45">
      <c r="A22">
        <v>5</v>
      </c>
      <c r="D22" t="e">
        <f>(1-B22)/(SUM($B$3:B22) *0.25)</f>
        <v>#DIV/0!</v>
      </c>
      <c r="E22">
        <f>VLOOKUP(A22,Sheet1!$M$15:$N$23,2)/100</f>
        <v>0</v>
      </c>
      <c r="F22" t="e">
        <f>D22-E22</f>
        <v>#DIV/0!</v>
      </c>
      <c r="G22">
        <f t="shared" si="0"/>
        <v>0</v>
      </c>
      <c r="H22" t="e">
        <f t="shared" si="1"/>
        <v>#DIV/0!</v>
      </c>
    </row>
    <row r="23" spans="1:8" x14ac:dyDescent="0.45">
      <c r="A23">
        <v>5.25</v>
      </c>
      <c r="G23">
        <f t="shared" si="0"/>
        <v>0</v>
      </c>
      <c r="H23" t="e">
        <f t="shared" si="1"/>
        <v>#DIV/0!</v>
      </c>
    </row>
    <row r="24" spans="1:8" x14ac:dyDescent="0.45">
      <c r="A24">
        <v>5.5</v>
      </c>
      <c r="G24">
        <f t="shared" si="0"/>
        <v>0</v>
      </c>
      <c r="H24" t="e">
        <f t="shared" si="1"/>
        <v>#DIV/0!</v>
      </c>
    </row>
    <row r="25" spans="1:8" x14ac:dyDescent="0.45">
      <c r="A25">
        <v>5.75</v>
      </c>
      <c r="G25">
        <f t="shared" si="0"/>
        <v>0</v>
      </c>
      <c r="H25" t="e">
        <f t="shared" si="1"/>
        <v>#DIV/0!</v>
      </c>
    </row>
    <row r="26" spans="1:8" x14ac:dyDescent="0.45">
      <c r="A26">
        <v>6</v>
      </c>
      <c r="G26">
        <f t="shared" si="0"/>
        <v>0</v>
      </c>
      <c r="H26" t="e">
        <f t="shared" si="1"/>
        <v>#DIV/0!</v>
      </c>
    </row>
    <row r="27" spans="1:8" x14ac:dyDescent="0.45">
      <c r="A27">
        <v>6.25</v>
      </c>
      <c r="G27">
        <f t="shared" si="0"/>
        <v>0</v>
      </c>
      <c r="H27" t="e">
        <f t="shared" si="1"/>
        <v>#DIV/0!</v>
      </c>
    </row>
    <row r="28" spans="1:8" x14ac:dyDescent="0.45">
      <c r="A28">
        <v>6.5</v>
      </c>
      <c r="G28">
        <f t="shared" si="0"/>
        <v>0</v>
      </c>
      <c r="H28" t="e">
        <f t="shared" si="1"/>
        <v>#DIV/0!</v>
      </c>
    </row>
    <row r="29" spans="1:8" x14ac:dyDescent="0.45">
      <c r="A29">
        <v>6.75</v>
      </c>
      <c r="G29">
        <f t="shared" si="0"/>
        <v>0</v>
      </c>
      <c r="H29" t="e">
        <f t="shared" si="1"/>
        <v>#DIV/0!</v>
      </c>
    </row>
    <row r="30" spans="1:8" x14ac:dyDescent="0.45">
      <c r="A30">
        <v>7</v>
      </c>
      <c r="D30" t="e">
        <f>(1-B30)/(SUM($B$3:B30) *0.25)</f>
        <v>#DIV/0!</v>
      </c>
      <c r="E30">
        <f>VLOOKUP(A30,Sheet1!$M$15:$N$23,2)/100</f>
        <v>0</v>
      </c>
      <c r="F30" t="e">
        <f>D30-E30</f>
        <v>#DIV/0!</v>
      </c>
      <c r="G30">
        <f t="shared" si="0"/>
        <v>0</v>
      </c>
      <c r="H30" t="e">
        <f t="shared" si="1"/>
        <v>#DIV/0!</v>
      </c>
    </row>
    <row r="31" spans="1:8" x14ac:dyDescent="0.45">
      <c r="A31">
        <v>7.25</v>
      </c>
      <c r="G31">
        <f t="shared" si="0"/>
        <v>0</v>
      </c>
      <c r="H31" t="e">
        <f t="shared" si="1"/>
        <v>#DIV/0!</v>
      </c>
    </row>
    <row r="32" spans="1:8" x14ac:dyDescent="0.45">
      <c r="A32">
        <v>7.5</v>
      </c>
      <c r="G32">
        <f t="shared" si="0"/>
        <v>0</v>
      </c>
      <c r="H32" t="e">
        <f t="shared" si="1"/>
        <v>#DIV/0!</v>
      </c>
    </row>
    <row r="33" spans="1:12" x14ac:dyDescent="0.45">
      <c r="A33">
        <v>7.75</v>
      </c>
      <c r="G33">
        <f t="shared" si="0"/>
        <v>0</v>
      </c>
      <c r="H33" t="e">
        <f t="shared" si="1"/>
        <v>#DIV/0!</v>
      </c>
    </row>
    <row r="34" spans="1:12" x14ac:dyDescent="0.45">
      <c r="A34">
        <v>8</v>
      </c>
      <c r="G34">
        <f t="shared" si="0"/>
        <v>0</v>
      </c>
      <c r="H34" t="e">
        <f t="shared" si="1"/>
        <v>#DIV/0!</v>
      </c>
    </row>
    <row r="35" spans="1:12" x14ac:dyDescent="0.45">
      <c r="A35">
        <v>8.25</v>
      </c>
      <c r="G35">
        <f t="shared" si="0"/>
        <v>0</v>
      </c>
      <c r="H35" t="e">
        <f t="shared" si="1"/>
        <v>#DIV/0!</v>
      </c>
      <c r="J35" t="s">
        <v>16</v>
      </c>
      <c r="K35">
        <f>SUM(K3:K34)</f>
        <v>0</v>
      </c>
      <c r="L35">
        <f>SUM(L3:L34)</f>
        <v>0</v>
      </c>
    </row>
    <row r="36" spans="1:12" x14ac:dyDescent="0.45">
      <c r="A36">
        <v>8.5</v>
      </c>
      <c r="G36">
        <f t="shared" si="0"/>
        <v>0</v>
      </c>
      <c r="H36" t="e">
        <f t="shared" si="1"/>
        <v>#DIV/0!</v>
      </c>
    </row>
    <row r="37" spans="1:12" x14ac:dyDescent="0.45">
      <c r="A37">
        <v>8.75</v>
      </c>
      <c r="G37">
        <f t="shared" si="0"/>
        <v>0</v>
      </c>
      <c r="H37" t="e">
        <f t="shared" si="1"/>
        <v>#DIV/0!</v>
      </c>
    </row>
    <row r="38" spans="1:12" x14ac:dyDescent="0.45">
      <c r="A38">
        <v>9</v>
      </c>
      <c r="G38">
        <f t="shared" si="0"/>
        <v>0</v>
      </c>
      <c r="H38" t="e">
        <f t="shared" si="1"/>
        <v>#DIV/0!</v>
      </c>
    </row>
    <row r="39" spans="1:12" x14ac:dyDescent="0.45">
      <c r="A39">
        <v>9.25</v>
      </c>
      <c r="G39">
        <f t="shared" si="0"/>
        <v>0</v>
      </c>
      <c r="H39" t="e">
        <f t="shared" si="1"/>
        <v>#DIV/0!</v>
      </c>
    </row>
    <row r="40" spans="1:12" x14ac:dyDescent="0.45">
      <c r="A40">
        <v>9.5</v>
      </c>
      <c r="G40">
        <f t="shared" si="0"/>
        <v>0</v>
      </c>
      <c r="H40" t="e">
        <f t="shared" si="1"/>
        <v>#DIV/0!</v>
      </c>
    </row>
    <row r="41" spans="1:12" x14ac:dyDescent="0.45">
      <c r="A41">
        <v>9.75</v>
      </c>
      <c r="G41">
        <f t="shared" si="0"/>
        <v>0</v>
      </c>
      <c r="H41" t="e">
        <f t="shared" si="1"/>
        <v>#DIV/0!</v>
      </c>
    </row>
    <row r="42" spans="1:12" x14ac:dyDescent="0.45">
      <c r="A42">
        <v>10</v>
      </c>
      <c r="D42" t="e">
        <f>(1-B42)/(SUM($B$3:B42) *0.25)</f>
        <v>#DIV/0!</v>
      </c>
      <c r="E42">
        <f>VLOOKUP(A42,Sheet1!$M$15:$N$23,2)/100</f>
        <v>0</v>
      </c>
      <c r="F42" t="e">
        <f>D42-E42</f>
        <v>#DIV/0!</v>
      </c>
      <c r="G42">
        <f t="shared" si="0"/>
        <v>0</v>
      </c>
      <c r="H42" t="e">
        <f t="shared" si="1"/>
        <v>#DIV/0!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16B7C-B7F6-49D2-BAC8-ADD5FC715B1C}">
  <dimension ref="A1:L42"/>
  <sheetViews>
    <sheetView workbookViewId="0">
      <selection activeCell="I1" sqref="I1:K1048576"/>
    </sheetView>
  </sheetViews>
  <sheetFormatPr defaultRowHeight="17" x14ac:dyDescent="0.45"/>
  <cols>
    <col min="4" max="4" width="9.5" customWidth="1"/>
    <col min="7" max="7" width="10.25" bestFit="1" customWidth="1"/>
    <col min="8" max="8" width="13.5" bestFit="1" customWidth="1"/>
  </cols>
  <sheetData>
    <row r="1" spans="1:12" x14ac:dyDescent="0.45">
      <c r="A1" t="s">
        <v>2</v>
      </c>
      <c r="J1" t="s">
        <v>29</v>
      </c>
      <c r="K1">
        <f>Sheet1!C27</f>
        <v>0</v>
      </c>
    </row>
    <row r="2" spans="1:12" x14ac:dyDescent="0.45">
      <c r="A2" t="s">
        <v>3</v>
      </c>
      <c r="B2" t="s">
        <v>7</v>
      </c>
      <c r="C2" t="s">
        <v>8</v>
      </c>
      <c r="D2" t="s">
        <v>10</v>
      </c>
      <c r="E2" t="s">
        <v>9</v>
      </c>
      <c r="F2" t="s">
        <v>6</v>
      </c>
      <c r="G2" t="s">
        <v>11</v>
      </c>
      <c r="H2" t="s">
        <v>12</v>
      </c>
      <c r="K2" t="s">
        <v>4</v>
      </c>
      <c r="L2" t="s">
        <v>5</v>
      </c>
    </row>
    <row r="3" spans="1:12" x14ac:dyDescent="0.45">
      <c r="A3" cm="1">
        <f t="array" ref="A3:A42">_xlfn.SEQUENCE(40,,0.25,0.25)</f>
        <v>0.25</v>
      </c>
      <c r="G3">
        <f>-C3/A3</f>
        <v>0</v>
      </c>
      <c r="H3" t="e">
        <f>(1/B3-1)/0.25</f>
        <v>#DIV/0!</v>
      </c>
    </row>
    <row r="4" spans="1:12" x14ac:dyDescent="0.45">
      <c r="A4">
        <v>0.5</v>
      </c>
      <c r="G4">
        <f t="shared" ref="G4:G42" si="0">-C4/A4</f>
        <v>0</v>
      </c>
      <c r="H4" t="e">
        <f>(B3/B4-1)/0.25</f>
        <v>#DIV/0!</v>
      </c>
    </row>
    <row r="5" spans="1:12" x14ac:dyDescent="0.45">
      <c r="A5">
        <v>0.75</v>
      </c>
      <c r="G5">
        <f t="shared" si="0"/>
        <v>0</v>
      </c>
      <c r="H5" t="e">
        <f t="shared" ref="H5:H42" si="1">(B4/B5-1)/0.25</f>
        <v>#DIV/0!</v>
      </c>
    </row>
    <row r="6" spans="1:12" x14ac:dyDescent="0.45">
      <c r="A6">
        <v>1</v>
      </c>
      <c r="D6" t="e">
        <f>(1-B6)/(SUM($B$3:B6) *0.25)</f>
        <v>#DIV/0!</v>
      </c>
      <c r="E6">
        <f>VLOOKUP(A6,Sheet1!$P$15:$Q$23,2)/100</f>
        <v>0</v>
      </c>
      <c r="F6" t="e">
        <f>D6-E6</f>
        <v>#DIV/0!</v>
      </c>
      <c r="G6">
        <f t="shared" si="0"/>
        <v>0</v>
      </c>
      <c r="H6" t="e">
        <f t="shared" si="1"/>
        <v>#DIV/0!</v>
      </c>
    </row>
    <row r="7" spans="1:12" x14ac:dyDescent="0.45">
      <c r="A7">
        <v>1.25</v>
      </c>
      <c r="G7">
        <f t="shared" si="0"/>
        <v>0</v>
      </c>
      <c r="H7" t="e">
        <f t="shared" si="1"/>
        <v>#DIV/0!</v>
      </c>
    </row>
    <row r="8" spans="1:12" x14ac:dyDescent="0.45">
      <c r="A8">
        <v>1.5</v>
      </c>
      <c r="G8">
        <f t="shared" si="0"/>
        <v>0</v>
      </c>
      <c r="H8" t="e">
        <f t="shared" si="1"/>
        <v>#DIV/0!</v>
      </c>
    </row>
    <row r="9" spans="1:12" x14ac:dyDescent="0.45">
      <c r="A9">
        <v>1.75</v>
      </c>
      <c r="G9">
        <f t="shared" si="0"/>
        <v>0</v>
      </c>
      <c r="H9" t="e">
        <f t="shared" si="1"/>
        <v>#DIV/0!</v>
      </c>
    </row>
    <row r="10" spans="1:12" x14ac:dyDescent="0.45">
      <c r="A10">
        <v>2</v>
      </c>
      <c r="D10" t="e">
        <f>(1-B10)/(SUM($B$3:B10) *0.25)</f>
        <v>#DIV/0!</v>
      </c>
      <c r="E10">
        <f>VLOOKUP(A10,Sheet1!$P$15:$Q$23,2)/100</f>
        <v>0</v>
      </c>
      <c r="F10" t="e">
        <f>D10-E10</f>
        <v>#DIV/0!</v>
      </c>
      <c r="G10">
        <f t="shared" si="0"/>
        <v>0</v>
      </c>
      <c r="H10" t="e">
        <f t="shared" si="1"/>
        <v>#DIV/0!</v>
      </c>
    </row>
    <row r="11" spans="1:12" x14ac:dyDescent="0.45">
      <c r="A11">
        <v>2.25</v>
      </c>
      <c r="G11">
        <f t="shared" si="0"/>
        <v>0</v>
      </c>
      <c r="H11" t="e">
        <f t="shared" si="1"/>
        <v>#DIV/0!</v>
      </c>
    </row>
    <row r="12" spans="1:12" x14ac:dyDescent="0.45">
      <c r="A12">
        <v>2.5</v>
      </c>
      <c r="G12">
        <f t="shared" si="0"/>
        <v>0</v>
      </c>
      <c r="H12" t="e">
        <f t="shared" si="1"/>
        <v>#DIV/0!</v>
      </c>
    </row>
    <row r="13" spans="1:12" x14ac:dyDescent="0.45">
      <c r="A13">
        <v>2.75</v>
      </c>
      <c r="G13">
        <f t="shared" si="0"/>
        <v>0</v>
      </c>
      <c r="H13" t="e">
        <f t="shared" si="1"/>
        <v>#DIV/0!</v>
      </c>
    </row>
    <row r="14" spans="1:12" x14ac:dyDescent="0.45">
      <c r="A14">
        <v>3</v>
      </c>
      <c r="D14" t="e">
        <f>(1-B14)/(SUM($B$3:B14) *0.25)</f>
        <v>#DIV/0!</v>
      </c>
      <c r="E14">
        <f>VLOOKUP(A14,Sheet1!$P$15:$Q$23,2)/100</f>
        <v>0</v>
      </c>
      <c r="F14" t="e">
        <f>D14-E14</f>
        <v>#DIV/0!</v>
      </c>
      <c r="G14">
        <f t="shared" si="0"/>
        <v>0</v>
      </c>
      <c r="H14" t="e">
        <f t="shared" si="1"/>
        <v>#DIV/0!</v>
      </c>
    </row>
    <row r="15" spans="1:12" x14ac:dyDescent="0.45">
      <c r="A15">
        <v>3.25</v>
      </c>
      <c r="G15">
        <f t="shared" si="0"/>
        <v>0</v>
      </c>
      <c r="H15" t="e">
        <f t="shared" si="1"/>
        <v>#DIV/0!</v>
      </c>
    </row>
    <row r="16" spans="1:12" x14ac:dyDescent="0.45">
      <c r="A16">
        <v>3.5</v>
      </c>
      <c r="G16">
        <f t="shared" si="0"/>
        <v>0</v>
      </c>
      <c r="H16" t="e">
        <f t="shared" si="1"/>
        <v>#DIV/0!</v>
      </c>
    </row>
    <row r="17" spans="1:8" x14ac:dyDescent="0.45">
      <c r="A17">
        <v>3.75</v>
      </c>
      <c r="G17">
        <f t="shared" si="0"/>
        <v>0</v>
      </c>
      <c r="H17" t="e">
        <f t="shared" si="1"/>
        <v>#DIV/0!</v>
      </c>
    </row>
    <row r="18" spans="1:8" x14ac:dyDescent="0.45">
      <c r="A18">
        <v>4</v>
      </c>
      <c r="D18" t="e">
        <f>(1-B18)/(SUM($B$3:B18) *0.25)</f>
        <v>#DIV/0!</v>
      </c>
      <c r="E18">
        <f>VLOOKUP(A18,Sheet1!$P$15:$Q$23,2)/100</f>
        <v>0</v>
      </c>
      <c r="F18" t="e">
        <f>D18-E18</f>
        <v>#DIV/0!</v>
      </c>
      <c r="G18">
        <f t="shared" si="0"/>
        <v>0</v>
      </c>
      <c r="H18" t="e">
        <f t="shared" si="1"/>
        <v>#DIV/0!</v>
      </c>
    </row>
    <row r="19" spans="1:8" x14ac:dyDescent="0.45">
      <c r="A19">
        <v>4.25</v>
      </c>
      <c r="G19">
        <f t="shared" si="0"/>
        <v>0</v>
      </c>
      <c r="H19" t="e">
        <f t="shared" si="1"/>
        <v>#DIV/0!</v>
      </c>
    </row>
    <row r="20" spans="1:8" x14ac:dyDescent="0.45">
      <c r="A20">
        <v>4.5</v>
      </c>
      <c r="G20">
        <f t="shared" si="0"/>
        <v>0</v>
      </c>
      <c r="H20" t="e">
        <f t="shared" si="1"/>
        <v>#DIV/0!</v>
      </c>
    </row>
    <row r="21" spans="1:8" x14ac:dyDescent="0.45">
      <c r="A21">
        <v>4.75</v>
      </c>
      <c r="G21">
        <f t="shared" si="0"/>
        <v>0</v>
      </c>
      <c r="H21" t="e">
        <f t="shared" si="1"/>
        <v>#DIV/0!</v>
      </c>
    </row>
    <row r="22" spans="1:8" x14ac:dyDescent="0.45">
      <c r="A22">
        <v>5</v>
      </c>
      <c r="D22" t="e">
        <f>(1-B22)/(SUM($B$3:B22) *0.25)</f>
        <v>#DIV/0!</v>
      </c>
      <c r="E22">
        <f>VLOOKUP(A22,Sheet1!$P$15:$Q$23,2)/100</f>
        <v>0</v>
      </c>
      <c r="F22" t="e">
        <f>D22-E22</f>
        <v>#DIV/0!</v>
      </c>
      <c r="G22">
        <f t="shared" si="0"/>
        <v>0</v>
      </c>
      <c r="H22" t="e">
        <f t="shared" si="1"/>
        <v>#DIV/0!</v>
      </c>
    </row>
    <row r="23" spans="1:8" x14ac:dyDescent="0.45">
      <c r="A23">
        <v>5.25</v>
      </c>
      <c r="G23">
        <f t="shared" si="0"/>
        <v>0</v>
      </c>
      <c r="H23" t="e">
        <f t="shared" si="1"/>
        <v>#DIV/0!</v>
      </c>
    </row>
    <row r="24" spans="1:8" x14ac:dyDescent="0.45">
      <c r="A24">
        <v>5.5</v>
      </c>
      <c r="G24">
        <f t="shared" si="0"/>
        <v>0</v>
      </c>
      <c r="H24" t="e">
        <f t="shared" si="1"/>
        <v>#DIV/0!</v>
      </c>
    </row>
    <row r="25" spans="1:8" x14ac:dyDescent="0.45">
      <c r="A25">
        <v>5.75</v>
      </c>
      <c r="G25">
        <f t="shared" si="0"/>
        <v>0</v>
      </c>
      <c r="H25" t="e">
        <f t="shared" si="1"/>
        <v>#DIV/0!</v>
      </c>
    </row>
    <row r="26" spans="1:8" x14ac:dyDescent="0.45">
      <c r="A26">
        <v>6</v>
      </c>
      <c r="G26">
        <f t="shared" si="0"/>
        <v>0</v>
      </c>
      <c r="H26" t="e">
        <f t="shared" si="1"/>
        <v>#DIV/0!</v>
      </c>
    </row>
    <row r="27" spans="1:8" x14ac:dyDescent="0.45">
      <c r="A27">
        <v>6.25</v>
      </c>
      <c r="G27">
        <f t="shared" si="0"/>
        <v>0</v>
      </c>
      <c r="H27" t="e">
        <f t="shared" si="1"/>
        <v>#DIV/0!</v>
      </c>
    </row>
    <row r="28" spans="1:8" x14ac:dyDescent="0.45">
      <c r="A28">
        <v>6.5</v>
      </c>
      <c r="G28">
        <f t="shared" si="0"/>
        <v>0</v>
      </c>
      <c r="H28" t="e">
        <f t="shared" si="1"/>
        <v>#DIV/0!</v>
      </c>
    </row>
    <row r="29" spans="1:8" x14ac:dyDescent="0.45">
      <c r="A29">
        <v>6.75</v>
      </c>
      <c r="G29">
        <f t="shared" si="0"/>
        <v>0</v>
      </c>
      <c r="H29" t="e">
        <f t="shared" si="1"/>
        <v>#DIV/0!</v>
      </c>
    </row>
    <row r="30" spans="1:8" x14ac:dyDescent="0.45">
      <c r="A30">
        <v>7</v>
      </c>
      <c r="D30" t="e">
        <f>(1-B30)/(SUM($B$3:B30) *0.25)</f>
        <v>#DIV/0!</v>
      </c>
      <c r="E30">
        <f>VLOOKUP(A30,Sheet1!$P$15:$Q$23,2)/100</f>
        <v>0</v>
      </c>
      <c r="F30" t="e">
        <f>D30-E30</f>
        <v>#DIV/0!</v>
      </c>
      <c r="G30">
        <f t="shared" si="0"/>
        <v>0</v>
      </c>
      <c r="H30" t="e">
        <f t="shared" si="1"/>
        <v>#DIV/0!</v>
      </c>
    </row>
    <row r="31" spans="1:8" x14ac:dyDescent="0.45">
      <c r="A31">
        <v>7.25</v>
      </c>
      <c r="G31">
        <f t="shared" si="0"/>
        <v>0</v>
      </c>
      <c r="H31" t="e">
        <f t="shared" si="1"/>
        <v>#DIV/0!</v>
      </c>
    </row>
    <row r="32" spans="1:8" x14ac:dyDescent="0.45">
      <c r="A32">
        <v>7.5</v>
      </c>
      <c r="G32">
        <f t="shared" si="0"/>
        <v>0</v>
      </c>
      <c r="H32" t="e">
        <f t="shared" si="1"/>
        <v>#DIV/0!</v>
      </c>
    </row>
    <row r="33" spans="1:12" x14ac:dyDescent="0.45">
      <c r="A33">
        <v>7.75</v>
      </c>
      <c r="G33">
        <f t="shared" si="0"/>
        <v>0</v>
      </c>
      <c r="H33" t="e">
        <f t="shared" si="1"/>
        <v>#DIV/0!</v>
      </c>
    </row>
    <row r="34" spans="1:12" x14ac:dyDescent="0.45">
      <c r="A34">
        <v>8</v>
      </c>
      <c r="G34">
        <f t="shared" si="0"/>
        <v>0</v>
      </c>
      <c r="H34" t="e">
        <f t="shared" si="1"/>
        <v>#DIV/0!</v>
      </c>
    </row>
    <row r="35" spans="1:12" x14ac:dyDescent="0.45">
      <c r="A35">
        <v>8.25</v>
      </c>
      <c r="G35">
        <f t="shared" si="0"/>
        <v>0</v>
      </c>
      <c r="H35" t="e">
        <f t="shared" si="1"/>
        <v>#DIV/0!</v>
      </c>
      <c r="J35" t="s">
        <v>16</v>
      </c>
      <c r="K35">
        <f>SUM(K3:K34)</f>
        <v>0</v>
      </c>
      <c r="L35">
        <f>SUM(L3:L34)</f>
        <v>0</v>
      </c>
    </row>
    <row r="36" spans="1:12" x14ac:dyDescent="0.45">
      <c r="A36">
        <v>8.5</v>
      </c>
      <c r="G36">
        <f t="shared" si="0"/>
        <v>0</v>
      </c>
      <c r="H36" t="e">
        <f t="shared" si="1"/>
        <v>#DIV/0!</v>
      </c>
    </row>
    <row r="37" spans="1:12" x14ac:dyDescent="0.45">
      <c r="A37">
        <v>8.75</v>
      </c>
      <c r="G37">
        <f t="shared" si="0"/>
        <v>0</v>
      </c>
      <c r="H37" t="e">
        <f t="shared" si="1"/>
        <v>#DIV/0!</v>
      </c>
    </row>
    <row r="38" spans="1:12" x14ac:dyDescent="0.45">
      <c r="A38">
        <v>9</v>
      </c>
      <c r="G38">
        <f t="shared" si="0"/>
        <v>0</v>
      </c>
      <c r="H38" t="e">
        <f t="shared" si="1"/>
        <v>#DIV/0!</v>
      </c>
    </row>
    <row r="39" spans="1:12" x14ac:dyDescent="0.45">
      <c r="A39">
        <v>9.25</v>
      </c>
      <c r="G39">
        <f t="shared" si="0"/>
        <v>0</v>
      </c>
      <c r="H39" t="e">
        <f t="shared" si="1"/>
        <v>#DIV/0!</v>
      </c>
    </row>
    <row r="40" spans="1:12" x14ac:dyDescent="0.45">
      <c r="A40">
        <v>9.5</v>
      </c>
      <c r="G40">
        <f t="shared" si="0"/>
        <v>0</v>
      </c>
      <c r="H40" t="e">
        <f t="shared" si="1"/>
        <v>#DIV/0!</v>
      </c>
    </row>
    <row r="41" spans="1:12" x14ac:dyDescent="0.45">
      <c r="A41">
        <v>9.75</v>
      </c>
      <c r="G41">
        <f t="shared" si="0"/>
        <v>0</v>
      </c>
      <c r="H41" t="e">
        <f t="shared" si="1"/>
        <v>#DIV/0!</v>
      </c>
    </row>
    <row r="42" spans="1:12" x14ac:dyDescent="0.45">
      <c r="A42">
        <v>10</v>
      </c>
      <c r="D42" t="e">
        <f>(1-B42)/(SUM($B$3:B42) *0.25)</f>
        <v>#DIV/0!</v>
      </c>
      <c r="E42">
        <f>VLOOKUP(A42,Sheet1!$P$15:$Q$23,2)/100</f>
        <v>0</v>
      </c>
      <c r="F42" t="e">
        <f>D42-E42</f>
        <v>#DIV/0!</v>
      </c>
      <c r="G42">
        <f t="shared" si="0"/>
        <v>0</v>
      </c>
      <c r="H42" t="e">
        <f t="shared" si="1"/>
        <v>#DIV/0!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449EB-8486-4035-B3E5-C867A047E265}">
  <dimension ref="A1:L42"/>
  <sheetViews>
    <sheetView workbookViewId="0">
      <selection activeCell="I1" sqref="I1:K1048576"/>
    </sheetView>
  </sheetViews>
  <sheetFormatPr defaultRowHeight="17" x14ac:dyDescent="0.45"/>
  <cols>
    <col min="4" max="4" width="9.5" customWidth="1"/>
    <col min="7" max="7" width="10.25" bestFit="1" customWidth="1"/>
    <col min="8" max="8" width="13.5" bestFit="1" customWidth="1"/>
  </cols>
  <sheetData>
    <row r="1" spans="1:12" x14ac:dyDescent="0.45">
      <c r="A1" t="s">
        <v>2</v>
      </c>
      <c r="J1" t="s">
        <v>29</v>
      </c>
      <c r="K1">
        <f>Sheet1!C27</f>
        <v>0</v>
      </c>
    </row>
    <row r="2" spans="1:12" x14ac:dyDescent="0.45">
      <c r="A2" t="s">
        <v>3</v>
      </c>
      <c r="B2" t="s">
        <v>7</v>
      </c>
      <c r="C2" t="s">
        <v>8</v>
      </c>
      <c r="D2" t="s">
        <v>10</v>
      </c>
      <c r="E2" t="s">
        <v>9</v>
      </c>
      <c r="F2" t="s">
        <v>6</v>
      </c>
      <c r="G2" t="s">
        <v>11</v>
      </c>
      <c r="H2" t="s">
        <v>12</v>
      </c>
      <c r="K2" t="s">
        <v>4</v>
      </c>
      <c r="L2" t="s">
        <v>5</v>
      </c>
    </row>
    <row r="3" spans="1:12" x14ac:dyDescent="0.45">
      <c r="A3" cm="1">
        <f t="array" ref="A3:A42">_xlfn.SEQUENCE(40,,0.25,0.25)</f>
        <v>0.25</v>
      </c>
      <c r="G3">
        <f>-C3/A3</f>
        <v>0</v>
      </c>
      <c r="H3" t="e">
        <f>(1/B3-1)/0.25</f>
        <v>#DIV/0!</v>
      </c>
    </row>
    <row r="4" spans="1:12" x14ac:dyDescent="0.45">
      <c r="A4">
        <v>0.5</v>
      </c>
      <c r="G4">
        <f t="shared" ref="G4:G42" si="0">-C4/A4</f>
        <v>0</v>
      </c>
      <c r="H4" t="e">
        <f>(B3/B4-1)/0.25</f>
        <v>#DIV/0!</v>
      </c>
    </row>
    <row r="5" spans="1:12" x14ac:dyDescent="0.45">
      <c r="A5">
        <v>0.75</v>
      </c>
      <c r="G5">
        <f t="shared" si="0"/>
        <v>0</v>
      </c>
      <c r="H5" t="e">
        <f t="shared" ref="H5:H42" si="1">(B4/B5-1)/0.25</f>
        <v>#DIV/0!</v>
      </c>
    </row>
    <row r="6" spans="1:12" x14ac:dyDescent="0.45">
      <c r="A6">
        <v>1</v>
      </c>
      <c r="D6" t="e">
        <f>(1-B6)/(SUM($B$3:B6) *0.25)</f>
        <v>#DIV/0!</v>
      </c>
      <c r="E6">
        <f>VLOOKUP(A6,Sheet1!$S$15:$T$23,2)/100</f>
        <v>0</v>
      </c>
      <c r="F6" t="e">
        <f>D6-E6</f>
        <v>#DIV/0!</v>
      </c>
      <c r="G6">
        <f t="shared" si="0"/>
        <v>0</v>
      </c>
      <c r="H6" t="e">
        <f t="shared" si="1"/>
        <v>#DIV/0!</v>
      </c>
    </row>
    <row r="7" spans="1:12" x14ac:dyDescent="0.45">
      <c r="A7">
        <v>1.25</v>
      </c>
      <c r="G7">
        <f t="shared" si="0"/>
        <v>0</v>
      </c>
      <c r="H7" t="e">
        <f t="shared" si="1"/>
        <v>#DIV/0!</v>
      </c>
    </row>
    <row r="8" spans="1:12" x14ac:dyDescent="0.45">
      <c r="A8">
        <v>1.5</v>
      </c>
      <c r="G8">
        <f t="shared" si="0"/>
        <v>0</v>
      </c>
      <c r="H8" t="e">
        <f t="shared" si="1"/>
        <v>#DIV/0!</v>
      </c>
    </row>
    <row r="9" spans="1:12" x14ac:dyDescent="0.45">
      <c r="A9">
        <v>1.75</v>
      </c>
      <c r="G9">
        <f t="shared" si="0"/>
        <v>0</v>
      </c>
      <c r="H9" t="e">
        <f t="shared" si="1"/>
        <v>#DIV/0!</v>
      </c>
    </row>
    <row r="10" spans="1:12" x14ac:dyDescent="0.45">
      <c r="A10">
        <v>2</v>
      </c>
      <c r="D10" t="e">
        <f>(1-B10)/(SUM($B$3:B10) *0.25)</f>
        <v>#DIV/0!</v>
      </c>
      <c r="E10">
        <f>VLOOKUP(A10,Sheet1!$S$15:$T$23,2)/100</f>
        <v>0</v>
      </c>
      <c r="F10" t="e">
        <f>D10-E10</f>
        <v>#DIV/0!</v>
      </c>
      <c r="G10">
        <f t="shared" si="0"/>
        <v>0</v>
      </c>
      <c r="H10" t="e">
        <f t="shared" si="1"/>
        <v>#DIV/0!</v>
      </c>
    </row>
    <row r="11" spans="1:12" x14ac:dyDescent="0.45">
      <c r="A11">
        <v>2.25</v>
      </c>
      <c r="G11">
        <f t="shared" si="0"/>
        <v>0</v>
      </c>
      <c r="H11" t="e">
        <f t="shared" si="1"/>
        <v>#DIV/0!</v>
      </c>
    </row>
    <row r="12" spans="1:12" x14ac:dyDescent="0.45">
      <c r="A12">
        <v>2.5</v>
      </c>
      <c r="G12">
        <f t="shared" si="0"/>
        <v>0</v>
      </c>
      <c r="H12" t="e">
        <f t="shared" si="1"/>
        <v>#DIV/0!</v>
      </c>
    </row>
    <row r="13" spans="1:12" x14ac:dyDescent="0.45">
      <c r="A13">
        <v>2.75</v>
      </c>
      <c r="G13">
        <f t="shared" si="0"/>
        <v>0</v>
      </c>
      <c r="H13" t="e">
        <f t="shared" si="1"/>
        <v>#DIV/0!</v>
      </c>
    </row>
    <row r="14" spans="1:12" x14ac:dyDescent="0.45">
      <c r="A14">
        <v>3</v>
      </c>
      <c r="D14" t="e">
        <f>(1-B14)/(SUM($B$3:B14) *0.25)</f>
        <v>#DIV/0!</v>
      </c>
      <c r="E14">
        <f>VLOOKUP(A14,Sheet1!$S$15:$T$23,2)/100</f>
        <v>0</v>
      </c>
      <c r="F14" t="e">
        <f>D14-E14</f>
        <v>#DIV/0!</v>
      </c>
      <c r="G14">
        <f t="shared" si="0"/>
        <v>0</v>
      </c>
      <c r="H14" t="e">
        <f t="shared" si="1"/>
        <v>#DIV/0!</v>
      </c>
    </row>
    <row r="15" spans="1:12" x14ac:dyDescent="0.45">
      <c r="A15">
        <v>3.25</v>
      </c>
      <c r="G15">
        <f t="shared" si="0"/>
        <v>0</v>
      </c>
      <c r="H15" t="e">
        <f t="shared" si="1"/>
        <v>#DIV/0!</v>
      </c>
    </row>
    <row r="16" spans="1:12" x14ac:dyDescent="0.45">
      <c r="A16">
        <v>3.5</v>
      </c>
      <c r="G16">
        <f t="shared" si="0"/>
        <v>0</v>
      </c>
      <c r="H16" t="e">
        <f t="shared" si="1"/>
        <v>#DIV/0!</v>
      </c>
    </row>
    <row r="17" spans="1:8" x14ac:dyDescent="0.45">
      <c r="A17">
        <v>3.75</v>
      </c>
      <c r="G17">
        <f t="shared" si="0"/>
        <v>0</v>
      </c>
      <c r="H17" t="e">
        <f t="shared" si="1"/>
        <v>#DIV/0!</v>
      </c>
    </row>
    <row r="18" spans="1:8" x14ac:dyDescent="0.45">
      <c r="A18">
        <v>4</v>
      </c>
      <c r="D18" t="e">
        <f>(1-B18)/(SUM($B$3:B18) *0.25)</f>
        <v>#DIV/0!</v>
      </c>
      <c r="E18">
        <f>VLOOKUP(A18,Sheet1!$S$15:$T$23,2)/100</f>
        <v>0</v>
      </c>
      <c r="F18" t="e">
        <f>D18-E18</f>
        <v>#DIV/0!</v>
      </c>
      <c r="G18">
        <f t="shared" si="0"/>
        <v>0</v>
      </c>
      <c r="H18" t="e">
        <f t="shared" si="1"/>
        <v>#DIV/0!</v>
      </c>
    </row>
    <row r="19" spans="1:8" x14ac:dyDescent="0.45">
      <c r="A19">
        <v>4.25</v>
      </c>
      <c r="G19">
        <f t="shared" si="0"/>
        <v>0</v>
      </c>
      <c r="H19" t="e">
        <f t="shared" si="1"/>
        <v>#DIV/0!</v>
      </c>
    </row>
    <row r="20" spans="1:8" x14ac:dyDescent="0.45">
      <c r="A20">
        <v>4.5</v>
      </c>
      <c r="G20">
        <f t="shared" si="0"/>
        <v>0</v>
      </c>
      <c r="H20" t="e">
        <f t="shared" si="1"/>
        <v>#DIV/0!</v>
      </c>
    </row>
    <row r="21" spans="1:8" x14ac:dyDescent="0.45">
      <c r="A21">
        <v>4.75</v>
      </c>
      <c r="G21">
        <f t="shared" si="0"/>
        <v>0</v>
      </c>
      <c r="H21" t="e">
        <f t="shared" si="1"/>
        <v>#DIV/0!</v>
      </c>
    </row>
    <row r="22" spans="1:8" x14ac:dyDescent="0.45">
      <c r="A22">
        <v>5</v>
      </c>
      <c r="D22" t="e">
        <f>(1-B22)/(SUM($B$3:B22) *0.25)</f>
        <v>#DIV/0!</v>
      </c>
      <c r="E22">
        <f>VLOOKUP(A22,Sheet1!$S$15:$T$23,2)/100</f>
        <v>0</v>
      </c>
      <c r="F22" t="e">
        <f>D22-E22</f>
        <v>#DIV/0!</v>
      </c>
      <c r="G22">
        <f t="shared" si="0"/>
        <v>0</v>
      </c>
      <c r="H22" t="e">
        <f t="shared" si="1"/>
        <v>#DIV/0!</v>
      </c>
    </row>
    <row r="23" spans="1:8" x14ac:dyDescent="0.45">
      <c r="A23">
        <v>5.25</v>
      </c>
      <c r="G23">
        <f t="shared" si="0"/>
        <v>0</v>
      </c>
      <c r="H23" t="e">
        <f t="shared" si="1"/>
        <v>#DIV/0!</v>
      </c>
    </row>
    <row r="24" spans="1:8" x14ac:dyDescent="0.45">
      <c r="A24">
        <v>5.5</v>
      </c>
      <c r="G24">
        <f t="shared" si="0"/>
        <v>0</v>
      </c>
      <c r="H24" t="e">
        <f t="shared" si="1"/>
        <v>#DIV/0!</v>
      </c>
    </row>
    <row r="25" spans="1:8" x14ac:dyDescent="0.45">
      <c r="A25">
        <v>5.75</v>
      </c>
      <c r="G25">
        <f t="shared" si="0"/>
        <v>0</v>
      </c>
      <c r="H25" t="e">
        <f t="shared" si="1"/>
        <v>#DIV/0!</v>
      </c>
    </row>
    <row r="26" spans="1:8" x14ac:dyDescent="0.45">
      <c r="A26">
        <v>6</v>
      </c>
      <c r="G26">
        <f t="shared" si="0"/>
        <v>0</v>
      </c>
      <c r="H26" t="e">
        <f t="shared" si="1"/>
        <v>#DIV/0!</v>
      </c>
    </row>
    <row r="27" spans="1:8" x14ac:dyDescent="0.45">
      <c r="A27">
        <v>6.25</v>
      </c>
      <c r="G27">
        <f t="shared" si="0"/>
        <v>0</v>
      </c>
      <c r="H27" t="e">
        <f t="shared" si="1"/>
        <v>#DIV/0!</v>
      </c>
    </row>
    <row r="28" spans="1:8" x14ac:dyDescent="0.45">
      <c r="A28">
        <v>6.5</v>
      </c>
      <c r="G28">
        <f t="shared" si="0"/>
        <v>0</v>
      </c>
      <c r="H28" t="e">
        <f t="shared" si="1"/>
        <v>#DIV/0!</v>
      </c>
    </row>
    <row r="29" spans="1:8" x14ac:dyDescent="0.45">
      <c r="A29">
        <v>6.75</v>
      </c>
      <c r="G29">
        <f t="shared" si="0"/>
        <v>0</v>
      </c>
      <c r="H29" t="e">
        <f t="shared" si="1"/>
        <v>#DIV/0!</v>
      </c>
    </row>
    <row r="30" spans="1:8" x14ac:dyDescent="0.45">
      <c r="A30">
        <v>7</v>
      </c>
      <c r="D30" t="e">
        <f>(1-B30)/(SUM($B$3:B30) *0.25)</f>
        <v>#DIV/0!</v>
      </c>
      <c r="E30">
        <f>VLOOKUP(A30,Sheet1!$S$15:$T$23,2)/100</f>
        <v>0</v>
      </c>
      <c r="F30" t="e">
        <f>D30-E30</f>
        <v>#DIV/0!</v>
      </c>
      <c r="G30">
        <f t="shared" si="0"/>
        <v>0</v>
      </c>
      <c r="H30" t="e">
        <f t="shared" si="1"/>
        <v>#DIV/0!</v>
      </c>
    </row>
    <row r="31" spans="1:8" x14ac:dyDescent="0.45">
      <c r="A31">
        <v>7.25</v>
      </c>
      <c r="G31">
        <f t="shared" si="0"/>
        <v>0</v>
      </c>
      <c r="H31" t="e">
        <f t="shared" si="1"/>
        <v>#DIV/0!</v>
      </c>
    </row>
    <row r="32" spans="1:8" x14ac:dyDescent="0.45">
      <c r="A32">
        <v>7.5</v>
      </c>
      <c r="G32">
        <f t="shared" si="0"/>
        <v>0</v>
      </c>
      <c r="H32" t="e">
        <f t="shared" si="1"/>
        <v>#DIV/0!</v>
      </c>
    </row>
    <row r="33" spans="1:12" x14ac:dyDescent="0.45">
      <c r="A33">
        <v>7.75</v>
      </c>
      <c r="G33">
        <f t="shared" si="0"/>
        <v>0</v>
      </c>
      <c r="H33" t="e">
        <f t="shared" si="1"/>
        <v>#DIV/0!</v>
      </c>
    </row>
    <row r="34" spans="1:12" x14ac:dyDescent="0.45">
      <c r="A34">
        <v>8</v>
      </c>
      <c r="G34">
        <f t="shared" si="0"/>
        <v>0</v>
      </c>
      <c r="H34" t="e">
        <f t="shared" si="1"/>
        <v>#DIV/0!</v>
      </c>
    </row>
    <row r="35" spans="1:12" x14ac:dyDescent="0.45">
      <c r="A35">
        <v>8.25</v>
      </c>
      <c r="G35">
        <f t="shared" si="0"/>
        <v>0</v>
      </c>
      <c r="H35" t="e">
        <f t="shared" si="1"/>
        <v>#DIV/0!</v>
      </c>
      <c r="J35" t="s">
        <v>16</v>
      </c>
      <c r="K35">
        <f>SUM(K3:K34)</f>
        <v>0</v>
      </c>
      <c r="L35">
        <f>SUM(L3:L34)</f>
        <v>0</v>
      </c>
    </row>
    <row r="36" spans="1:12" x14ac:dyDescent="0.45">
      <c r="A36">
        <v>8.5</v>
      </c>
      <c r="G36">
        <f t="shared" si="0"/>
        <v>0</v>
      </c>
      <c r="H36" t="e">
        <f t="shared" si="1"/>
        <v>#DIV/0!</v>
      </c>
    </row>
    <row r="37" spans="1:12" x14ac:dyDescent="0.45">
      <c r="A37">
        <v>8.75</v>
      </c>
      <c r="G37">
        <f t="shared" si="0"/>
        <v>0</v>
      </c>
      <c r="H37" t="e">
        <f t="shared" si="1"/>
        <v>#DIV/0!</v>
      </c>
    </row>
    <row r="38" spans="1:12" x14ac:dyDescent="0.45">
      <c r="A38">
        <v>9</v>
      </c>
      <c r="G38">
        <f t="shared" si="0"/>
        <v>0</v>
      </c>
      <c r="H38" t="e">
        <f t="shared" si="1"/>
        <v>#DIV/0!</v>
      </c>
    </row>
    <row r="39" spans="1:12" x14ac:dyDescent="0.45">
      <c r="A39">
        <v>9.25</v>
      </c>
      <c r="G39">
        <f t="shared" si="0"/>
        <v>0</v>
      </c>
      <c r="H39" t="e">
        <f t="shared" si="1"/>
        <v>#DIV/0!</v>
      </c>
    </row>
    <row r="40" spans="1:12" x14ac:dyDescent="0.45">
      <c r="A40">
        <v>9.5</v>
      </c>
      <c r="G40">
        <f t="shared" si="0"/>
        <v>0</v>
      </c>
      <c r="H40" t="e">
        <f t="shared" si="1"/>
        <v>#DIV/0!</v>
      </c>
    </row>
    <row r="41" spans="1:12" x14ac:dyDescent="0.45">
      <c r="A41">
        <v>9.75</v>
      </c>
      <c r="G41">
        <f t="shared" si="0"/>
        <v>0</v>
      </c>
      <c r="H41" t="e">
        <f t="shared" si="1"/>
        <v>#DIV/0!</v>
      </c>
    </row>
    <row r="42" spans="1:12" x14ac:dyDescent="0.45">
      <c r="A42">
        <v>10</v>
      </c>
      <c r="D42" t="e">
        <f>(1-B42)/(SUM($B$3:B42) *0.25)</f>
        <v>#DIV/0!</v>
      </c>
      <c r="E42">
        <f>VLOOKUP(A42,Sheet1!$S$15:$T$23,2)/100</f>
        <v>0</v>
      </c>
      <c r="F42" t="e">
        <f>D42-E42</f>
        <v>#DIV/0!</v>
      </c>
      <c r="G42">
        <f t="shared" si="0"/>
        <v>0</v>
      </c>
      <c r="H42" t="e">
        <f t="shared" si="1"/>
        <v>#DIV/0!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34DD9-EE5C-487A-90A8-916E6B31AA81}">
  <dimension ref="A1:L42"/>
  <sheetViews>
    <sheetView topLeftCell="B1" workbookViewId="0">
      <selection activeCell="Q12" sqref="Q12"/>
    </sheetView>
  </sheetViews>
  <sheetFormatPr defaultRowHeight="17" x14ac:dyDescent="0.45"/>
  <cols>
    <col min="4" max="4" width="9.5" customWidth="1"/>
    <col min="7" max="7" width="10.25" bestFit="1" customWidth="1"/>
    <col min="8" max="8" width="13.5" bestFit="1" customWidth="1"/>
  </cols>
  <sheetData>
    <row r="1" spans="1:12" x14ac:dyDescent="0.45">
      <c r="A1" t="s">
        <v>2</v>
      </c>
      <c r="J1" t="s">
        <v>29</v>
      </c>
      <c r="K1">
        <f>Sheet1!C27</f>
        <v>0</v>
      </c>
    </row>
    <row r="2" spans="1:12" x14ac:dyDescent="0.45">
      <c r="A2" t="s">
        <v>3</v>
      </c>
      <c r="B2" t="s">
        <v>7</v>
      </c>
      <c r="C2" t="s">
        <v>8</v>
      </c>
      <c r="D2" t="s">
        <v>10</v>
      </c>
      <c r="E2" t="s">
        <v>9</v>
      </c>
      <c r="F2" t="s">
        <v>6</v>
      </c>
      <c r="G2" t="s">
        <v>11</v>
      </c>
      <c r="H2" t="s">
        <v>12</v>
      </c>
      <c r="K2" t="s">
        <v>4</v>
      </c>
      <c r="L2" t="s">
        <v>5</v>
      </c>
    </row>
    <row r="3" spans="1:12" x14ac:dyDescent="0.45">
      <c r="A3" cm="1">
        <f t="array" ref="A3:A42">_xlfn.SEQUENCE(40,,0.25,0.25)</f>
        <v>0.25</v>
      </c>
      <c r="G3">
        <f>-C3/A3</f>
        <v>0</v>
      </c>
      <c r="H3" t="e">
        <f>(1/B3-1)/0.25</f>
        <v>#DIV/0!</v>
      </c>
    </row>
    <row r="4" spans="1:12" x14ac:dyDescent="0.45">
      <c r="A4">
        <v>0.5</v>
      </c>
      <c r="G4">
        <f t="shared" ref="G4:G42" si="0">-C4/A4</f>
        <v>0</v>
      </c>
      <c r="H4" t="e">
        <f>(B3/B4-1)/0.25</f>
        <v>#DIV/0!</v>
      </c>
    </row>
    <row r="5" spans="1:12" x14ac:dyDescent="0.45">
      <c r="A5">
        <v>0.75</v>
      </c>
      <c r="G5">
        <f t="shared" si="0"/>
        <v>0</v>
      </c>
      <c r="H5" t="e">
        <f t="shared" ref="H5:H42" si="1">(B4/B5-1)/0.25</f>
        <v>#DIV/0!</v>
      </c>
    </row>
    <row r="6" spans="1:12" x14ac:dyDescent="0.45">
      <c r="A6">
        <v>1</v>
      </c>
      <c r="D6" t="e">
        <f>(1-B6)/(SUM($B$3:B6) *0.25)</f>
        <v>#DIV/0!</v>
      </c>
      <c r="E6">
        <f>VLOOKUP(A6,Sheet1!$V$15:$W$23,2)/100</f>
        <v>0</v>
      </c>
      <c r="F6" t="e">
        <f>D6-E6</f>
        <v>#DIV/0!</v>
      </c>
      <c r="G6">
        <f t="shared" si="0"/>
        <v>0</v>
      </c>
      <c r="H6" t="e">
        <f t="shared" si="1"/>
        <v>#DIV/0!</v>
      </c>
    </row>
    <row r="7" spans="1:12" x14ac:dyDescent="0.45">
      <c r="A7">
        <v>1.25</v>
      </c>
      <c r="G7">
        <f t="shared" si="0"/>
        <v>0</v>
      </c>
      <c r="H7" t="e">
        <f t="shared" si="1"/>
        <v>#DIV/0!</v>
      </c>
    </row>
    <row r="8" spans="1:12" x14ac:dyDescent="0.45">
      <c r="A8">
        <v>1.5</v>
      </c>
      <c r="G8">
        <f t="shared" si="0"/>
        <v>0</v>
      </c>
      <c r="H8" t="e">
        <f t="shared" si="1"/>
        <v>#DIV/0!</v>
      </c>
    </row>
    <row r="9" spans="1:12" x14ac:dyDescent="0.45">
      <c r="A9">
        <v>1.75</v>
      </c>
      <c r="G9">
        <f t="shared" si="0"/>
        <v>0</v>
      </c>
      <c r="H9" t="e">
        <f t="shared" si="1"/>
        <v>#DIV/0!</v>
      </c>
    </row>
    <row r="10" spans="1:12" x14ac:dyDescent="0.45">
      <c r="A10">
        <v>2</v>
      </c>
      <c r="D10" t="e">
        <f>(1-B10)/(SUM($B$3:B10) *0.25)</f>
        <v>#DIV/0!</v>
      </c>
      <c r="E10">
        <f>VLOOKUP(A10,Sheet1!$V$15:$W$23,2)/100</f>
        <v>0</v>
      </c>
      <c r="F10" t="e">
        <f>D10-E10</f>
        <v>#DIV/0!</v>
      </c>
      <c r="G10">
        <f t="shared" si="0"/>
        <v>0</v>
      </c>
      <c r="H10" t="e">
        <f t="shared" si="1"/>
        <v>#DIV/0!</v>
      </c>
    </row>
    <row r="11" spans="1:12" x14ac:dyDescent="0.45">
      <c r="A11">
        <v>2.25</v>
      </c>
      <c r="G11">
        <f t="shared" si="0"/>
        <v>0</v>
      </c>
      <c r="H11" t="e">
        <f t="shared" si="1"/>
        <v>#DIV/0!</v>
      </c>
    </row>
    <row r="12" spans="1:12" x14ac:dyDescent="0.45">
      <c r="A12">
        <v>2.5</v>
      </c>
      <c r="G12">
        <f t="shared" si="0"/>
        <v>0</v>
      </c>
      <c r="H12" t="e">
        <f t="shared" si="1"/>
        <v>#DIV/0!</v>
      </c>
    </row>
    <row r="13" spans="1:12" x14ac:dyDescent="0.45">
      <c r="A13">
        <v>2.75</v>
      </c>
      <c r="G13">
        <f t="shared" si="0"/>
        <v>0</v>
      </c>
      <c r="H13" t="e">
        <f t="shared" si="1"/>
        <v>#DIV/0!</v>
      </c>
    </row>
    <row r="14" spans="1:12" x14ac:dyDescent="0.45">
      <c r="A14">
        <v>3</v>
      </c>
      <c r="D14" t="e">
        <f>(1-B14)/(SUM($B$3:B14) *0.25)</f>
        <v>#DIV/0!</v>
      </c>
      <c r="E14">
        <f>VLOOKUP(A14,Sheet1!$V$15:$W$23,2)/100</f>
        <v>0</v>
      </c>
      <c r="F14" t="e">
        <f>D14-E14</f>
        <v>#DIV/0!</v>
      </c>
      <c r="G14">
        <f t="shared" si="0"/>
        <v>0</v>
      </c>
      <c r="H14" t="e">
        <f t="shared" si="1"/>
        <v>#DIV/0!</v>
      </c>
    </row>
    <row r="15" spans="1:12" x14ac:dyDescent="0.45">
      <c r="A15">
        <v>3.25</v>
      </c>
      <c r="G15">
        <f t="shared" si="0"/>
        <v>0</v>
      </c>
      <c r="H15" t="e">
        <f t="shared" si="1"/>
        <v>#DIV/0!</v>
      </c>
    </row>
    <row r="16" spans="1:12" x14ac:dyDescent="0.45">
      <c r="A16">
        <v>3.5</v>
      </c>
      <c r="G16">
        <f t="shared" si="0"/>
        <v>0</v>
      </c>
      <c r="H16" t="e">
        <f t="shared" si="1"/>
        <v>#DIV/0!</v>
      </c>
    </row>
    <row r="17" spans="1:8" x14ac:dyDescent="0.45">
      <c r="A17">
        <v>3.75</v>
      </c>
      <c r="G17">
        <f t="shared" si="0"/>
        <v>0</v>
      </c>
      <c r="H17" t="e">
        <f t="shared" si="1"/>
        <v>#DIV/0!</v>
      </c>
    </row>
    <row r="18" spans="1:8" x14ac:dyDescent="0.45">
      <c r="A18">
        <v>4</v>
      </c>
      <c r="D18" t="e">
        <f>(1-B18)/(SUM($B$3:B18) *0.25)</f>
        <v>#DIV/0!</v>
      </c>
      <c r="E18">
        <f>VLOOKUP(A18,Sheet1!$V$15:$W$23,2)/100</f>
        <v>0</v>
      </c>
      <c r="F18" t="e">
        <f>D18-E18</f>
        <v>#DIV/0!</v>
      </c>
      <c r="G18">
        <f t="shared" si="0"/>
        <v>0</v>
      </c>
      <c r="H18" t="e">
        <f t="shared" si="1"/>
        <v>#DIV/0!</v>
      </c>
    </row>
    <row r="19" spans="1:8" x14ac:dyDescent="0.45">
      <c r="A19">
        <v>4.25</v>
      </c>
      <c r="G19">
        <f t="shared" si="0"/>
        <v>0</v>
      </c>
      <c r="H19" t="e">
        <f t="shared" si="1"/>
        <v>#DIV/0!</v>
      </c>
    </row>
    <row r="20" spans="1:8" x14ac:dyDescent="0.45">
      <c r="A20">
        <v>4.5</v>
      </c>
      <c r="G20">
        <f t="shared" si="0"/>
        <v>0</v>
      </c>
      <c r="H20" t="e">
        <f t="shared" si="1"/>
        <v>#DIV/0!</v>
      </c>
    </row>
    <row r="21" spans="1:8" x14ac:dyDescent="0.45">
      <c r="A21">
        <v>4.75</v>
      </c>
      <c r="G21">
        <f t="shared" si="0"/>
        <v>0</v>
      </c>
      <c r="H21" t="e">
        <f t="shared" si="1"/>
        <v>#DIV/0!</v>
      </c>
    </row>
    <row r="22" spans="1:8" x14ac:dyDescent="0.45">
      <c r="A22">
        <v>5</v>
      </c>
      <c r="D22" t="e">
        <f>(1-B22)/(SUM($B$3:B22) *0.25)</f>
        <v>#DIV/0!</v>
      </c>
      <c r="E22">
        <f>VLOOKUP(A22,Sheet1!$V$15:$W$23,2)/100</f>
        <v>0</v>
      </c>
      <c r="F22" t="e">
        <f>D22-E22</f>
        <v>#DIV/0!</v>
      </c>
      <c r="G22">
        <f t="shared" si="0"/>
        <v>0</v>
      </c>
      <c r="H22" t="e">
        <f t="shared" si="1"/>
        <v>#DIV/0!</v>
      </c>
    </row>
    <row r="23" spans="1:8" x14ac:dyDescent="0.45">
      <c r="A23">
        <v>5.25</v>
      </c>
      <c r="G23">
        <f t="shared" si="0"/>
        <v>0</v>
      </c>
      <c r="H23" t="e">
        <f t="shared" si="1"/>
        <v>#DIV/0!</v>
      </c>
    </row>
    <row r="24" spans="1:8" x14ac:dyDescent="0.45">
      <c r="A24">
        <v>5.5</v>
      </c>
      <c r="G24">
        <f t="shared" si="0"/>
        <v>0</v>
      </c>
      <c r="H24" t="e">
        <f t="shared" si="1"/>
        <v>#DIV/0!</v>
      </c>
    </row>
    <row r="25" spans="1:8" x14ac:dyDescent="0.45">
      <c r="A25">
        <v>5.75</v>
      </c>
      <c r="G25">
        <f t="shared" si="0"/>
        <v>0</v>
      </c>
      <c r="H25" t="e">
        <f t="shared" si="1"/>
        <v>#DIV/0!</v>
      </c>
    </row>
    <row r="26" spans="1:8" x14ac:dyDescent="0.45">
      <c r="A26">
        <v>6</v>
      </c>
      <c r="G26">
        <f t="shared" si="0"/>
        <v>0</v>
      </c>
      <c r="H26" t="e">
        <f t="shared" si="1"/>
        <v>#DIV/0!</v>
      </c>
    </row>
    <row r="27" spans="1:8" x14ac:dyDescent="0.45">
      <c r="A27">
        <v>6.25</v>
      </c>
      <c r="G27">
        <f t="shared" si="0"/>
        <v>0</v>
      </c>
      <c r="H27" t="e">
        <f t="shared" si="1"/>
        <v>#DIV/0!</v>
      </c>
    </row>
    <row r="28" spans="1:8" x14ac:dyDescent="0.45">
      <c r="A28">
        <v>6.5</v>
      </c>
      <c r="G28">
        <f t="shared" si="0"/>
        <v>0</v>
      </c>
      <c r="H28" t="e">
        <f t="shared" si="1"/>
        <v>#DIV/0!</v>
      </c>
    </row>
    <row r="29" spans="1:8" x14ac:dyDescent="0.45">
      <c r="A29">
        <v>6.75</v>
      </c>
      <c r="G29">
        <f t="shared" si="0"/>
        <v>0</v>
      </c>
      <c r="H29" t="e">
        <f t="shared" si="1"/>
        <v>#DIV/0!</v>
      </c>
    </row>
    <row r="30" spans="1:8" x14ac:dyDescent="0.45">
      <c r="A30">
        <v>7</v>
      </c>
      <c r="D30" t="e">
        <f>(1-B30)/(SUM($B$3:B30) *0.25)</f>
        <v>#DIV/0!</v>
      </c>
      <c r="E30">
        <f>VLOOKUP(A30,Sheet1!$V$15:$W$23,2)/100</f>
        <v>0</v>
      </c>
      <c r="F30" t="e">
        <f>D30-E30</f>
        <v>#DIV/0!</v>
      </c>
      <c r="G30">
        <f t="shared" si="0"/>
        <v>0</v>
      </c>
      <c r="H30" t="e">
        <f t="shared" si="1"/>
        <v>#DIV/0!</v>
      </c>
    </row>
    <row r="31" spans="1:8" x14ac:dyDescent="0.45">
      <c r="A31">
        <v>7.25</v>
      </c>
      <c r="G31">
        <f t="shared" si="0"/>
        <v>0</v>
      </c>
      <c r="H31" t="e">
        <f t="shared" si="1"/>
        <v>#DIV/0!</v>
      </c>
    </row>
    <row r="32" spans="1:8" x14ac:dyDescent="0.45">
      <c r="A32">
        <v>7.5</v>
      </c>
      <c r="G32">
        <f t="shared" si="0"/>
        <v>0</v>
      </c>
      <c r="H32" t="e">
        <f t="shared" si="1"/>
        <v>#DIV/0!</v>
      </c>
    </row>
    <row r="33" spans="1:12" x14ac:dyDescent="0.45">
      <c r="A33">
        <v>7.75</v>
      </c>
      <c r="G33">
        <f t="shared" si="0"/>
        <v>0</v>
      </c>
      <c r="H33" t="e">
        <f t="shared" si="1"/>
        <v>#DIV/0!</v>
      </c>
    </row>
    <row r="34" spans="1:12" x14ac:dyDescent="0.45">
      <c r="A34">
        <v>8</v>
      </c>
      <c r="G34">
        <f t="shared" si="0"/>
        <v>0</v>
      </c>
      <c r="H34" t="e">
        <f t="shared" si="1"/>
        <v>#DIV/0!</v>
      </c>
    </row>
    <row r="35" spans="1:12" x14ac:dyDescent="0.45">
      <c r="A35">
        <v>8.25</v>
      </c>
      <c r="G35">
        <f t="shared" si="0"/>
        <v>0</v>
      </c>
      <c r="H35" t="e">
        <f t="shared" si="1"/>
        <v>#DIV/0!</v>
      </c>
      <c r="J35" t="s">
        <v>16</v>
      </c>
      <c r="K35">
        <f>SUM(K3:K34)</f>
        <v>0</v>
      </c>
      <c r="L35">
        <f>SUM(L3:L34)</f>
        <v>0</v>
      </c>
    </row>
    <row r="36" spans="1:12" x14ac:dyDescent="0.45">
      <c r="A36">
        <v>8.5</v>
      </c>
      <c r="G36">
        <f t="shared" si="0"/>
        <v>0</v>
      </c>
      <c r="H36" t="e">
        <f t="shared" si="1"/>
        <v>#DIV/0!</v>
      </c>
    </row>
    <row r="37" spans="1:12" x14ac:dyDescent="0.45">
      <c r="A37">
        <v>8.75</v>
      </c>
      <c r="G37">
        <f t="shared" si="0"/>
        <v>0</v>
      </c>
      <c r="H37" t="e">
        <f t="shared" si="1"/>
        <v>#DIV/0!</v>
      </c>
    </row>
    <row r="38" spans="1:12" x14ac:dyDescent="0.45">
      <c r="A38">
        <v>9</v>
      </c>
      <c r="G38">
        <f t="shared" si="0"/>
        <v>0</v>
      </c>
      <c r="H38" t="e">
        <f t="shared" si="1"/>
        <v>#DIV/0!</v>
      </c>
    </row>
    <row r="39" spans="1:12" x14ac:dyDescent="0.45">
      <c r="A39">
        <v>9.25</v>
      </c>
      <c r="G39">
        <f t="shared" si="0"/>
        <v>0</v>
      </c>
      <c r="H39" t="e">
        <f t="shared" si="1"/>
        <v>#DIV/0!</v>
      </c>
    </row>
    <row r="40" spans="1:12" x14ac:dyDescent="0.45">
      <c r="A40">
        <v>9.5</v>
      </c>
      <c r="G40">
        <f t="shared" si="0"/>
        <v>0</v>
      </c>
      <c r="H40" t="e">
        <f t="shared" si="1"/>
        <v>#DIV/0!</v>
      </c>
    </row>
    <row r="41" spans="1:12" x14ac:dyDescent="0.45">
      <c r="A41">
        <v>9.75</v>
      </c>
      <c r="G41">
        <f t="shared" si="0"/>
        <v>0</v>
      </c>
      <c r="H41" t="e">
        <f t="shared" si="1"/>
        <v>#DIV/0!</v>
      </c>
    </row>
    <row r="42" spans="1:12" x14ac:dyDescent="0.45">
      <c r="A42">
        <v>10</v>
      </c>
      <c r="D42" t="e">
        <f>(1-B42)/(SUM($B$3:B42) *0.25)</f>
        <v>#DIV/0!</v>
      </c>
      <c r="E42">
        <f>VLOOKUP(A42,Sheet1!$V$15:$W$23,2)/100</f>
        <v>0</v>
      </c>
      <c r="F42" t="e">
        <f>D42-E42</f>
        <v>#DIV/0!</v>
      </c>
      <c r="G42">
        <f t="shared" si="0"/>
        <v>0</v>
      </c>
      <c r="H42" t="e">
        <f t="shared" si="1"/>
        <v>#DIV/0!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Sheet1</vt:lpstr>
      <vt:lpstr>Bootstrap</vt:lpstr>
      <vt:lpstr>Duration</vt:lpstr>
      <vt:lpstr>1Y duration</vt:lpstr>
      <vt:lpstr>2Y duration</vt:lpstr>
      <vt:lpstr>3Y duration</vt:lpstr>
      <vt:lpstr>4Y duration</vt:lpstr>
      <vt:lpstr>5Y duration</vt:lpstr>
      <vt:lpstr>7Y duration</vt:lpstr>
      <vt:lpstr>10Y duration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석진 박</dc:creator>
  <cp:lastModifiedBy>수린 김</cp:lastModifiedBy>
  <dcterms:created xsi:type="dcterms:W3CDTF">2026-02-26T13:08:04Z</dcterms:created>
  <dcterms:modified xsi:type="dcterms:W3CDTF">2026-05-31T13:07:09Z</dcterms:modified>
</cp:coreProperties>
</file>