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90261bea96bfc57/문서/중앙대학교/U.FE.A/[유피아] 41기 준회원/[유피아 41기] 실습과제/"/>
    </mc:Choice>
  </mc:AlternateContent>
  <xr:revisionPtr revIDLastSave="4747" documentId="13_ncr:1_{C4FC8DDE-53E3-4472-8850-4DEA6D3A3FF6}" xr6:coauthVersionLast="47" xr6:coauthVersionMax="47" xr10:uidLastSave="{6DC52E8D-B5E7-4216-A8CB-0DAA6DD208AD}"/>
  <bookViews>
    <workbookView xWindow="8280" yWindow="170" windowWidth="16910" windowHeight="15240" activeTab="1" xr2:uid="{7ABD9CBA-3DB4-4A49-AEC1-1CF5D65F1E2A}"/>
  </bookViews>
  <sheets>
    <sheet name="1. Question" sheetId="2" r:id="rId1"/>
    <sheet name="2. Swaption Pricing" sheetId="1" r:id="rId2"/>
  </sheets>
  <definedNames>
    <definedName name="solver_adj" localSheetId="1" hidden="1">'2. Swaption Pricing'!$D$5:$M$5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'2. Swaption Pricing'!$D$5</definedName>
    <definedName name="solver_lhs10" localSheetId="1" hidden="1">'2. Swaption Pricing'!$L$5</definedName>
    <definedName name="solver_lhs2" localSheetId="1" hidden="1">'2. Swaption Pricing'!$D$5</definedName>
    <definedName name="solver_lhs3" localSheetId="1" hidden="1">'2. Swaption Pricing'!$E$5</definedName>
    <definedName name="solver_lhs4" localSheetId="1" hidden="1">'2. Swaption Pricing'!$F$5</definedName>
    <definedName name="solver_lhs5" localSheetId="1" hidden="1">'2. Swaption Pricing'!$G$5</definedName>
    <definedName name="solver_lhs6" localSheetId="1" hidden="1">'2. Swaption Pricing'!$H$5</definedName>
    <definedName name="solver_lhs7" localSheetId="1" hidden="1">'2. Swaption Pricing'!$I$5</definedName>
    <definedName name="solver_lhs8" localSheetId="1" hidden="1">'2. Swaption Pricing'!$J$5</definedName>
    <definedName name="solver_lhs9" localSheetId="1" hidden="1">'2. Swaption Pricing'!$K$5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'2. Swaption Pricing'!$E$43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1</definedName>
    <definedName name="solver_rel2" localSheetId="1" hidden="1">2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el8" localSheetId="1" hidden="1">1</definedName>
    <definedName name="solver_rel9" localSheetId="1" hidden="1">1</definedName>
    <definedName name="solver_rhs1" localSheetId="1" hidden="1">'2. Swaption Pricing'!$E$5</definedName>
    <definedName name="solver_rhs10" localSheetId="1" hidden="1">'2. Swaption Pricing'!$M$5</definedName>
    <definedName name="solver_rhs2" localSheetId="1" hidden="1">'2. Swaption Pricing'!$D$4</definedName>
    <definedName name="solver_rhs3" localSheetId="1" hidden="1">'2. Swaption Pricing'!$F$5</definedName>
    <definedName name="solver_rhs4" localSheetId="1" hidden="1">'2. Swaption Pricing'!$G$5</definedName>
    <definedName name="solver_rhs5" localSheetId="1" hidden="1">'2. Swaption Pricing'!$H$5</definedName>
    <definedName name="solver_rhs6" localSheetId="1" hidden="1">'2. Swaption Pricing'!$I$5</definedName>
    <definedName name="solver_rhs7" localSheetId="1" hidden="1">'2. Swaption Pricing'!$J$5</definedName>
    <definedName name="solver_rhs8" localSheetId="1" hidden="1">'2. Swaption Pricing'!$K$5</definedName>
    <definedName name="solver_rhs9" localSheetId="1" hidden="1">'2. Swaption Pricing'!$L$5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F46" i="1"/>
  <c r="G46" i="1"/>
  <c r="H46" i="1"/>
  <c r="I46" i="1"/>
  <c r="J46" i="1"/>
  <c r="K46" i="1"/>
  <c r="L46" i="1"/>
  <c r="M46" i="1"/>
  <c r="E47" i="1"/>
  <c r="F47" i="1"/>
  <c r="G47" i="1"/>
  <c r="H47" i="1"/>
  <c r="I47" i="1"/>
  <c r="J47" i="1"/>
  <c r="K47" i="1"/>
  <c r="L47" i="1"/>
  <c r="M47" i="1"/>
  <c r="E48" i="1"/>
  <c r="F48" i="1"/>
  <c r="G48" i="1"/>
  <c r="H48" i="1"/>
  <c r="I48" i="1"/>
  <c r="J48" i="1"/>
  <c r="K48" i="1"/>
  <c r="L48" i="1"/>
  <c r="M48" i="1"/>
  <c r="E49" i="1"/>
  <c r="F49" i="1"/>
  <c r="G49" i="1"/>
  <c r="H49" i="1"/>
  <c r="I49" i="1"/>
  <c r="J49" i="1"/>
  <c r="K49" i="1"/>
  <c r="L49" i="1"/>
  <c r="M49" i="1"/>
  <c r="E50" i="1"/>
  <c r="F50" i="1"/>
  <c r="G50" i="1"/>
  <c r="H50" i="1"/>
  <c r="I50" i="1"/>
  <c r="J50" i="1"/>
  <c r="K50" i="1"/>
  <c r="L50" i="1"/>
  <c r="M50" i="1"/>
  <c r="E51" i="1"/>
  <c r="F51" i="1"/>
  <c r="G51" i="1"/>
  <c r="H51" i="1"/>
  <c r="I51" i="1"/>
  <c r="J51" i="1"/>
  <c r="K51" i="1"/>
  <c r="L51" i="1"/>
  <c r="M51" i="1"/>
  <c r="E52" i="1"/>
  <c r="F52" i="1"/>
  <c r="G52" i="1"/>
  <c r="H52" i="1"/>
  <c r="I52" i="1"/>
  <c r="J52" i="1"/>
  <c r="K52" i="1"/>
  <c r="L52" i="1"/>
  <c r="M52" i="1"/>
  <c r="E53" i="1"/>
  <c r="F53" i="1"/>
  <c r="G53" i="1"/>
  <c r="H53" i="1"/>
  <c r="I53" i="1"/>
  <c r="J53" i="1"/>
  <c r="K53" i="1"/>
  <c r="L53" i="1"/>
  <c r="M53" i="1"/>
  <c r="E54" i="1"/>
  <c r="F54" i="1"/>
  <c r="G54" i="1"/>
  <c r="H54" i="1"/>
  <c r="I54" i="1"/>
  <c r="J54" i="1"/>
  <c r="K54" i="1"/>
  <c r="L54" i="1"/>
  <c r="M54" i="1"/>
  <c r="E55" i="1"/>
  <c r="F55" i="1"/>
  <c r="G55" i="1"/>
  <c r="H55" i="1"/>
  <c r="I55" i="1"/>
  <c r="J55" i="1"/>
  <c r="K55" i="1"/>
  <c r="L55" i="1"/>
  <c r="M55" i="1"/>
  <c r="D46" i="1"/>
  <c r="D47" i="1"/>
  <c r="D48" i="1"/>
  <c r="D49" i="1"/>
  <c r="D50" i="1"/>
  <c r="D51" i="1"/>
  <c r="D52" i="1"/>
  <c r="D53" i="1"/>
  <c r="D54" i="1"/>
  <c r="E6" i="1"/>
  <c r="F6" i="1"/>
  <c r="G6" i="1"/>
  <c r="H6" i="1"/>
  <c r="I6" i="1"/>
  <c r="J6" i="1"/>
  <c r="K6" i="1"/>
  <c r="L6" i="1"/>
  <c r="M6" i="1"/>
  <c r="D6" i="1"/>
  <c r="E27" i="1"/>
  <c r="F27" i="1"/>
  <c r="G27" i="1"/>
  <c r="H27" i="1"/>
  <c r="I27" i="1"/>
  <c r="J27" i="1"/>
  <c r="K27" i="1"/>
  <c r="L27" i="1"/>
  <c r="M27" i="1"/>
  <c r="N27" i="1"/>
  <c r="E28" i="1"/>
  <c r="F28" i="1"/>
  <c r="G28" i="1"/>
  <c r="H28" i="1"/>
  <c r="I28" i="1"/>
  <c r="J28" i="1"/>
  <c r="K28" i="1"/>
  <c r="L28" i="1"/>
  <c r="E29" i="1"/>
  <c r="F29" i="1"/>
  <c r="G29" i="1"/>
  <c r="H29" i="1"/>
  <c r="I29" i="1"/>
  <c r="J29" i="1"/>
  <c r="K29" i="1"/>
  <c r="E30" i="1"/>
  <c r="F30" i="1"/>
  <c r="G30" i="1"/>
  <c r="H30" i="1"/>
  <c r="I30" i="1"/>
  <c r="J30" i="1"/>
  <c r="E31" i="1"/>
  <c r="F31" i="1"/>
  <c r="G31" i="1"/>
  <c r="H31" i="1"/>
  <c r="I31" i="1"/>
  <c r="E32" i="1"/>
  <c r="F32" i="1"/>
  <c r="G32" i="1"/>
  <c r="H32" i="1"/>
  <c r="E33" i="1"/>
  <c r="F33" i="1"/>
  <c r="G33" i="1"/>
  <c r="E34" i="1"/>
  <c r="F34" i="1"/>
  <c r="E35" i="1"/>
  <c r="D21" i="1"/>
  <c r="E37" i="1" s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J21" i="1"/>
  <c r="K21" i="1"/>
  <c r="L21" i="1"/>
  <c r="M21" i="1"/>
  <c r="D55" i="1" s="1"/>
  <c r="H12" i="1"/>
  <c r="H13" i="1"/>
  <c r="H14" i="1"/>
  <c r="H15" i="1"/>
  <c r="H16" i="1"/>
  <c r="H17" i="1"/>
  <c r="H18" i="1"/>
  <c r="H19" i="1"/>
  <c r="H20" i="1"/>
  <c r="I21" i="1"/>
  <c r="G12" i="1"/>
  <c r="G13" i="1"/>
  <c r="G14" i="1"/>
  <c r="G15" i="1"/>
  <c r="G16" i="1"/>
  <c r="G17" i="1"/>
  <c r="G18" i="1"/>
  <c r="G19" i="1"/>
  <c r="G20" i="1"/>
  <c r="H21" i="1"/>
  <c r="F12" i="1"/>
  <c r="F13" i="1"/>
  <c r="F14" i="1"/>
  <c r="F15" i="1"/>
  <c r="F16" i="1"/>
  <c r="F17" i="1"/>
  <c r="F18" i="1"/>
  <c r="F19" i="1"/>
  <c r="F20" i="1"/>
  <c r="G21" i="1"/>
  <c r="E12" i="1"/>
  <c r="E13" i="1"/>
  <c r="E14" i="1"/>
  <c r="E15" i="1"/>
  <c r="E16" i="1"/>
  <c r="E17" i="1"/>
  <c r="E18" i="1"/>
  <c r="E19" i="1"/>
  <c r="E20" i="1"/>
  <c r="F21" i="1"/>
  <c r="D12" i="1"/>
  <c r="D13" i="1"/>
  <c r="D14" i="1"/>
  <c r="D15" i="1"/>
  <c r="D16" i="1"/>
  <c r="D17" i="1"/>
  <c r="D18" i="1"/>
  <c r="D19" i="1"/>
  <c r="D20" i="1"/>
  <c r="E21" i="1"/>
  <c r="C8" i="1"/>
  <c r="E36" i="1" l="1"/>
  <c r="E39" i="1" s="1"/>
  <c r="F37" i="1"/>
  <c r="G37" i="1" s="1"/>
  <c r="H37" i="1" s="1"/>
  <c r="I37" i="1" s="1"/>
  <c r="J37" i="1" s="1"/>
  <c r="K37" i="1" s="1"/>
  <c r="L37" i="1" s="1"/>
  <c r="M37" i="1" s="1"/>
  <c r="N37" i="1" s="1"/>
  <c r="F36" i="1" l="1"/>
  <c r="G36" i="1" s="1"/>
  <c r="H36" i="1" s="1"/>
  <c r="I36" i="1" s="1"/>
  <c r="J36" i="1" s="1"/>
  <c r="K36" i="1" s="1"/>
  <c r="L36" i="1" s="1"/>
  <c r="M36" i="1" s="1"/>
  <c r="N36" i="1" s="1"/>
  <c r="F35" i="1"/>
  <c r="E40" i="1"/>
  <c r="E42" i="1"/>
  <c r="F39" i="1" l="1"/>
  <c r="G35" i="1"/>
  <c r="H35" i="1" s="1"/>
  <c r="I35" i="1" s="1"/>
  <c r="J35" i="1" s="1"/>
  <c r="K35" i="1" s="1"/>
  <c r="L35" i="1" s="1"/>
  <c r="M35" i="1" s="1"/>
  <c r="N35" i="1" s="1"/>
  <c r="G34" i="1"/>
  <c r="F40" i="1" l="1"/>
  <c r="F42" i="1"/>
  <c r="H34" i="1"/>
  <c r="H33" i="1"/>
  <c r="G39" i="1"/>
  <c r="H39" i="1" l="1"/>
  <c r="I32" i="1"/>
  <c r="J31" i="1" s="1"/>
  <c r="G42" i="1"/>
  <c r="G40" i="1"/>
  <c r="I34" i="1"/>
  <c r="I33" i="1"/>
  <c r="J32" i="1" l="1"/>
  <c r="K31" i="1" s="1"/>
  <c r="H40" i="1"/>
  <c r="H42" i="1"/>
  <c r="J33" i="1"/>
  <c r="J34" i="1"/>
  <c r="K34" i="1" s="1"/>
  <c r="L34" i="1" s="1"/>
  <c r="M34" i="1" s="1"/>
  <c r="N34" i="1" s="1"/>
  <c r="I39" i="1"/>
  <c r="K30" i="1"/>
  <c r="D63" i="1"/>
  <c r="I40" i="1" l="1"/>
  <c r="I42" i="1"/>
  <c r="J39" i="1"/>
  <c r="K32" i="1"/>
  <c r="K33" i="1"/>
  <c r="L33" i="1" s="1"/>
  <c r="M33" i="1" s="1"/>
  <c r="N33" i="1" s="1"/>
  <c r="L29" i="1"/>
  <c r="L30" i="1"/>
  <c r="K39" i="1" l="1"/>
  <c r="J40" i="1"/>
  <c r="J42" i="1"/>
  <c r="L31" i="1"/>
  <c r="L32" i="1"/>
  <c r="M32" i="1" s="1"/>
  <c r="N32" i="1" s="1"/>
  <c r="M29" i="1"/>
  <c r="M28" i="1"/>
  <c r="L39" i="1" l="1"/>
  <c r="K40" i="1"/>
  <c r="K42" i="1"/>
  <c r="M30" i="1"/>
  <c r="M31" i="1"/>
  <c r="N28" i="1"/>
  <c r="L40" i="1" l="1"/>
  <c r="L42" i="1"/>
  <c r="N29" i="1"/>
  <c r="N30" i="1"/>
  <c r="N31" i="1"/>
  <c r="M39" i="1"/>
  <c r="N39" i="1" l="1"/>
  <c r="M40" i="1"/>
  <c r="M42" i="1"/>
  <c r="N42" i="1" l="1"/>
  <c r="N40" i="1"/>
  <c r="E4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mhaugh</author>
  </authors>
  <commentList>
    <comment ref="C6" authorId="0" shapeId="0" xr:uid="{247FA0ED-491C-4369-ADE5-B0596D7887B6}">
      <text>
        <r>
          <rPr>
            <b/>
            <sz val="8"/>
            <color indexed="81"/>
            <rFont val="Tahoma"/>
            <family val="2"/>
          </rPr>
          <t>Fixing the volatility parameter, b. This is not a good idea if we wish to use the model to price fixed derivatives that are sensitive to volatility, e.g. swaptions.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3" authorId="0" shapeId="0" xr:uid="{B7C812D3-5BFF-4027-A4DF-0F1C6CCE4F23}">
      <text>
        <r>
          <rPr>
            <b/>
            <sz val="8"/>
            <color indexed="81"/>
            <rFont val="Tahoma"/>
            <family val="2"/>
          </rPr>
          <t>Now use Solver to match the term structure of zero prices by setting the objective function to 0 and by varying cells C5 to P5.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<sst xmlns="http://schemas.openxmlformats.org/spreadsheetml/2006/main" count="50" uniqueCount="44">
  <si>
    <t>Fitting the Term-Structure of Zero Bond Prices in the Black-Derman-Toy Model</t>
  </si>
  <si>
    <t>Year</t>
  </si>
  <si>
    <t>Market Spot Rates</t>
  </si>
  <si>
    <t>a</t>
  </si>
  <si>
    <t>b</t>
  </si>
  <si>
    <t>q</t>
  </si>
  <si>
    <t>1-q</t>
  </si>
  <si>
    <t>Short Rate Lattice</t>
  </si>
  <si>
    <t>BDT Model Spot Rates</t>
    <phoneticPr fontId="2" type="noConversion"/>
  </si>
  <si>
    <t>Squared Differences</t>
  </si>
  <si>
    <t>Pricing a Payer Swaption</t>
  </si>
  <si>
    <t>Fixed Rate</t>
  </si>
  <si>
    <t>Option Expiration</t>
  </si>
  <si>
    <t>Swap Maturity</t>
  </si>
  <si>
    <t>Option strike</t>
  </si>
  <si>
    <t>Principal in $m</t>
  </si>
  <si>
    <t>First payment of underlying swap at t=4 (based on t=3 spot rate) and final payment at t=10</t>
    <phoneticPr fontId="2" type="noConversion"/>
  </si>
  <si>
    <t>Note that the values at a node are the discounted values of the nodes 1 period ahead. We therefore start from t=9 even though final payoff occurs at t=10</t>
  </si>
  <si>
    <t>Objective Function</t>
  </si>
  <si>
    <t>Value</t>
    <phoneticPr fontId="2" type="noConversion"/>
  </si>
  <si>
    <t>Elementary Prices</t>
    <phoneticPr fontId="2" type="noConversion"/>
  </si>
  <si>
    <t>j / i</t>
    <phoneticPr fontId="2" type="noConversion"/>
  </si>
  <si>
    <t>시장에 관측된 이자율 기간구조(term structure) 는 다음과 같다고 가정한다.</t>
  </si>
  <si>
    <t>과제</t>
    <phoneticPr fontId="2" type="noConversion"/>
  </si>
  <si>
    <t>기간 (Period)</t>
  </si>
  <si>
    <t>Spot Rate</t>
  </si>
  <si>
    <t>Formula</t>
    <phoneticPr fontId="2" type="noConversion"/>
  </si>
  <si>
    <t>이 문제에서는 먼저 단기금리 r_(i,j)에 대한 10기간 Black–Derman–Toy(BDT) 모형을 구축하고, 이를 시장에서 관측된 이자율 기간구조(term structure)에 맞도록 보정(calibration)한다.</t>
    <phoneticPr fontId="2" type="noConversion"/>
  </si>
  <si>
    <t>이 금리들은 기간별 복리(per-period compounding)를 기준으로 제시된 것으로, 예를 들어 만기가 6기간인 무이표채(ZCB)의 가격은</t>
  </si>
  <si>
    <t>BDT 모형에서는 b=0.1이 모든 기간에서 일정한 상수라고 가정하며, 모형에서 산출되는 이자율 기간구조가 시장 기간구조와 일치하도록 a_i 파라미터를 보정한다.</t>
    <phoneticPr fontId="2" type="noConversion"/>
  </si>
  <si>
    <t>모형 보정이 완료되면 이를 이용하여 payer swaption의 가격을 계산한다.</t>
    <phoneticPr fontId="2" type="noConversion"/>
  </si>
  <si>
    <t xml:space="preserve">옵션이 행사될 경우 기초 스왑의 현금흐름은 t=4,5,…,10 시점에 발생하며, 각 시점 t=i의 현금흐름은 이전 기간의 단기금리(short rate)에 의해 결정된다고 가정한다. </t>
    <phoneticPr fontId="2" type="noConversion"/>
  </si>
  <si>
    <t>BDT Model Zero Coupon Bond Prices</t>
    <phoneticPr fontId="2" type="noConversion"/>
  </si>
  <si>
    <t>j  / i</t>
    <phoneticPr fontId="2" type="noConversion"/>
  </si>
  <si>
    <t>=IF(j의 번호&lt;=i의 번호, Formula처럼 식을 구성, 그렇지 않으면 공백처리)</t>
    <phoneticPr fontId="2" type="noConversion"/>
  </si>
  <si>
    <t>=sum()</t>
    <phoneticPr fontId="2" type="noConversion"/>
  </si>
  <si>
    <t>=IF(j의 번호=0, lower확률*앞선 lower노드의 elementary price /(1+앞선 lower노드의 short rate), IF(j의 번호=i의 번호, upper확률*앞선 upper노드의 elememtary price/(1+앞선 upper 노드의 short rate), IF(그 외의 경우(and()함수로), 이전 두가지 경우로 구한 elemantary price들을 합함, 그렇지 않으면 공백처리)))</t>
    <phoneticPr fontId="2" type="noConversion"/>
  </si>
  <si>
    <t>=IF(j의번호&lt;= k의번호, 해당노드의 short rate-fixed rate)/(1+해당노드의 short rate-fixed rate) +(lower확률*다음lower노드의 스왑션 가치+upper확률*다음upper노드의 스왑션 가치)/(1+해당노드의 short rate-fixed rate)-스왑션행사가격과 0중 최대, 그렇지 않으면 공백처리)</t>
    <phoneticPr fontId="2" type="noConversion"/>
  </si>
  <si>
    <t>&lt;========해찾기로 0만들기, 만져야 할 것은 a행</t>
    <phoneticPr fontId="2" type="noConversion"/>
  </si>
  <si>
    <t>v</t>
    <phoneticPr fontId="2" type="noConversion"/>
  </si>
  <si>
    <t>스왑션의 명목금액(notional)은 $1M이며 옵션 만기는 t=3 행사금리(strike)는 3.7%로 가정한다.</t>
    <phoneticPr fontId="2" type="noConversion"/>
  </si>
  <si>
    <t>&lt;===random value…</t>
    <phoneticPr fontId="2" type="noConversion"/>
  </si>
  <si>
    <t>=100*((1/E39)^(1/E26)-1)</t>
    <phoneticPr fontId="2" type="noConversion"/>
  </si>
  <si>
    <t>잔차제곱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</si>
</sst>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"/>
    <numFmt numFmtId="178" formatCode="0.0000_ "/>
    <numFmt numFmtId="179" formatCode="0.00000000000000"/>
    <numFmt numFmtId="180" formatCode="0.0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Pretendard"/>
      <family val="3"/>
      <charset val="129"/>
    </font>
    <font>
      <b/>
      <sz val="15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b/>
      <sz val="15"/>
      <color theme="0"/>
      <name val="Arial"/>
      <family val="2"/>
    </font>
    <font>
      <sz val="12"/>
      <color theme="1"/>
      <name val="Pretendard"/>
      <family val="3"/>
      <charset val="129"/>
    </font>
    <font>
      <sz val="12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12"/>
      <color rgb="FFFF0000"/>
      <name val="맑은 고딕"/>
      <family val="2"/>
      <charset val="129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Malgun Gothic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left" vertical="center" indent="1"/>
    </xf>
    <xf numFmtId="0" fontId="5" fillId="3" borderId="21" xfId="0" applyFont="1" applyFill="1" applyBorder="1" applyAlignment="1">
      <alignment vertical="center" wrapText="1"/>
    </xf>
    <xf numFmtId="10" fontId="5" fillId="3" borderId="21" xfId="0" applyNumberFormat="1" applyFont="1" applyFill="1" applyBorder="1" applyAlignment="1">
      <alignment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7" fillId="3" borderId="0" xfId="0" applyFont="1" applyFill="1">
      <alignment vertical="center"/>
    </xf>
    <xf numFmtId="0" fontId="8" fillId="6" borderId="0" xfId="0" applyFont="1" applyFill="1" applyAlignment="1"/>
    <xf numFmtId="0" fontId="7" fillId="6" borderId="0" xfId="0" applyFont="1" applyFill="1" applyAlignment="1"/>
    <xf numFmtId="0" fontId="7" fillId="6" borderId="0" xfId="0" applyFont="1" applyFill="1">
      <alignment vertical="center"/>
    </xf>
    <xf numFmtId="0" fontId="7" fillId="3" borderId="0" xfId="0" applyFont="1" applyFill="1" applyAlignment="1"/>
    <xf numFmtId="0" fontId="7" fillId="2" borderId="6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7" fillId="3" borderId="2" xfId="0" applyNumberFormat="1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9" fillId="3" borderId="0" xfId="0" applyFont="1" applyFill="1" applyAlignment="1"/>
    <xf numFmtId="2" fontId="7" fillId="3" borderId="0" xfId="0" applyNumberFormat="1" applyFont="1" applyFill="1">
      <alignment vertical="center"/>
    </xf>
    <xf numFmtId="0" fontId="7" fillId="3" borderId="0" xfId="0" quotePrefix="1" applyFont="1" applyFill="1">
      <alignment vertical="center"/>
    </xf>
    <xf numFmtId="176" fontId="7" fillId="3" borderId="0" xfId="0" applyNumberFormat="1" applyFont="1" applyFill="1">
      <alignment vertical="center"/>
    </xf>
    <xf numFmtId="0" fontId="10" fillId="3" borderId="0" xfId="0" applyFont="1" applyFill="1">
      <alignment vertical="center"/>
    </xf>
    <xf numFmtId="177" fontId="8" fillId="0" borderId="16" xfId="0" applyNumberFormat="1" applyFont="1" applyBorder="1" applyAlignment="1"/>
    <xf numFmtId="177" fontId="8" fillId="0" borderId="17" xfId="0" applyNumberFormat="1" applyFont="1" applyBorder="1" applyAlignment="1"/>
    <xf numFmtId="2" fontId="8" fillId="0" borderId="19" xfId="0" applyNumberFormat="1" applyFont="1" applyBorder="1" applyAlignment="1"/>
    <xf numFmtId="2" fontId="8" fillId="0" borderId="20" xfId="0" applyNumberFormat="1" applyFont="1" applyBorder="1" applyAlignment="1"/>
    <xf numFmtId="178" fontId="7" fillId="3" borderId="1" xfId="0" applyNumberFormat="1" applyFont="1" applyFill="1" applyBorder="1" applyAlignment="1"/>
    <xf numFmtId="178" fontId="7" fillId="8" borderId="14" xfId="0" applyNumberFormat="1" applyFont="1" applyFill="1" applyBorder="1" applyAlignment="1"/>
    <xf numFmtId="179" fontId="9" fillId="3" borderId="0" xfId="0" applyNumberFormat="1" applyFont="1" applyFill="1" applyAlignment="1"/>
    <xf numFmtId="0" fontId="8" fillId="3" borderId="0" xfId="0" applyFont="1" applyFill="1" applyAlignment="1"/>
    <xf numFmtId="9" fontId="7" fillId="3" borderId="0" xfId="0" applyNumberFormat="1" applyFont="1" applyFill="1" applyAlignment="1"/>
    <xf numFmtId="10" fontId="7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76" fontId="7" fillId="3" borderId="0" xfId="1" applyNumberFormat="1" applyFont="1" applyFill="1" applyAlignment="1">
      <alignment horizontal="center"/>
    </xf>
    <xf numFmtId="0" fontId="11" fillId="6" borderId="0" xfId="0" applyFont="1" applyFill="1" applyAlignment="1"/>
    <xf numFmtId="180" fontId="7" fillId="5" borderId="0" xfId="0" applyNumberFormat="1" applyFont="1" applyFill="1">
      <alignment vertical="center"/>
    </xf>
    <xf numFmtId="0" fontId="12" fillId="3" borderId="0" xfId="0" quotePrefix="1" applyFont="1" applyFill="1">
      <alignment vertical="center"/>
    </xf>
    <xf numFmtId="0" fontId="13" fillId="3" borderId="0" xfId="0" quotePrefix="1" applyFont="1" applyFill="1" applyAlignment="1"/>
    <xf numFmtId="0" fontId="15" fillId="3" borderId="0" xfId="0" applyFont="1" applyFill="1">
      <alignment vertical="center"/>
    </xf>
    <xf numFmtId="0" fontId="14" fillId="3" borderId="0" xfId="0" quotePrefix="1" applyFont="1" applyFill="1">
      <alignment vertical="center"/>
    </xf>
    <xf numFmtId="0" fontId="10" fillId="9" borderId="0" xfId="0" applyFont="1" applyFill="1" applyAlignment="1">
      <alignment horizontal="right"/>
    </xf>
    <xf numFmtId="0" fontId="10" fillId="9" borderId="0" xfId="0" applyFont="1" applyFill="1" applyAlignment="1"/>
    <xf numFmtId="0" fontId="10" fillId="9" borderId="0" xfId="0" applyFont="1" applyFill="1" applyAlignment="1">
      <alignment horizontal="right" vertical="center"/>
    </xf>
    <xf numFmtId="0" fontId="10" fillId="9" borderId="0" xfId="0" applyFont="1" applyFill="1">
      <alignment vertical="center"/>
    </xf>
    <xf numFmtId="0" fontId="16" fillId="9" borderId="4" xfId="0" applyFont="1" applyFill="1" applyBorder="1" applyAlignment="1"/>
    <xf numFmtId="0" fontId="16" fillId="9" borderId="7" xfId="0" applyFont="1" applyFill="1" applyBorder="1" applyAlignment="1"/>
    <xf numFmtId="0" fontId="16" fillId="9" borderId="9" xfId="0" applyFont="1" applyFill="1" applyBorder="1" applyAlignment="1"/>
    <xf numFmtId="0" fontId="16" fillId="6" borderId="3" xfId="0" applyFont="1" applyFill="1" applyBorder="1" applyAlignment="1"/>
    <xf numFmtId="0" fontId="9" fillId="6" borderId="0" xfId="0" applyFont="1" applyFill="1" applyAlignment="1"/>
    <xf numFmtId="0" fontId="11" fillId="6" borderId="1" xfId="0" applyFont="1" applyFill="1" applyBorder="1" applyAlignment="1"/>
    <xf numFmtId="0" fontId="7" fillId="6" borderId="0" xfId="0" quotePrefix="1" applyFont="1" applyFill="1">
      <alignment vertical="center"/>
    </xf>
    <xf numFmtId="0" fontId="11" fillId="6" borderId="3" xfId="0" applyFont="1" applyFill="1" applyBorder="1" applyAlignment="1"/>
    <xf numFmtId="0" fontId="17" fillId="3" borderId="0" xfId="0" applyFont="1" applyFill="1">
      <alignment vertical="center"/>
    </xf>
    <xf numFmtId="0" fontId="18" fillId="3" borderId="0" xfId="0" applyFont="1" applyFill="1">
      <alignment vertical="center"/>
    </xf>
    <xf numFmtId="0" fontId="6" fillId="3" borderId="0" xfId="0" applyFont="1" applyFill="1" applyAlignment="1">
      <alignment horizontal="center" vertical="center"/>
    </xf>
    <xf numFmtId="0" fontId="16" fillId="9" borderId="4" xfId="0" applyFont="1" applyFill="1" applyBorder="1" applyAlignment="1">
      <alignment horizontal="left"/>
    </xf>
    <xf numFmtId="0" fontId="16" fillId="9" borderId="5" xfId="0" applyFont="1" applyFill="1" applyBorder="1" applyAlignment="1">
      <alignment horizontal="left"/>
    </xf>
    <xf numFmtId="0" fontId="16" fillId="9" borderId="7" xfId="0" applyFont="1" applyFill="1" applyBorder="1" applyAlignment="1">
      <alignment horizontal="left"/>
    </xf>
    <xf numFmtId="0" fontId="16" fillId="9" borderId="8" xfId="0" applyFont="1" applyFill="1" applyBorder="1" applyAlignment="1">
      <alignment horizontal="left"/>
    </xf>
    <xf numFmtId="0" fontId="16" fillId="9" borderId="9" xfId="0" applyFont="1" applyFill="1" applyBorder="1" applyAlignment="1">
      <alignment horizontal="left"/>
    </xf>
    <xf numFmtId="0" fontId="16" fillId="9" borderId="10" xfId="0" applyFont="1" applyFill="1" applyBorder="1" applyAlignment="1">
      <alignment horizontal="left"/>
    </xf>
    <xf numFmtId="0" fontId="16" fillId="10" borderId="15" xfId="0" applyFont="1" applyFill="1" applyBorder="1" applyAlignment="1">
      <alignment horizontal="center"/>
    </xf>
    <xf numFmtId="0" fontId="16" fillId="10" borderId="16" xfId="0" applyFont="1" applyFill="1" applyBorder="1" applyAlignment="1">
      <alignment horizontal="center"/>
    </xf>
    <xf numFmtId="0" fontId="16" fillId="10" borderId="18" xfId="0" applyFont="1" applyFill="1" applyBorder="1" applyAlignment="1">
      <alignment horizontal="center"/>
    </xf>
    <xf numFmtId="0" fontId="16" fillId="10" borderId="19" xfId="0" applyFont="1" applyFill="1" applyBorder="1" applyAlignment="1">
      <alignment horizontal="center"/>
    </xf>
    <xf numFmtId="0" fontId="16" fillId="10" borderId="1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1" borderId="3" xfId="0" applyFont="1" applyFill="1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165100</xdr:colOff>
      <xdr:row>4</xdr:row>
      <xdr:rowOff>139700</xdr:rowOff>
    </xdr:from>
    <xdr:ext cx="2472690" cy="3097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6E3D17E-C87A-969C-D8C2-38F956E68522}"/>
                </a:ext>
              </a:extLst>
            </xdr:cNvPr>
            <xdr:cNvSpPr txBox="1"/>
          </xdr:nvSpPr>
          <xdr:spPr>
            <a:xfrm>
              <a:off x="7848600" y="850900"/>
              <a:ext cx="2472690" cy="3097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en-US" altLang="ko-KR" sz="1300" b="0" i="1">
                      <a:latin typeface="Cambria Math" panose="02040503050406030204" pitchFamily="18" charset="0"/>
                    </a:rPr>
                    <m:t>𝑍</m:t>
                  </m:r>
                  <m:d>
                    <m:dPr>
                      <m:ctrlPr>
                        <a:rPr lang="en-US" altLang="ko-KR" sz="13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altLang="ko-KR" sz="1300" b="0" i="1">
                          <a:latin typeface="Cambria Math" panose="02040503050406030204" pitchFamily="18" charset="0"/>
                        </a:rPr>
                        <m:t>0,6</m:t>
                      </m:r>
                    </m:e>
                  </m:d>
                  <m:r>
                    <a:rPr lang="en-US" altLang="ko-KR" sz="13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n-US" altLang="ko-KR" sz="13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altLang="ko-KR" sz="1300" b="0" i="1">
                          <a:latin typeface="Cambria Math" panose="02040503050406030204" pitchFamily="18" charset="0"/>
                        </a:rPr>
                        <m:t>100</m:t>
                      </m:r>
                    </m:num>
                    <m:den>
                      <m:sSup>
                        <m:sSupPr>
                          <m:ctrlPr>
                            <a:rPr lang="en-US" altLang="ko-KR" sz="13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altLang="ko-KR" sz="1300" b="0" i="1">
                              <a:latin typeface="Cambria Math" panose="02040503050406030204" pitchFamily="18" charset="0"/>
                            </a:rPr>
                            <m:t>(1+0.035)</m:t>
                          </m:r>
                        </m:e>
                        <m:sup>
                          <m:r>
                            <a:rPr lang="en-US" altLang="ko-KR" sz="1300" b="0" i="1">
                              <a:latin typeface="Cambria Math" panose="02040503050406030204" pitchFamily="18" charset="0"/>
                            </a:rPr>
                            <m:t>6</m:t>
                          </m:r>
                        </m:sup>
                      </m:sSup>
                    </m:den>
                  </m:f>
                </m:oMath>
              </a14:m>
              <a:r>
                <a:rPr lang="en-US" altLang="ko-KR" sz="1300"/>
                <a:t>=81.35</a:t>
              </a:r>
              <a:endParaRPr lang="ko-KR" altLang="en-US" sz="13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6E3D17E-C87A-969C-D8C2-38F956E68522}"/>
                </a:ext>
              </a:extLst>
            </xdr:cNvPr>
            <xdr:cNvSpPr txBox="1"/>
          </xdr:nvSpPr>
          <xdr:spPr>
            <a:xfrm>
              <a:off x="7848600" y="850900"/>
              <a:ext cx="2472690" cy="3097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ctr"/>
              <a:r>
                <a:rPr lang="en-US" altLang="ko-KR" sz="1300" b="0" i="0">
                  <a:latin typeface="Cambria Math" panose="02040503050406030204" pitchFamily="18" charset="0"/>
                </a:rPr>
                <a:t>𝑍(0,6)=  100/〖(1+0.035)〗^6 </a:t>
              </a:r>
              <a:r>
                <a:rPr lang="en-US" altLang="ko-KR" sz="1300"/>
                <a:t>=81.35</a:t>
              </a:r>
              <a:endParaRPr lang="ko-KR" altLang="en-US" sz="13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557403</xdr:colOff>
      <xdr:row>12</xdr:row>
      <xdr:rowOff>116667</xdr:rowOff>
    </xdr:from>
    <xdr:to>
      <xdr:col>19</xdr:col>
      <xdr:colOff>33329</xdr:colOff>
      <xdr:row>19</xdr:row>
      <xdr:rowOff>126461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08D91D-27C2-4EE9-BC4C-0682EF2FF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80997" y="2616980"/>
          <a:ext cx="3772098" cy="1398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보라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1727-7EA2-49F3-91A1-367A548244AB}">
  <dimension ref="B2:L14"/>
  <sheetViews>
    <sheetView topLeftCell="N1" workbookViewId="0">
      <selection activeCell="M20" sqref="M20"/>
    </sheetView>
  </sheetViews>
  <sheetFormatPr defaultColWidth="8.83203125" defaultRowHeight="14"/>
  <cols>
    <col min="1" max="1" width="3.6640625" style="1" customWidth="1"/>
    <col min="2" max="16384" width="8.83203125" style="1"/>
  </cols>
  <sheetData>
    <row r="2" spans="2:12">
      <c r="B2" s="1" t="s">
        <v>23</v>
      </c>
    </row>
    <row r="3" spans="2:12">
      <c r="B3" s="1" t="s">
        <v>27</v>
      </c>
    </row>
    <row r="4" spans="2:12">
      <c r="B4" s="1" t="s">
        <v>22</v>
      </c>
    </row>
    <row r="5" spans="2:12" ht="28">
      <c r="B5" s="5" t="s">
        <v>24</v>
      </c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5">
        <v>8</v>
      </c>
      <c r="K5" s="5">
        <v>9</v>
      </c>
      <c r="L5" s="5">
        <v>10</v>
      </c>
    </row>
    <row r="6" spans="2:12">
      <c r="B6" s="3" t="s">
        <v>25</v>
      </c>
      <c r="C6" s="4">
        <v>0.03</v>
      </c>
      <c r="D6" s="4">
        <v>3.1E-2</v>
      </c>
      <c r="E6" s="4">
        <v>3.2000000000000001E-2</v>
      </c>
      <c r="F6" s="4">
        <v>3.3000000000000002E-2</v>
      </c>
      <c r="G6" s="4">
        <v>3.4000000000000002E-2</v>
      </c>
      <c r="H6" s="4">
        <v>3.5000000000000003E-2</v>
      </c>
      <c r="I6" s="4">
        <v>3.5499999999999997E-2</v>
      </c>
      <c r="J6" s="4">
        <v>3.5999999999999997E-2</v>
      </c>
      <c r="K6" s="4">
        <v>3.6499999999999998E-2</v>
      </c>
      <c r="L6" s="4">
        <v>3.6999999999999998E-2</v>
      </c>
    </row>
    <row r="8" spans="2:12">
      <c r="B8" s="1" t="s">
        <v>28</v>
      </c>
    </row>
    <row r="9" spans="2:12">
      <c r="B9" s="1" t="s">
        <v>29</v>
      </c>
    </row>
    <row r="10" spans="2:12">
      <c r="B10" s="1" t="s">
        <v>30</v>
      </c>
    </row>
    <row r="11" spans="2:12">
      <c r="B11" s="1" t="s">
        <v>40</v>
      </c>
    </row>
    <row r="12" spans="2:12">
      <c r="B12" s="1" t="s">
        <v>31</v>
      </c>
    </row>
    <row r="13" spans="2:12">
      <c r="B13" s="2"/>
    </row>
    <row r="14" spans="2:12">
      <c r="B14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6339-5240-47B6-AB20-9E4284143D37}">
  <dimension ref="A2:R63"/>
  <sheetViews>
    <sheetView tabSelected="1" topLeftCell="A19" zoomScale="64" zoomScaleNormal="64" workbookViewId="0">
      <selection activeCell="D63" sqref="D63"/>
    </sheetView>
  </sheetViews>
  <sheetFormatPr defaultColWidth="8.83203125" defaultRowHeight="15.5"/>
  <cols>
    <col min="1" max="1" width="3.6640625" style="6" customWidth="1"/>
    <col min="2" max="2" width="8.83203125" style="6"/>
    <col min="3" max="3" width="8.9140625" style="6" bestFit="1" customWidth="1"/>
    <col min="4" max="4" width="19.1640625" style="6" bestFit="1" customWidth="1"/>
    <col min="5" max="5" width="26.4140625" style="6" bestFit="1" customWidth="1"/>
    <col min="6" max="13" width="20" style="6" bestFit="1" customWidth="1"/>
    <col min="14" max="14" width="12.1640625" style="6" bestFit="1" customWidth="1"/>
    <col min="15" max="16384" width="8.83203125" style="6"/>
  </cols>
  <sheetData>
    <row r="2" spans="1:18" s="9" customFormat="1" ht="19.5" thickBot="1">
      <c r="A2" s="6" t="s">
        <v>39</v>
      </c>
      <c r="B2" s="36" t="s">
        <v>0</v>
      </c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</row>
    <row r="3" spans="1:18">
      <c r="B3" s="57" t="s">
        <v>1</v>
      </c>
      <c r="C3" s="58"/>
      <c r="D3" s="11">
        <v>0</v>
      </c>
      <c r="E3" s="11">
        <v>1</v>
      </c>
      <c r="F3" s="11">
        <v>2</v>
      </c>
      <c r="G3" s="11">
        <v>3</v>
      </c>
      <c r="H3" s="11">
        <v>4</v>
      </c>
      <c r="I3" s="11">
        <v>5</v>
      </c>
      <c r="J3" s="11">
        <v>6</v>
      </c>
      <c r="K3" s="11">
        <v>7</v>
      </c>
      <c r="L3" s="11">
        <v>8</v>
      </c>
      <c r="M3" s="11">
        <v>9</v>
      </c>
    </row>
    <row r="4" spans="1:18" ht="16" thickBot="1">
      <c r="B4" s="59" t="s">
        <v>2</v>
      </c>
      <c r="C4" s="60"/>
      <c r="D4" s="12">
        <v>3</v>
      </c>
      <c r="E4" s="12">
        <v>3.1</v>
      </c>
      <c r="F4" s="12">
        <v>3.2</v>
      </c>
      <c r="G4" s="12">
        <v>3.3</v>
      </c>
      <c r="H4" s="12">
        <v>3.4</v>
      </c>
      <c r="I4" s="12">
        <v>3.5</v>
      </c>
      <c r="J4" s="12">
        <v>3.55</v>
      </c>
      <c r="K4" s="12">
        <v>3.6</v>
      </c>
      <c r="L4" s="12">
        <v>3.65</v>
      </c>
      <c r="M4" s="12">
        <v>3.7</v>
      </c>
    </row>
    <row r="5" spans="1:18" ht="16" thickBot="1">
      <c r="B5" s="61" t="s">
        <v>3</v>
      </c>
      <c r="C5" s="62"/>
      <c r="D5" s="13">
        <v>3.1656704156368836</v>
      </c>
      <c r="E5" s="14">
        <v>2.9769094359095978</v>
      </c>
      <c r="F5" s="14">
        <v>3.3299120826180908</v>
      </c>
      <c r="G5" s="14">
        <v>3.0328005633206212</v>
      </c>
      <c r="H5" s="14">
        <v>3.2449677933324845</v>
      </c>
      <c r="I5" s="14">
        <v>3.0485091714012196</v>
      </c>
      <c r="J5" s="14">
        <v>2.6760786678162489</v>
      </c>
      <c r="K5" s="14">
        <v>2.958434688119477</v>
      </c>
      <c r="L5" s="14">
        <v>2.6452135232141107</v>
      </c>
      <c r="M5" s="14">
        <v>18161.788837310443</v>
      </c>
      <c r="N5" s="54" t="s">
        <v>41</v>
      </c>
    </row>
    <row r="6" spans="1:18">
      <c r="B6" s="46" t="s">
        <v>4</v>
      </c>
      <c r="C6" s="15">
        <v>0.1</v>
      </c>
      <c r="D6" s="6">
        <f>1 / (1 + D4/100)^D3</f>
        <v>1</v>
      </c>
      <c r="E6" s="6">
        <f t="shared" ref="E6:M6" si="0">1 / (1 + E4/100)^E3</f>
        <v>0.96993210475266745</v>
      </c>
      <c r="F6" s="6">
        <f t="shared" si="0"/>
        <v>0.9389459768042786</v>
      </c>
      <c r="G6" s="6">
        <f t="shared" si="0"/>
        <v>0.90719163165941952</v>
      </c>
      <c r="H6" s="6">
        <f t="shared" si="0"/>
        <v>0.87481827111888921</v>
      </c>
      <c r="I6" s="6">
        <f t="shared" si="0"/>
        <v>0.84197316685852419</v>
      </c>
      <c r="J6" s="6">
        <f t="shared" si="0"/>
        <v>0.81114665320583124</v>
      </c>
      <c r="K6" s="6">
        <f t="shared" si="0"/>
        <v>0.7806955648518793</v>
      </c>
      <c r="L6" s="6">
        <f t="shared" si="0"/>
        <v>0.7506639306726296</v>
      </c>
      <c r="M6" s="6">
        <f t="shared" si="0"/>
        <v>0.72109285525610811</v>
      </c>
    </row>
    <row r="7" spans="1:18">
      <c r="B7" s="47" t="s">
        <v>5</v>
      </c>
      <c r="C7" s="16">
        <v>0.5</v>
      </c>
    </row>
    <row r="8" spans="1:18" ht="16" thickBot="1">
      <c r="B8" s="48" t="s">
        <v>6</v>
      </c>
      <c r="C8" s="17">
        <f>1-C7</f>
        <v>0.5</v>
      </c>
    </row>
    <row r="9" spans="1:18" ht="16" thickBot="1">
      <c r="B9" s="41" t="s">
        <v>34</v>
      </c>
    </row>
    <row r="10" spans="1:18" s="9" customFormat="1" ht="19.5" thickBot="1">
      <c r="A10" s="6" t="s">
        <v>39</v>
      </c>
      <c r="B10" s="51" t="s">
        <v>7</v>
      </c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8" ht="17.399999999999999" customHeight="1">
      <c r="B11" s="18"/>
      <c r="C11" s="44" t="s">
        <v>21</v>
      </c>
      <c r="D11" s="45">
        <v>0</v>
      </c>
      <c r="E11" s="45">
        <v>1</v>
      </c>
      <c r="F11" s="45">
        <v>2</v>
      </c>
      <c r="G11" s="45">
        <v>3</v>
      </c>
      <c r="H11" s="45">
        <v>4</v>
      </c>
      <c r="I11" s="45">
        <v>5</v>
      </c>
      <c r="J11" s="45">
        <v>6</v>
      </c>
      <c r="K11" s="45">
        <v>7</v>
      </c>
      <c r="L11" s="45">
        <v>8</v>
      </c>
      <c r="M11" s="45">
        <v>9</v>
      </c>
      <c r="N11" s="56" t="s">
        <v>26</v>
      </c>
      <c r="O11" s="56"/>
      <c r="P11" s="56"/>
      <c r="Q11" s="56"/>
      <c r="R11" s="56"/>
    </row>
    <row r="12" spans="1:18">
      <c r="B12" s="18"/>
      <c r="C12" s="45">
        <v>9</v>
      </c>
      <c r="D12" s="6" t="str">
        <f t="shared" ref="D12:M20" si="1">IF($C12 &lt;= D$11, D$5 * EXP($C$6 * $C12), "")</f>
        <v/>
      </c>
      <c r="E12" s="6" t="str">
        <f t="shared" si="1"/>
        <v/>
      </c>
      <c r="F12" s="6" t="str">
        <f t="shared" si="1"/>
        <v/>
      </c>
      <c r="G12" s="6" t="str">
        <f t="shared" si="1"/>
        <v/>
      </c>
      <c r="H12" s="6" t="str">
        <f t="shared" si="1"/>
        <v/>
      </c>
      <c r="I12" s="6" t="str">
        <f t="shared" si="1"/>
        <v/>
      </c>
      <c r="J12" s="6" t="str">
        <f t="shared" si="1"/>
        <v/>
      </c>
      <c r="K12" s="6" t="str">
        <f t="shared" si="1"/>
        <v/>
      </c>
      <c r="L12" s="6" t="str">
        <f t="shared" si="1"/>
        <v/>
      </c>
      <c r="M12" s="6">
        <f t="shared" si="1"/>
        <v>44670.79232842433</v>
      </c>
      <c r="N12" s="56"/>
      <c r="O12" s="56"/>
      <c r="P12" s="56"/>
      <c r="Q12" s="56"/>
      <c r="R12" s="56"/>
    </row>
    <row r="13" spans="1:18">
      <c r="B13" s="18"/>
      <c r="C13" s="45">
        <v>8</v>
      </c>
      <c r="D13" s="6" t="str">
        <f t="shared" si="1"/>
        <v/>
      </c>
      <c r="E13" s="6" t="str">
        <f t="shared" si="1"/>
        <v/>
      </c>
      <c r="F13" s="6" t="str">
        <f t="shared" si="1"/>
        <v/>
      </c>
      <c r="G13" s="6" t="str">
        <f t="shared" si="1"/>
        <v/>
      </c>
      <c r="H13" s="6" t="str">
        <f t="shared" si="1"/>
        <v/>
      </c>
      <c r="I13" s="6" t="str">
        <f t="shared" si="1"/>
        <v/>
      </c>
      <c r="J13" s="6" t="str">
        <f t="shared" si="1"/>
        <v/>
      </c>
      <c r="K13" s="6" t="str">
        <f t="shared" si="1"/>
        <v/>
      </c>
      <c r="L13" s="6">
        <f t="shared" si="1"/>
        <v>5.8870309605147639</v>
      </c>
      <c r="M13" s="6">
        <f t="shared" si="1"/>
        <v>40419.804392072023</v>
      </c>
      <c r="N13" s="56"/>
      <c r="O13" s="56"/>
      <c r="P13" s="56"/>
      <c r="Q13" s="56"/>
      <c r="R13" s="56"/>
    </row>
    <row r="14" spans="1:18">
      <c r="B14" s="18"/>
      <c r="C14" s="45">
        <v>7</v>
      </c>
      <c r="D14" s="6" t="str">
        <f t="shared" si="1"/>
        <v/>
      </c>
      <c r="E14" s="6" t="str">
        <f t="shared" si="1"/>
        <v/>
      </c>
      <c r="F14" s="6" t="str">
        <f t="shared" si="1"/>
        <v/>
      </c>
      <c r="G14" s="6" t="str">
        <f t="shared" si="1"/>
        <v/>
      </c>
      <c r="H14" s="6" t="str">
        <f t="shared" si="1"/>
        <v/>
      </c>
      <c r="I14" s="6" t="str">
        <f t="shared" si="1"/>
        <v/>
      </c>
      <c r="J14" s="6" t="str">
        <f t="shared" si="1"/>
        <v/>
      </c>
      <c r="K14" s="6">
        <f t="shared" si="1"/>
        <v>5.9575558630751715</v>
      </c>
      <c r="L14" s="6">
        <f t="shared" si="1"/>
        <v>5.3268058942099339</v>
      </c>
      <c r="M14" s="6">
        <f t="shared" si="1"/>
        <v>36573.351443640982</v>
      </c>
    </row>
    <row r="15" spans="1:18">
      <c r="B15" s="18"/>
      <c r="C15" s="45">
        <v>6</v>
      </c>
      <c r="D15" s="6" t="str">
        <f t="shared" si="1"/>
        <v/>
      </c>
      <c r="E15" s="6" t="str">
        <f t="shared" si="1"/>
        <v/>
      </c>
      <c r="F15" s="6" t="str">
        <f t="shared" si="1"/>
        <v/>
      </c>
      <c r="G15" s="6" t="str">
        <f t="shared" si="1"/>
        <v/>
      </c>
      <c r="H15" s="6" t="str">
        <f t="shared" si="1"/>
        <v/>
      </c>
      <c r="I15" s="6" t="str">
        <f t="shared" si="1"/>
        <v/>
      </c>
      <c r="J15" s="6">
        <f t="shared" si="1"/>
        <v>4.8761332519519751</v>
      </c>
      <c r="K15" s="6">
        <f t="shared" si="1"/>
        <v>5.3906194649499311</v>
      </c>
      <c r="L15" s="6">
        <f t="shared" si="1"/>
        <v>4.8198932916956476</v>
      </c>
      <c r="M15" s="6">
        <f t="shared" si="1"/>
        <v>33092.936889185847</v>
      </c>
    </row>
    <row r="16" spans="1:18">
      <c r="B16" s="18"/>
      <c r="C16" s="45">
        <v>5</v>
      </c>
      <c r="D16" s="6" t="str">
        <f t="shared" si="1"/>
        <v/>
      </c>
      <c r="E16" s="6" t="str">
        <f t="shared" si="1"/>
        <v/>
      </c>
      <c r="F16" s="6" t="str">
        <f t="shared" si="1"/>
        <v/>
      </c>
      <c r="G16" s="6" t="str">
        <f t="shared" si="1"/>
        <v/>
      </c>
      <c r="H16" s="6" t="str">
        <f t="shared" si="1"/>
        <v/>
      </c>
      <c r="I16" s="6">
        <f t="shared" si="1"/>
        <v>5.0261419148136133</v>
      </c>
      <c r="J16" s="6">
        <f t="shared" si="1"/>
        <v>4.4121078216955123</v>
      </c>
      <c r="K16" s="6">
        <f t="shared" si="1"/>
        <v>4.8776341982796811</v>
      </c>
      <c r="L16" s="6">
        <f t="shared" si="1"/>
        <v>4.3612198012667314</v>
      </c>
      <c r="M16" s="6">
        <f t="shared" si="1"/>
        <v>29943.727570037878</v>
      </c>
    </row>
    <row r="17" spans="1:15">
      <c r="B17" s="18"/>
      <c r="C17" s="45">
        <v>4</v>
      </c>
      <c r="D17" s="6" t="str">
        <f t="shared" si="1"/>
        <v/>
      </c>
      <c r="E17" s="6" t="str">
        <f t="shared" si="1"/>
        <v/>
      </c>
      <c r="F17" s="6" t="str">
        <f t="shared" si="1"/>
        <v/>
      </c>
      <c r="G17" s="6" t="str">
        <f t="shared" si="1"/>
        <v/>
      </c>
      <c r="H17" s="6">
        <f t="shared" si="1"/>
        <v>4.8409230971438939</v>
      </c>
      <c r="I17" s="6">
        <f t="shared" si="1"/>
        <v>4.5478412728822644</v>
      </c>
      <c r="J17" s="6">
        <f t="shared" si="1"/>
        <v>3.9922402494792291</v>
      </c>
      <c r="K17" s="6">
        <f t="shared" si="1"/>
        <v>4.4134659340952851</v>
      </c>
      <c r="L17" s="6">
        <f t="shared" si="1"/>
        <v>3.9461948644654901</v>
      </c>
      <c r="M17" s="6">
        <f t="shared" si="1"/>
        <v>27094.20514084525</v>
      </c>
    </row>
    <row r="18" spans="1:15">
      <c r="B18" s="18"/>
      <c r="C18" s="45">
        <v>3</v>
      </c>
      <c r="D18" s="6" t="str">
        <f t="shared" si="1"/>
        <v/>
      </c>
      <c r="E18" s="6" t="str">
        <f t="shared" si="1"/>
        <v/>
      </c>
      <c r="F18" s="6" t="str">
        <f t="shared" si="1"/>
        <v/>
      </c>
      <c r="G18" s="6">
        <f t="shared" si="1"/>
        <v>4.0938525520198041</v>
      </c>
      <c r="H18" s="6">
        <f t="shared" si="1"/>
        <v>4.3802483561303216</v>
      </c>
      <c r="I18" s="6">
        <f t="shared" si="1"/>
        <v>4.1150569549921601</v>
      </c>
      <c r="J18" s="6">
        <f t="shared" si="1"/>
        <v>3.6123283595180209</v>
      </c>
      <c r="K18" s="6">
        <f t="shared" si="1"/>
        <v>3.9934691203964419</v>
      </c>
      <c r="L18" s="6">
        <f t="shared" si="1"/>
        <v>3.5706647722297178</v>
      </c>
      <c r="M18" s="6">
        <f t="shared" si="1"/>
        <v>24515.850623379039</v>
      </c>
    </row>
    <row r="19" spans="1:15">
      <c r="B19" s="18"/>
      <c r="C19" s="45">
        <v>2</v>
      </c>
      <c r="D19" s="6" t="str">
        <f t="shared" si="1"/>
        <v/>
      </c>
      <c r="E19" s="6" t="str">
        <f t="shared" si="1"/>
        <v/>
      </c>
      <c r="F19" s="6">
        <f t="shared" si="1"/>
        <v>4.0671638021406116</v>
      </c>
      <c r="G19" s="6">
        <f t="shared" si="1"/>
        <v>3.7042709729895238</v>
      </c>
      <c r="H19" s="6">
        <f t="shared" si="1"/>
        <v>3.9634126129172165</v>
      </c>
      <c r="I19" s="6">
        <f t="shared" si="1"/>
        <v>3.7234575102260234</v>
      </c>
      <c r="J19" s="6">
        <f t="shared" si="1"/>
        <v>3.2685698659243596</v>
      </c>
      <c r="K19" s="6">
        <f t="shared" si="1"/>
        <v>3.6134402879058509</v>
      </c>
      <c r="L19" s="6">
        <f t="shared" si="1"/>
        <v>3.2308710931762952</v>
      </c>
      <c r="M19" s="6">
        <f t="shared" si="1"/>
        <v>22182.858979013559</v>
      </c>
    </row>
    <row r="20" spans="1:15">
      <c r="B20" s="18"/>
      <c r="C20" s="45">
        <v>1</v>
      </c>
      <c r="D20" s="6" t="str">
        <f t="shared" si="1"/>
        <v/>
      </c>
      <c r="E20" s="6">
        <f t="shared" si="1"/>
        <v>3.2899937343122687</v>
      </c>
      <c r="F20" s="6">
        <f t="shared" si="1"/>
        <v>3.6801219934582274</v>
      </c>
      <c r="G20" s="6">
        <f t="shared" si="1"/>
        <v>3.3517629829053925</v>
      </c>
      <c r="H20" s="6">
        <f t="shared" si="1"/>
        <v>3.5862440352831708</v>
      </c>
      <c r="I20" s="6">
        <f t="shared" si="1"/>
        <v>3.3691236797195181</v>
      </c>
      <c r="J20" s="6">
        <f t="shared" si="1"/>
        <v>2.9575243181531401</v>
      </c>
      <c r="K20" s="6">
        <f t="shared" si="1"/>
        <v>3.2695759803358451</v>
      </c>
      <c r="L20" s="6">
        <f t="shared" si="1"/>
        <v>2.9234130579566573</v>
      </c>
      <c r="M20" s="6">
        <f t="shared" si="1"/>
        <v>20071.880843226434</v>
      </c>
    </row>
    <row r="21" spans="1:15">
      <c r="B21" s="18"/>
      <c r="C21" s="45">
        <v>0</v>
      </c>
      <c r="D21" s="6">
        <f>IF($C21 &lt;= D$11, D$5 * EXP($C$6 * $C21), "")</f>
        <v>3.1656704156368836</v>
      </c>
      <c r="E21" s="6">
        <f>IF($C21 &lt;= E$11, E$5 * EXP($C$6 * $C21), "")</f>
        <v>2.9769094359095978</v>
      </c>
      <c r="F21" s="6">
        <f>IF($C21 &lt;= F$11, F$5 * EXP($C$6 * $C21), "")</f>
        <v>3.3299120826180908</v>
      </c>
      <c r="G21" s="6">
        <f>IF($C21 &lt;= G$11, G$5 * EXP($C$6 * $C21), "")</f>
        <v>3.0328005633206212</v>
      </c>
      <c r="H21" s="6">
        <f>IF($C21 &lt;= H$11, H$5 * EXP($C$6 * $C21), "")</f>
        <v>3.2449677933324845</v>
      </c>
      <c r="I21" s="6">
        <f>IF($C21 &lt;= I$11, I$5 * EXP($C$6 * $C21), "")</f>
        <v>3.0485091714012196</v>
      </c>
      <c r="J21" s="6">
        <f t="shared" ref="J21:M21" si="2">IF($C21 &lt;= J$11, J$5 * EXP($C$6 * $C21), "")</f>
        <v>2.6760786678162489</v>
      </c>
      <c r="K21" s="6">
        <f t="shared" si="2"/>
        <v>2.958434688119477</v>
      </c>
      <c r="L21" s="6">
        <f t="shared" si="2"/>
        <v>2.6452135232141107</v>
      </c>
      <c r="M21" s="6">
        <f t="shared" si="2"/>
        <v>18161.788837310443</v>
      </c>
      <c r="N21" s="38"/>
    </row>
    <row r="22" spans="1:15">
      <c r="B22" s="18"/>
      <c r="D22" s="19"/>
    </row>
    <row r="23" spans="1:15" ht="16" thickBot="1">
      <c r="B23" s="39" t="s">
        <v>36</v>
      </c>
    </row>
    <row r="24" spans="1:15" s="9" customFormat="1" ht="19.5" thickBot="1">
      <c r="A24" s="6" t="s">
        <v>39</v>
      </c>
      <c r="B24" s="51" t="s">
        <v>20</v>
      </c>
      <c r="C24" s="53"/>
      <c r="F24" s="52"/>
    </row>
    <row r="25" spans="1:15">
      <c r="B25" s="18"/>
    </row>
    <row r="26" spans="1:15">
      <c r="C26" s="44" t="s">
        <v>21</v>
      </c>
      <c r="D26" s="45">
        <v>0</v>
      </c>
      <c r="E26" s="45">
        <v>1</v>
      </c>
      <c r="F26" s="45">
        <v>2</v>
      </c>
      <c r="G26" s="45">
        <v>3</v>
      </c>
      <c r="H26" s="45">
        <v>4</v>
      </c>
      <c r="I26" s="45">
        <v>5</v>
      </c>
      <c r="J26" s="45">
        <v>6</v>
      </c>
      <c r="K26" s="45">
        <v>7</v>
      </c>
      <c r="L26" s="45">
        <v>8</v>
      </c>
      <c r="M26" s="45">
        <v>9</v>
      </c>
      <c r="N26" s="45">
        <v>10</v>
      </c>
    </row>
    <row r="27" spans="1:15">
      <c r="C27" s="45">
        <v>10</v>
      </c>
      <c r="E27" s="6" t="str">
        <f t="shared" ref="E27:N27" si="3">IF($C11 &gt; E$26, "", (N(D27)*0.5)/(1+N(D11)/100) + (N(D28)*0.5)/(1+N(D12)/100))</f>
        <v/>
      </c>
      <c r="F27" s="6" t="str">
        <f t="shared" si="3"/>
        <v/>
      </c>
      <c r="G27" s="6" t="str">
        <f t="shared" si="3"/>
        <v/>
      </c>
      <c r="H27" s="6" t="str">
        <f t="shared" si="3"/>
        <v/>
      </c>
      <c r="I27" s="6" t="str">
        <f t="shared" si="3"/>
        <v/>
      </c>
      <c r="J27" s="6" t="str">
        <f t="shared" si="3"/>
        <v/>
      </c>
      <c r="K27" s="6" t="str">
        <f t="shared" si="3"/>
        <v/>
      </c>
      <c r="L27" s="6" t="str">
        <f t="shared" si="3"/>
        <v/>
      </c>
      <c r="M27" s="6" t="str">
        <f t="shared" si="3"/>
        <v/>
      </c>
      <c r="N27" s="6" t="str">
        <f t="shared" si="3"/>
        <v/>
      </c>
    </row>
    <row r="28" spans="1:15">
      <c r="C28" s="45">
        <v>9</v>
      </c>
      <c r="E28" s="6" t="str">
        <f t="shared" ref="E28:N28" si="4">IF($C12 &gt; E$26, "", (N(D28)*0.5)/(1+N(D12)/100) + (N(D29)*0.5)/(1+N(D13)/100))</f>
        <v/>
      </c>
      <c r="F28" s="6" t="str">
        <f t="shared" si="4"/>
        <v/>
      </c>
      <c r="G28" s="6" t="str">
        <f t="shared" si="4"/>
        <v/>
      </c>
      <c r="H28" s="6" t="str">
        <f t="shared" si="4"/>
        <v/>
      </c>
      <c r="I28" s="6" t="str">
        <f t="shared" si="4"/>
        <v/>
      </c>
      <c r="J28" s="6" t="str">
        <f t="shared" si="4"/>
        <v/>
      </c>
      <c r="K28" s="6" t="str">
        <f t="shared" si="4"/>
        <v/>
      </c>
      <c r="L28" s="6" t="str">
        <f t="shared" si="4"/>
        <v/>
      </c>
      <c r="M28" s="6">
        <f t="shared" si="4"/>
        <v>1.3059247852945748E-3</v>
      </c>
      <c r="N28" s="6">
        <f t="shared" si="4"/>
        <v>1.6237110918540676E-5</v>
      </c>
    </row>
    <row r="29" spans="1:15">
      <c r="C29" s="45">
        <v>8</v>
      </c>
      <c r="E29" s="6" t="str">
        <f t="shared" ref="E29:N29" si="5">IF($C13 &gt; E$26, "", (N(D29)*0.5)/(1+N(D13)/100) + (N(D30)*0.5)/(1+N(D14)/100))</f>
        <v/>
      </c>
      <c r="F29" s="6" t="str">
        <f t="shared" si="5"/>
        <v/>
      </c>
      <c r="G29" s="6" t="str">
        <f t="shared" si="5"/>
        <v/>
      </c>
      <c r="H29" s="6" t="str">
        <f t="shared" si="5"/>
        <v/>
      </c>
      <c r="I29" s="6" t="str">
        <f t="shared" si="5"/>
        <v/>
      </c>
      <c r="J29" s="6" t="str">
        <f t="shared" si="5"/>
        <v/>
      </c>
      <c r="K29" s="6" t="str">
        <f t="shared" si="5"/>
        <v/>
      </c>
      <c r="L29" s="6">
        <f t="shared" si="5"/>
        <v>2.7656099634518049E-3</v>
      </c>
      <c r="M29" s="6">
        <f t="shared" si="5"/>
        <v>1.1976563974444085E-2</v>
      </c>
      <c r="N29" s="6">
        <f t="shared" si="5"/>
        <v>8.1262654985467267E-5</v>
      </c>
    </row>
    <row r="30" spans="1:15">
      <c r="C30" s="45">
        <v>7</v>
      </c>
      <c r="E30" s="6" t="str">
        <f t="shared" ref="E30:N30" si="6">IF($C14 &gt; E$26, "", (N(D30)*0.5)/(1+N(D14)/100) + (N(D31)*0.5)/(1+N(D15)/100))</f>
        <v/>
      </c>
      <c r="F30" s="6" t="str">
        <f t="shared" si="6"/>
        <v/>
      </c>
      <c r="G30" s="6" t="str">
        <f t="shared" si="6"/>
        <v/>
      </c>
      <c r="H30" s="6" t="str">
        <f t="shared" si="6"/>
        <v/>
      </c>
      <c r="I30" s="6" t="str">
        <f t="shared" si="6"/>
        <v/>
      </c>
      <c r="J30" s="6" t="str">
        <f t="shared" si="6"/>
        <v/>
      </c>
      <c r="K30" s="6">
        <f t="shared" si="6"/>
        <v>5.8607454439584383E-3</v>
      </c>
      <c r="L30" s="6">
        <f t="shared" si="6"/>
        <v>2.2478086852854004E-2</v>
      </c>
      <c r="M30" s="6">
        <f t="shared" si="6"/>
        <v>4.8763822137045651E-2</v>
      </c>
      <c r="N30" s="6">
        <f t="shared" si="6"/>
        <v>2.4077179379860511E-4</v>
      </c>
    </row>
    <row r="31" spans="1:15">
      <c r="C31" s="45">
        <v>6</v>
      </c>
      <c r="E31" s="6" t="str">
        <f t="shared" ref="E31:N31" si="7">IF($C15 &gt; E$26, "", (N(D31)*0.5)/(1+N(D15)/100) + (N(D32)*0.5)/(1+N(D16)/100))</f>
        <v/>
      </c>
      <c r="F31" s="6" t="str">
        <f t="shared" si="7"/>
        <v/>
      </c>
      <c r="G31" s="6" t="str">
        <f t="shared" si="7"/>
        <v/>
      </c>
      <c r="H31" s="6" t="str">
        <f t="shared" si="7"/>
        <v/>
      </c>
      <c r="I31" s="6" t="str">
        <f t="shared" si="7"/>
        <v/>
      </c>
      <c r="J31" s="6">
        <f t="shared" si="7"/>
        <v>1.2293046402727112E-2</v>
      </c>
      <c r="K31" s="6">
        <f t="shared" si="7"/>
        <v>4.1550203011252139E-2</v>
      </c>
      <c r="L31" s="6">
        <f t="shared" si="7"/>
        <v>7.9858467434790276E-2</v>
      </c>
      <c r="M31" s="6">
        <f t="shared" si="7"/>
        <v>0.11570247463076642</v>
      </c>
      <c r="N31" s="6">
        <f t="shared" si="7"/>
        <v>4.6771990082300079E-4</v>
      </c>
    </row>
    <row r="32" spans="1:15">
      <c r="C32" s="45">
        <v>5</v>
      </c>
      <c r="E32" s="6" t="str">
        <f t="shared" ref="E32:N32" si="8">IF($C16 &gt; E$26, "", (N(D32)*0.5)/(1+N(D16)/100) + (N(D33)*0.5)/(1+N(D17)/100))</f>
        <v/>
      </c>
      <c r="F32" s="6" t="str">
        <f t="shared" si="8"/>
        <v/>
      </c>
      <c r="G32" s="6" t="str">
        <f t="shared" si="8"/>
        <v/>
      </c>
      <c r="H32" s="6" t="str">
        <f t="shared" si="8"/>
        <v/>
      </c>
      <c r="I32" s="6">
        <f t="shared" si="8"/>
        <v>2.5821824721164132E-2</v>
      </c>
      <c r="J32" s="6">
        <f t="shared" si="8"/>
        <v>7.4528229832281939E-2</v>
      </c>
      <c r="K32" s="6">
        <f t="shared" si="8"/>
        <v>0.12615938389824799</v>
      </c>
      <c r="L32" s="6">
        <f t="shared" si="8"/>
        <v>0.16198800695873297</v>
      </c>
      <c r="M32" s="6">
        <f t="shared" si="8"/>
        <v>0.1763158858300774</v>
      </c>
      <c r="N32" s="6">
        <f t="shared" si="8"/>
        <v>6.2247846641000186E-4</v>
      </c>
      <c r="O32" s="21"/>
    </row>
    <row r="33" spans="1:16">
      <c r="C33" s="45">
        <v>4</v>
      </c>
      <c r="E33" s="6" t="str">
        <f t="shared" ref="E33:N33" si="9">IF($C17 &gt; E$26, "", (N(D33)*0.5)/(1+N(D17)/100) + (N(D34)*0.5)/(1+N(D18)/100))</f>
        <v/>
      </c>
      <c r="F33" s="6" t="str">
        <f t="shared" si="9"/>
        <v/>
      </c>
      <c r="G33" s="6" t="str">
        <f t="shared" si="9"/>
        <v/>
      </c>
      <c r="H33" s="6">
        <f t="shared" si="9"/>
        <v>5.4143678796389962E-2</v>
      </c>
      <c r="I33" s="6">
        <f t="shared" si="9"/>
        <v>0.13013108157563619</v>
      </c>
      <c r="J33" s="6">
        <f t="shared" si="9"/>
        <v>0.18816340628722572</v>
      </c>
      <c r="K33" s="6">
        <f t="shared" si="9"/>
        <v>0.21267355822868719</v>
      </c>
      <c r="L33" s="6">
        <f t="shared" si="9"/>
        <v>0.20520349739266597</v>
      </c>
      <c r="M33" s="6">
        <f t="shared" si="9"/>
        <v>0.17896308381911619</v>
      </c>
      <c r="N33" s="6">
        <f t="shared" si="9"/>
        <v>5.7482112421845116E-4</v>
      </c>
      <c r="O33" s="21"/>
    </row>
    <row r="34" spans="1:16">
      <c r="C34" s="45">
        <v>3</v>
      </c>
      <c r="E34" s="6" t="str">
        <f t="shared" ref="E34:N34" si="10">IF($C18 &gt; E$26, "", (N(D34)*0.5)/(1+N(D18)/100) + (N(D35)*0.5)/(1+N(D19)/100))</f>
        <v/>
      </c>
      <c r="F34" s="6" t="str">
        <f t="shared" si="10"/>
        <v/>
      </c>
      <c r="G34" s="6">
        <f t="shared" si="10"/>
        <v>0.11272048234510675</v>
      </c>
      <c r="H34" s="6">
        <f t="shared" si="10"/>
        <v>0.21775652272626361</v>
      </c>
      <c r="I34" s="6">
        <f t="shared" si="10"/>
        <v>0.26222048190134706</v>
      </c>
      <c r="J34" s="6">
        <f t="shared" si="10"/>
        <v>0.25323605669827143</v>
      </c>
      <c r="K34" s="6">
        <f t="shared" si="10"/>
        <v>0.21497837960922939</v>
      </c>
      <c r="L34" s="6">
        <f t="shared" si="10"/>
        <v>0.16624435975210422</v>
      </c>
      <c r="M34" s="6">
        <f t="shared" si="10"/>
        <v>0.12099909808960105</v>
      </c>
      <c r="N34" s="6">
        <f t="shared" si="10"/>
        <v>3.6369117802475994E-4</v>
      </c>
    </row>
    <row r="35" spans="1:16">
      <c r="C35" s="45">
        <v>2</v>
      </c>
      <c r="E35" s="6" t="str">
        <f t="shared" ref="E35:N35" si="11">IF($C19 &gt; E$26, "", (N(D35)*0.5)/(1+N(D19)/100) + (N(D36)*0.5)/(1+N(D20)/100))</f>
        <v/>
      </c>
      <c r="F35" s="6">
        <f t="shared" si="11"/>
        <v>0.23461001800129044</v>
      </c>
      <c r="G35" s="6">
        <f t="shared" si="11"/>
        <v>0.33934701403130124</v>
      </c>
      <c r="H35" s="6">
        <f t="shared" si="11"/>
        <v>0.32833979691518989</v>
      </c>
      <c r="I35" s="6">
        <f t="shared" si="11"/>
        <v>0.26409617388168888</v>
      </c>
      <c r="J35" s="6">
        <f t="shared" si="11"/>
        <v>0.1916143103167636</v>
      </c>
      <c r="K35" s="6">
        <f t="shared" si="11"/>
        <v>0.13031022809710777</v>
      </c>
      <c r="L35" s="6">
        <f t="shared" si="11"/>
        <v>8.4117899151330416E-2</v>
      </c>
      <c r="M35" s="6">
        <f t="shared" si="11"/>
        <v>5.2550296014211045E-2</v>
      </c>
      <c r="N35" s="6">
        <f t="shared" si="11"/>
        <v>1.5089173521865096E-4</v>
      </c>
    </row>
    <row r="36" spans="1:16">
      <c r="C36" s="45">
        <v>1</v>
      </c>
      <c r="E36" s="6">
        <f t="shared" ref="E36:N36" si="12">IF($C20 &gt; E$26, "", (N(D36)*0.5)/(1+N(D20)/100) + (N(D37)*0.5)/(1+N(D21)/100))</f>
        <v>0.48465734578720354</v>
      </c>
      <c r="F36" s="6">
        <f t="shared" si="12"/>
        <v>0.46993332904357943</v>
      </c>
      <c r="G36" s="6">
        <f t="shared" si="12"/>
        <v>0.34049642003669206</v>
      </c>
      <c r="H36" s="6">
        <f t="shared" si="12"/>
        <v>0.21998600045754174</v>
      </c>
      <c r="I36" s="6">
        <f t="shared" si="12"/>
        <v>0.13294608240542943</v>
      </c>
      <c r="J36" s="6">
        <f t="shared" si="12"/>
        <v>7.7291202691902691E-2</v>
      </c>
      <c r="K36" s="6">
        <f t="shared" si="12"/>
        <v>4.3858631008527355E-2</v>
      </c>
      <c r="L36" s="6">
        <f t="shared" si="12"/>
        <v>2.4305750155116861E-2</v>
      </c>
      <c r="M36" s="6">
        <f t="shared" si="12"/>
        <v>1.3303485438020516E-2</v>
      </c>
      <c r="N36" s="6">
        <f t="shared" si="12"/>
        <v>3.7070753063565929E-5</v>
      </c>
      <c r="P36" s="22"/>
    </row>
    <row r="37" spans="1:16">
      <c r="C37" s="45">
        <v>0</v>
      </c>
      <c r="D37" s="6">
        <v>1</v>
      </c>
      <c r="E37" s="6">
        <f>IF($C21 &gt; E$26, "", (N(D37)*0.5)/(1+N(D21)/100) + (N(D38)*0.5)/(1+N(D22)/100))</f>
        <v>0.48465734578720354</v>
      </c>
      <c r="F37" s="6">
        <f t="shared" ref="F37:N37" si="13">IF($C21 &gt; F$26, "", (N(E37)*0.5)/(1+N(E21)/100) + (N(E38)*0.5)/(1+N(E22)/100))</f>
        <v>0.23532331104228896</v>
      </c>
      <c r="G37" s="6">
        <f t="shared" si="13"/>
        <v>0.11386988835049754</v>
      </c>
      <c r="H37" s="6">
        <f t="shared" si="13"/>
        <v>5.52590474722255E-2</v>
      </c>
      <c r="I37" s="6">
        <f t="shared" si="13"/>
        <v>2.6761133570615589E-2</v>
      </c>
      <c r="J37" s="6">
        <f t="shared" si="13"/>
        <v>1.2984726215739633E-2</v>
      </c>
      <c r="K37" s="6">
        <f t="shared" si="13"/>
        <v>6.323150622916069E-3</v>
      </c>
      <c r="L37" s="6">
        <f t="shared" si="13"/>
        <v>3.0707297765695863E-3</v>
      </c>
      <c r="M37" s="6">
        <f t="shared" si="13"/>
        <v>1.495797841501452E-3</v>
      </c>
      <c r="N37" s="6">
        <f t="shared" si="13"/>
        <v>4.0954307785155342E-6</v>
      </c>
    </row>
    <row r="38" spans="1:16" ht="16" thickBot="1"/>
    <row r="39" spans="1:16">
      <c r="A39" s="6" t="s">
        <v>39</v>
      </c>
      <c r="B39" s="63" t="s">
        <v>32</v>
      </c>
      <c r="C39" s="64"/>
      <c r="D39" s="64"/>
      <c r="E39" s="23">
        <f>SUM(E27:E37)</f>
        <v>0.96931469157440708</v>
      </c>
      <c r="F39" s="23">
        <f t="shared" ref="F39:N39" si="14">SUM(F27:F37)</f>
        <v>0.93986665808715886</v>
      </c>
      <c r="G39" s="23">
        <f t="shared" si="14"/>
        <v>0.90643380476359747</v>
      </c>
      <c r="H39" s="23">
        <f t="shared" si="14"/>
        <v>0.87548504636761082</v>
      </c>
      <c r="I39" s="23">
        <f t="shared" si="14"/>
        <v>0.84197677805588123</v>
      </c>
      <c r="J39" s="23">
        <f t="shared" si="14"/>
        <v>0.8101109784449122</v>
      </c>
      <c r="K39" s="23">
        <f t="shared" si="14"/>
        <v>0.78171427991992648</v>
      </c>
      <c r="L39" s="23">
        <f t="shared" si="14"/>
        <v>0.75003240743761601</v>
      </c>
      <c r="M39" s="23">
        <f t="shared" si="14"/>
        <v>0.72137643256007844</v>
      </c>
      <c r="N39" s="24">
        <f t="shared" si="14"/>
        <v>2.5590401482395598E-3</v>
      </c>
      <c r="O39" s="20" t="s">
        <v>35</v>
      </c>
    </row>
    <row r="40" spans="1:16" ht="16" thickBot="1">
      <c r="B40" s="65" t="s">
        <v>8</v>
      </c>
      <c r="C40" s="66"/>
      <c r="D40" s="66"/>
      <c r="E40" s="25">
        <f>100*((1/E39)^(1/E26)-1)</f>
        <v>3.1656704156368898</v>
      </c>
      <c r="F40" s="25">
        <f t="shared" ref="F40:M40" si="15">100*((1/F39)^(1/F26)-1)</f>
        <v>3.149440919263502</v>
      </c>
      <c r="G40" s="25">
        <f t="shared" si="15"/>
        <v>3.3287800799348233</v>
      </c>
      <c r="H40" s="25">
        <f t="shared" si="15"/>
        <v>3.3803068423340132</v>
      </c>
      <c r="I40" s="25">
        <f t="shared" si="15"/>
        <v>3.4999112185567505</v>
      </c>
      <c r="J40" s="25">
        <f t="shared" si="15"/>
        <v>3.5720519249778038</v>
      </c>
      <c r="K40" s="25">
        <f t="shared" si="15"/>
        <v>3.5807021429943964</v>
      </c>
      <c r="L40" s="25">
        <f t="shared" si="15"/>
        <v>3.6609050760062045</v>
      </c>
      <c r="M40" s="25">
        <f t="shared" si="15"/>
        <v>3.6954697553536864</v>
      </c>
      <c r="N40" s="26">
        <f>100*((1/N39)^(1/N26)-1)</f>
        <v>81.631968610335704</v>
      </c>
      <c r="O40" s="20" t="s">
        <v>42</v>
      </c>
    </row>
    <row r="41" spans="1:16" ht="16" thickBot="1"/>
    <row r="42" spans="1:16" ht="18" thickBot="1">
      <c r="A42" s="6" t="s">
        <v>39</v>
      </c>
      <c r="B42" s="67" t="s">
        <v>9</v>
      </c>
      <c r="C42" s="68"/>
      <c r="D42" s="69"/>
      <c r="E42" s="27">
        <f>(E6 - E39)^2</f>
        <v>3.8119903268956156E-7</v>
      </c>
      <c r="F42" s="27">
        <f t="shared" ref="F42:N42" si="16">(F6 - F39)^2</f>
        <v>8.4765402464602942E-7</v>
      </c>
      <c r="G42" s="27">
        <f t="shared" si="16"/>
        <v>5.7430160403127611E-7</v>
      </c>
      <c r="H42" s="27">
        <f t="shared" si="16"/>
        <v>4.4458923230776117E-7</v>
      </c>
      <c r="I42" s="27">
        <f t="shared" si="16"/>
        <v>1.304074635144992E-11</v>
      </c>
      <c r="J42" s="27">
        <f t="shared" si="16"/>
        <v>1.0726222104047032E-6</v>
      </c>
      <c r="K42" s="27">
        <f t="shared" si="16"/>
        <v>1.0377803898663753E-6</v>
      </c>
      <c r="L42" s="27">
        <f t="shared" si="16"/>
        <v>3.9882159636202605E-7</v>
      </c>
      <c r="M42" s="27">
        <f t="shared" si="16"/>
        <v>8.0416087327079928E-8</v>
      </c>
      <c r="N42" s="27">
        <f t="shared" si="16"/>
        <v>6.5486864803019484E-6</v>
      </c>
      <c r="O42" s="55" t="s">
        <v>43</v>
      </c>
    </row>
    <row r="43" spans="1:16" ht="18" thickBot="1">
      <c r="B43" s="67" t="s">
        <v>18</v>
      </c>
      <c r="C43" s="68"/>
      <c r="D43" s="69"/>
      <c r="E43" s="28">
        <f>SUM(E42:N42)</f>
        <v>1.1386083698683112E-5</v>
      </c>
      <c r="F43" s="40" t="s">
        <v>38</v>
      </c>
    </row>
    <row r="44" spans="1:16" ht="16" thickBot="1">
      <c r="B44" s="70" t="s">
        <v>10</v>
      </c>
      <c r="C44" s="71"/>
      <c r="D44" s="72"/>
      <c r="E44" s="39" t="s">
        <v>37</v>
      </c>
      <c r="F44" s="18"/>
      <c r="G44" s="18"/>
      <c r="H44" s="18"/>
      <c r="I44" s="18"/>
      <c r="J44" s="18"/>
      <c r="K44" s="18"/>
      <c r="L44" s="18"/>
      <c r="M44" s="18"/>
    </row>
    <row r="45" spans="1:16">
      <c r="B45" s="18"/>
      <c r="C45" s="42" t="s">
        <v>33</v>
      </c>
      <c r="D45" s="43">
        <v>0</v>
      </c>
      <c r="E45" s="43">
        <v>1</v>
      </c>
      <c r="F45" s="43">
        <v>2</v>
      </c>
      <c r="G45" s="43">
        <v>3</v>
      </c>
      <c r="H45" s="43">
        <v>4</v>
      </c>
      <c r="I45" s="43">
        <v>5</v>
      </c>
      <c r="J45" s="43">
        <v>6</v>
      </c>
      <c r="K45" s="43">
        <v>7</v>
      </c>
      <c r="L45" s="43">
        <v>8</v>
      </c>
      <c r="M45" s="43">
        <v>9</v>
      </c>
    </row>
    <row r="46" spans="1:16">
      <c r="B46" s="18"/>
      <c r="C46" s="43">
        <v>9</v>
      </c>
      <c r="D46" s="29">
        <f t="shared" ref="D46:D54" si="17">((M12/100 - $D$57) + (0.5*N45 + 0.5*N46)) / (1 + M12/100)</f>
        <v>0.99768375776690998</v>
      </c>
      <c r="E46" s="29">
        <f t="shared" ref="E46:E55" si="18">((N12/100 - $D$57) + (0.5*O45 + 0.5*O46)) / (1 + N12/100)</f>
        <v>-3.6999999999999998E-2</v>
      </c>
      <c r="F46" s="29">
        <f t="shared" ref="F46:F55" si="19">((O12/100 - $D$57) + (0.5*P45 + 0.5*P46)) / (1 + O12/100)</f>
        <v>-3.6999999999999998E-2</v>
      </c>
      <c r="G46" s="29">
        <f t="shared" ref="G46:G55" si="20">((P12/100 - $D$57) + (0.5*Q45 + 0.5*Q46)) / (1 + P12/100)</f>
        <v>-3.6999999999999998E-2</v>
      </c>
      <c r="H46" s="29">
        <f t="shared" ref="H46:H55" si="21">((Q12/100 - $D$57) + (0.5*R45 + 0.5*R46)) / (1 + Q12/100)</f>
        <v>-3.6999999999999998E-2</v>
      </c>
      <c r="I46" s="29">
        <f t="shared" ref="I46:I55" si="22">((R12/100 - $D$57) + (0.5*S45 + 0.5*S46)) / (1 + R12/100)</f>
        <v>-3.6999999999999998E-2</v>
      </c>
      <c r="J46" s="29">
        <f t="shared" ref="J46:J55" si="23">((S12/100 - $D$57) + (0.5*T45 + 0.5*T46)) / (1 + S12/100)</f>
        <v>-3.6999999999999998E-2</v>
      </c>
      <c r="K46" s="29">
        <f t="shared" ref="K46:K55" si="24">((T12/100 - $D$57) + (0.5*U45 + 0.5*U46)) / (1 + T12/100)</f>
        <v>-3.6999999999999998E-2</v>
      </c>
      <c r="L46" s="29">
        <f t="shared" ref="L46:L55" si="25">((U12/100 - $D$57) + (0.5*V45 + 0.5*V46)) / (1 + U12/100)</f>
        <v>-3.6999999999999998E-2</v>
      </c>
      <c r="M46" s="29">
        <f t="shared" ref="M46:M55" si="26">((V12/100 - $D$57) + (0.5*W45 + 0.5*W46)) / (1 + V12/100)</f>
        <v>-3.6999999999999998E-2</v>
      </c>
      <c r="N46" s="20"/>
    </row>
    <row r="47" spans="1:16">
      <c r="B47" s="18"/>
      <c r="C47" s="43">
        <v>8</v>
      </c>
      <c r="D47" s="29">
        <f t="shared" si="17"/>
        <v>0.99744075763553564</v>
      </c>
      <c r="E47" s="29">
        <f t="shared" si="18"/>
        <v>-3.6999999999999998E-2</v>
      </c>
      <c r="F47" s="29">
        <f t="shared" si="19"/>
        <v>-3.6999999999999998E-2</v>
      </c>
      <c r="G47" s="29">
        <f t="shared" si="20"/>
        <v>-3.6999999999999998E-2</v>
      </c>
      <c r="H47" s="29">
        <f t="shared" si="21"/>
        <v>-3.6999999999999998E-2</v>
      </c>
      <c r="I47" s="29">
        <f t="shared" si="22"/>
        <v>-3.6999999999999998E-2</v>
      </c>
      <c r="J47" s="29">
        <f t="shared" si="23"/>
        <v>-3.6999999999999998E-2</v>
      </c>
      <c r="K47" s="29">
        <f t="shared" si="24"/>
        <v>-3.6999999999999998E-2</v>
      </c>
      <c r="L47" s="29">
        <f t="shared" si="25"/>
        <v>-3.6999999999999998E-2</v>
      </c>
      <c r="M47" s="29">
        <f t="shared" si="26"/>
        <v>-3.6999999999999998E-2</v>
      </c>
    </row>
    <row r="48" spans="1:16">
      <c r="B48" s="18"/>
      <c r="C48" s="43">
        <v>7</v>
      </c>
      <c r="D48" s="29">
        <f t="shared" si="17"/>
        <v>0.99717233369959757</v>
      </c>
      <c r="E48" s="29">
        <f t="shared" si="18"/>
        <v>-3.6999999999999998E-2</v>
      </c>
      <c r="F48" s="29">
        <f t="shared" si="19"/>
        <v>-3.6999999999999998E-2</v>
      </c>
      <c r="G48" s="29">
        <f t="shared" si="20"/>
        <v>-3.6999999999999998E-2</v>
      </c>
      <c r="H48" s="29">
        <f t="shared" si="21"/>
        <v>-3.6999999999999998E-2</v>
      </c>
      <c r="I48" s="29">
        <f t="shared" si="22"/>
        <v>-3.6999999999999998E-2</v>
      </c>
      <c r="J48" s="29">
        <f t="shared" si="23"/>
        <v>-3.6999999999999998E-2</v>
      </c>
      <c r="K48" s="29">
        <f t="shared" si="24"/>
        <v>-3.6999999999999998E-2</v>
      </c>
      <c r="L48" s="29">
        <f t="shared" si="25"/>
        <v>-3.6999999999999998E-2</v>
      </c>
      <c r="M48" s="29">
        <f t="shared" si="26"/>
        <v>-3.6999999999999998E-2</v>
      </c>
    </row>
    <row r="49" spans="1:13">
      <c r="B49" s="18"/>
      <c r="C49" s="43">
        <v>6</v>
      </c>
      <c r="D49" s="29">
        <f t="shared" si="17"/>
        <v>0.99687584137715202</v>
      </c>
      <c r="E49" s="29">
        <f t="shared" si="18"/>
        <v>-3.6999999999999998E-2</v>
      </c>
      <c r="F49" s="29">
        <f t="shared" si="19"/>
        <v>-3.6999999999999998E-2</v>
      </c>
      <c r="G49" s="29">
        <f t="shared" si="20"/>
        <v>-3.6999999999999998E-2</v>
      </c>
      <c r="H49" s="29">
        <f t="shared" si="21"/>
        <v>-3.6999999999999998E-2</v>
      </c>
      <c r="I49" s="29">
        <f t="shared" si="22"/>
        <v>-3.6999999999999998E-2</v>
      </c>
      <c r="J49" s="29">
        <f t="shared" si="23"/>
        <v>-3.6999999999999998E-2</v>
      </c>
      <c r="K49" s="29">
        <f t="shared" si="24"/>
        <v>-3.6999999999999998E-2</v>
      </c>
      <c r="L49" s="29">
        <f t="shared" si="25"/>
        <v>-3.6999999999999998E-2</v>
      </c>
      <c r="M49" s="29">
        <f t="shared" si="26"/>
        <v>-3.6999999999999998E-2</v>
      </c>
    </row>
    <row r="50" spans="1:13">
      <c r="B50" s="18"/>
      <c r="C50" s="43">
        <v>5</v>
      </c>
      <c r="D50" s="29">
        <f t="shared" si="17"/>
        <v>0.99654836438793248</v>
      </c>
      <c r="E50" s="29">
        <f t="shared" si="18"/>
        <v>-3.6999999999999998E-2</v>
      </c>
      <c r="F50" s="29">
        <f t="shared" si="19"/>
        <v>-3.6999999999999998E-2</v>
      </c>
      <c r="G50" s="29">
        <f t="shared" si="20"/>
        <v>-3.6999999999999998E-2</v>
      </c>
      <c r="H50" s="29">
        <f t="shared" si="21"/>
        <v>-3.6999999999999998E-2</v>
      </c>
      <c r="I50" s="29">
        <f t="shared" si="22"/>
        <v>-3.6999999999999998E-2</v>
      </c>
      <c r="J50" s="29">
        <f t="shared" si="23"/>
        <v>-3.6999999999999998E-2</v>
      </c>
      <c r="K50" s="29">
        <f t="shared" si="24"/>
        <v>-3.6999999999999998E-2</v>
      </c>
      <c r="L50" s="29">
        <f t="shared" si="25"/>
        <v>-3.6999999999999998E-2</v>
      </c>
      <c r="M50" s="29">
        <f t="shared" si="26"/>
        <v>-3.6999999999999998E-2</v>
      </c>
    </row>
    <row r="51" spans="1:13">
      <c r="B51" s="18"/>
      <c r="C51" s="43">
        <v>4</v>
      </c>
      <c r="D51" s="29">
        <f t="shared" si="17"/>
        <v>0.99618668758792872</v>
      </c>
      <c r="E51" s="29">
        <f t="shared" si="18"/>
        <v>-3.6999999999999998E-2</v>
      </c>
      <c r="F51" s="29">
        <f t="shared" si="19"/>
        <v>-3.6999999999999998E-2</v>
      </c>
      <c r="G51" s="29">
        <f t="shared" si="20"/>
        <v>-3.6999999999999998E-2</v>
      </c>
      <c r="H51" s="29">
        <f t="shared" si="21"/>
        <v>-3.6999999999999998E-2</v>
      </c>
      <c r="I51" s="29">
        <f t="shared" si="22"/>
        <v>-3.6999999999999998E-2</v>
      </c>
      <c r="J51" s="29">
        <f t="shared" si="23"/>
        <v>-3.6999999999999998E-2</v>
      </c>
      <c r="K51" s="29">
        <f t="shared" si="24"/>
        <v>-3.6999999999999998E-2</v>
      </c>
      <c r="L51" s="29">
        <f t="shared" si="25"/>
        <v>-3.6999999999999998E-2</v>
      </c>
      <c r="M51" s="29">
        <f t="shared" si="26"/>
        <v>-3.6999999999999998E-2</v>
      </c>
    </row>
    <row r="52" spans="1:13">
      <c r="B52" s="18"/>
      <c r="C52" s="43">
        <v>3</v>
      </c>
      <c r="D52" s="29">
        <f t="shared" si="17"/>
        <v>0.99578726725366495</v>
      </c>
      <c r="E52" s="29">
        <f t="shared" si="18"/>
        <v>-3.6999999999999998E-2</v>
      </c>
      <c r="F52" s="29">
        <f t="shared" si="19"/>
        <v>-3.6999999999999998E-2</v>
      </c>
      <c r="G52" s="29">
        <f t="shared" si="20"/>
        <v>-3.6999999999999998E-2</v>
      </c>
      <c r="H52" s="29">
        <f t="shared" si="21"/>
        <v>-3.6999999999999998E-2</v>
      </c>
      <c r="I52" s="29">
        <f t="shared" si="22"/>
        <v>-3.6999999999999998E-2</v>
      </c>
      <c r="J52" s="29">
        <f t="shared" si="23"/>
        <v>-3.6999999999999998E-2</v>
      </c>
      <c r="K52" s="29">
        <f t="shared" si="24"/>
        <v>-3.6999999999999998E-2</v>
      </c>
      <c r="L52" s="29">
        <f t="shared" si="25"/>
        <v>-3.6999999999999998E-2</v>
      </c>
      <c r="M52" s="29">
        <f t="shared" si="26"/>
        <v>-3.6999999999999998E-2</v>
      </c>
    </row>
    <row r="53" spans="1:13">
      <c r="B53" s="18"/>
      <c r="C53" s="43">
        <v>2</v>
      </c>
      <c r="D53" s="29">
        <f t="shared" si="17"/>
        <v>0.99534619861402585</v>
      </c>
      <c r="E53" s="29">
        <f t="shared" si="18"/>
        <v>-3.6999999999999998E-2</v>
      </c>
      <c r="F53" s="29">
        <f t="shared" si="19"/>
        <v>-3.6999999999999998E-2</v>
      </c>
      <c r="G53" s="29">
        <f t="shared" si="20"/>
        <v>-3.6999999999999998E-2</v>
      </c>
      <c r="H53" s="29">
        <f t="shared" si="21"/>
        <v>-3.6999999999999998E-2</v>
      </c>
      <c r="I53" s="29">
        <f t="shared" si="22"/>
        <v>-3.6999999999999998E-2</v>
      </c>
      <c r="J53" s="29">
        <f t="shared" si="23"/>
        <v>-3.6999999999999998E-2</v>
      </c>
      <c r="K53" s="29">
        <f t="shared" si="24"/>
        <v>-3.6999999999999998E-2</v>
      </c>
      <c r="L53" s="29">
        <f t="shared" si="25"/>
        <v>-3.6999999999999998E-2</v>
      </c>
      <c r="M53" s="29">
        <f t="shared" si="26"/>
        <v>-3.6999999999999998E-2</v>
      </c>
    </row>
    <row r="54" spans="1:13">
      <c r="B54" s="18"/>
      <c r="C54" s="43">
        <v>1</v>
      </c>
      <c r="D54" s="29">
        <f t="shared" si="17"/>
        <v>0.99485918042021237</v>
      </c>
      <c r="E54" s="29">
        <f t="shared" si="18"/>
        <v>-3.6999999999999998E-2</v>
      </c>
      <c r="F54" s="29">
        <f t="shared" si="19"/>
        <v>-3.6999999999999998E-2</v>
      </c>
      <c r="G54" s="29">
        <f t="shared" si="20"/>
        <v>-3.6999999999999998E-2</v>
      </c>
      <c r="H54" s="29">
        <f t="shared" si="21"/>
        <v>-3.6999999999999998E-2</v>
      </c>
      <c r="I54" s="29">
        <f t="shared" si="22"/>
        <v>-3.6999999999999998E-2</v>
      </c>
      <c r="J54" s="29">
        <f t="shared" si="23"/>
        <v>-3.6999999999999998E-2</v>
      </c>
      <c r="K54" s="29">
        <f t="shared" si="24"/>
        <v>-3.6999999999999998E-2</v>
      </c>
      <c r="L54" s="29">
        <f t="shared" si="25"/>
        <v>-3.6999999999999998E-2</v>
      </c>
      <c r="M54" s="29">
        <f t="shared" si="26"/>
        <v>-3.6999999999999998E-2</v>
      </c>
    </row>
    <row r="55" spans="1:13">
      <c r="B55" s="18"/>
      <c r="C55" s="43">
        <v>0</v>
      </c>
      <c r="D55" s="29">
        <f>((M21/100 - $D$57) + (0.5*N54 + 0.5*N55)) / (1 + M21/100)</f>
        <v>0.99432147633926571</v>
      </c>
      <c r="E55" s="29">
        <f t="shared" si="18"/>
        <v>-3.6999999999999998E-2</v>
      </c>
      <c r="F55" s="29">
        <f t="shared" si="19"/>
        <v>-3.6999999999999998E-2</v>
      </c>
      <c r="G55" s="29">
        <f t="shared" si="20"/>
        <v>-3.6999999999999998E-2</v>
      </c>
      <c r="H55" s="29">
        <f t="shared" si="21"/>
        <v>-3.6999999999999998E-2</v>
      </c>
      <c r="I55" s="29">
        <f t="shared" si="22"/>
        <v>-3.6999999999999998E-2</v>
      </c>
      <c r="J55" s="29">
        <f t="shared" si="23"/>
        <v>-3.6999999999999998E-2</v>
      </c>
      <c r="K55" s="29">
        <f t="shared" si="24"/>
        <v>-3.6999999999999998E-2</v>
      </c>
      <c r="L55" s="29">
        <f t="shared" si="25"/>
        <v>-3.6999999999999998E-2</v>
      </c>
      <c r="M55" s="29">
        <f t="shared" si="26"/>
        <v>-3.6999999999999998E-2</v>
      </c>
    </row>
    <row r="57" spans="1:13">
      <c r="B57" s="30" t="s">
        <v>11</v>
      </c>
      <c r="C57" s="31"/>
      <c r="D57" s="32">
        <v>3.6999999999999998E-2</v>
      </c>
      <c r="E57" s="6" t="s">
        <v>16</v>
      </c>
    </row>
    <row r="58" spans="1:13">
      <c r="B58" s="30" t="s">
        <v>12</v>
      </c>
      <c r="C58" s="10"/>
      <c r="D58" s="33">
        <v>3</v>
      </c>
    </row>
    <row r="59" spans="1:13">
      <c r="B59" s="30" t="s">
        <v>13</v>
      </c>
      <c r="C59" s="10"/>
      <c r="D59" s="34">
        <v>7</v>
      </c>
      <c r="E59" s="6" t="s">
        <v>17</v>
      </c>
    </row>
    <row r="60" spans="1:13">
      <c r="B60" s="30" t="s">
        <v>14</v>
      </c>
      <c r="C60" s="10"/>
      <c r="D60" s="35">
        <v>0</v>
      </c>
    </row>
    <row r="61" spans="1:13">
      <c r="B61" s="30" t="s">
        <v>15</v>
      </c>
      <c r="C61" s="10"/>
      <c r="D61" s="34">
        <v>1</v>
      </c>
    </row>
    <row r="63" spans="1:13">
      <c r="A63" s="6" t="s">
        <v>39</v>
      </c>
      <c r="C63" s="6" t="s">
        <v>19</v>
      </c>
      <c r="D63" s="37">
        <f>D55*1000000</f>
        <v>994321.4763392657</v>
      </c>
    </row>
  </sheetData>
  <mergeCells count="9">
    <mergeCell ref="B40:D40"/>
    <mergeCell ref="B42:D42"/>
    <mergeCell ref="B44:D44"/>
    <mergeCell ref="B43:D43"/>
    <mergeCell ref="N11:R13"/>
    <mergeCell ref="B3:C3"/>
    <mergeCell ref="B4:C4"/>
    <mergeCell ref="B5:C5"/>
    <mergeCell ref="B39:D39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Question</vt:lpstr>
      <vt:lpstr>2. Swaption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주한음</dc:creator>
  <cp:lastModifiedBy>수린 김</cp:lastModifiedBy>
  <dcterms:created xsi:type="dcterms:W3CDTF">2023-08-27T09:15:50Z</dcterms:created>
  <dcterms:modified xsi:type="dcterms:W3CDTF">2026-03-18T16:07:20Z</dcterms:modified>
</cp:coreProperties>
</file>