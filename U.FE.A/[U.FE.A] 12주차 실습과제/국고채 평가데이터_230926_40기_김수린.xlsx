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90261BEA96BFC57/문서/중앙대학교/U.FE.A/[유피아] 41기 준회원/[유피아 41기] 실습과제/[유피아] 12주차 실습과제/"/>
    </mc:Choice>
  </mc:AlternateContent>
  <xr:revisionPtr revIDLastSave="0" documentId="8_{5DF98BE1-0623-4787-890D-301BC0011569}" xr6:coauthVersionLast="47" xr6:coauthVersionMax="47" xr10:uidLastSave="{00000000-0000-0000-0000-000000000000}"/>
  <bookViews>
    <workbookView xWindow="2620" yWindow="2620" windowWidth="13680" windowHeight="12610" activeTab="2" xr2:uid="{EBBCAF92-4830-4368-ACEB-C99F65A8E9E8}"/>
  </bookViews>
  <sheets>
    <sheet name="Cover" sheetId="7" r:id="rId1"/>
    <sheet name="SpotRate(KRW)" sheetId="4" r:id="rId2"/>
    <sheet name="SpotRate(USD)" sheetId="6" r:id="rId3"/>
  </sheets>
  <definedNames>
    <definedName name="_xlnm._FilterDatabase" localSheetId="1" hidden="1">'SpotRate(KRW)'!$B$6:$P$6</definedName>
    <definedName name="solver_adj" localSheetId="1" hidden="1">'SpotRate(KRW)'!$I$68:$L$68</definedName>
    <definedName name="solver_adj" localSheetId="2" hidden="1">'SpotRate(USD)'!$H$22:$K$22</definedName>
    <definedName name="solver_cvg" localSheetId="1" hidden="1">0.0001</definedName>
    <definedName name="solver_cvg" localSheetId="2" hidden="1">0.0001</definedName>
    <definedName name="solver_drv" localSheetId="1" hidden="1">2</definedName>
    <definedName name="solver_drv" localSheetId="2" hidden="1">2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'SpotRate(KRW)'!$L$68</definedName>
    <definedName name="solver_lhs1" localSheetId="2" hidden="1">'SpotRate(USD)'!$K$22</definedName>
    <definedName name="solver_lhs2" localSheetId="1" hidden="1">'SpotRate(KRW)'!$M$7:$M$59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1</definedName>
    <definedName name="solver_num" localSheetId="2" hidden="1">1</definedName>
    <definedName name="solver_nwt" localSheetId="1" hidden="1">1</definedName>
    <definedName name="solver_nwt" localSheetId="2" hidden="1">1</definedName>
    <definedName name="solver_opt" localSheetId="1" hidden="1">'SpotRate(KRW)'!$H$148</definedName>
    <definedName name="solver_opt" localSheetId="2" hidden="1">'SpotRate(USD)'!$I$50</definedName>
    <definedName name="solver_pre" localSheetId="1" hidden="1">0.000001</definedName>
    <definedName name="solver_pre" localSheetId="2" hidden="1">0.000001</definedName>
    <definedName name="solver_rbv" localSheetId="1" hidden="1">2</definedName>
    <definedName name="solver_rbv" localSheetId="2" hidden="1">2</definedName>
    <definedName name="solver_rel1" localSheetId="1" hidden="1">3</definedName>
    <definedName name="solver_rel1" localSheetId="2" hidden="1">3</definedName>
    <definedName name="solver_rel2" localSheetId="1" hidden="1">3</definedName>
    <definedName name="solver_rhs1" localSheetId="1" hidden="1">0.01</definedName>
    <definedName name="solver_rhs1" localSheetId="2" hidden="1">0.01</definedName>
    <definedName name="solver_rhs2" localSheetId="1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2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1" i="4" l="1"/>
  <c r="F71" i="4" s="1"/>
  <c r="G71" i="4" s="1"/>
  <c r="E71" i="4" s="1"/>
  <c r="D27" i="6"/>
  <c r="D28" i="6"/>
  <c r="D29" i="6"/>
  <c r="D26" i="6"/>
  <c r="E27" i="6"/>
  <c r="E28" i="6"/>
  <c r="E29" i="6"/>
  <c r="E26" i="6"/>
  <c r="E31" i="6"/>
  <c r="E32" i="6"/>
  <c r="E33" i="6"/>
  <c r="E34" i="6"/>
  <c r="E35" i="6"/>
  <c r="E36" i="6"/>
  <c r="E37" i="6"/>
  <c r="E38" i="6"/>
  <c r="E39" i="6"/>
  <c r="D39" i="6" s="1"/>
  <c r="E40" i="6"/>
  <c r="D40" i="6" s="1"/>
  <c r="E41" i="6"/>
  <c r="E42" i="6"/>
  <c r="D42" i="6" s="1"/>
  <c r="E43" i="6"/>
  <c r="E44" i="6"/>
  <c r="E45" i="6"/>
  <c r="E46" i="6"/>
  <c r="E47" i="6"/>
  <c r="D47" i="6" s="1"/>
  <c r="E48" i="6"/>
  <c r="D48" i="6" s="1"/>
  <c r="E49" i="6"/>
  <c r="D49" i="6" s="1"/>
  <c r="D38" i="6"/>
  <c r="D41" i="6"/>
  <c r="D43" i="6"/>
  <c r="D37" i="6"/>
  <c r="D44" i="6"/>
  <c r="E30" i="6"/>
  <c r="F27" i="6"/>
  <c r="G27" i="6" s="1"/>
  <c r="F28" i="6"/>
  <c r="G28" i="6" s="1"/>
  <c r="F29" i="6"/>
  <c r="G29" i="6" s="1"/>
  <c r="F30" i="6"/>
  <c r="G30" i="6" s="1"/>
  <c r="F31" i="6"/>
  <c r="G31" i="6" s="1"/>
  <c r="F32" i="6"/>
  <c r="G32" i="6" s="1"/>
  <c r="F33" i="6"/>
  <c r="G33" i="6" s="1"/>
  <c r="F34" i="6"/>
  <c r="H34" i="6" s="1"/>
  <c r="F35" i="6"/>
  <c r="H35" i="6" s="1"/>
  <c r="F36" i="6"/>
  <c r="G36" i="6" s="1"/>
  <c r="F37" i="6"/>
  <c r="H37" i="6" s="1"/>
  <c r="F38" i="6"/>
  <c r="H38" i="6" s="1"/>
  <c r="F39" i="6"/>
  <c r="H39" i="6" s="1"/>
  <c r="F40" i="6"/>
  <c r="H40" i="6" s="1"/>
  <c r="F41" i="6"/>
  <c r="G41" i="6" s="1"/>
  <c r="F42" i="6"/>
  <c r="G42" i="6" s="1"/>
  <c r="F43" i="6"/>
  <c r="G43" i="6" s="1"/>
  <c r="F44" i="6"/>
  <c r="H44" i="6" s="1"/>
  <c r="F45" i="6"/>
  <c r="H45" i="6" s="1"/>
  <c r="F46" i="6"/>
  <c r="G46" i="6" s="1"/>
  <c r="F47" i="6"/>
  <c r="H47" i="6" s="1"/>
  <c r="F48" i="6"/>
  <c r="H48" i="6" s="1"/>
  <c r="F49" i="6"/>
  <c r="H49" i="6" s="1"/>
  <c r="F26" i="6"/>
  <c r="G26" i="6" s="1"/>
  <c r="D34" i="6"/>
  <c r="D35" i="6"/>
  <c r="D36" i="6"/>
  <c r="D45" i="6"/>
  <c r="D46" i="6"/>
  <c r="F6" i="6"/>
  <c r="F7" i="6"/>
  <c r="F8" i="6"/>
  <c r="F9" i="6"/>
  <c r="F10" i="6"/>
  <c r="F11" i="6"/>
  <c r="F12" i="6"/>
  <c r="F13" i="6"/>
  <c r="F14" i="6"/>
  <c r="F15" i="6"/>
  <c r="F16" i="6"/>
  <c r="F17" i="6"/>
  <c r="F5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D72" i="4"/>
  <c r="D73" i="4"/>
  <c r="D74" i="4"/>
  <c r="D75" i="4"/>
  <c r="D76" i="4"/>
  <c r="E72" i="4"/>
  <c r="E73" i="4"/>
  <c r="E74" i="4"/>
  <c r="E75" i="4"/>
  <c r="E76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F72" i="4"/>
  <c r="G72" i="4" s="1"/>
  <c r="F73" i="4"/>
  <c r="G73" i="4" s="1"/>
  <c r="F74" i="4"/>
  <c r="G74" i="4" s="1"/>
  <c r="F75" i="4"/>
  <c r="G75" i="4" s="1"/>
  <c r="F76" i="4"/>
  <c r="G76" i="4" s="1"/>
  <c r="F77" i="4"/>
  <c r="H77" i="4" s="1"/>
  <c r="F78" i="4"/>
  <c r="H78" i="4" s="1"/>
  <c r="F79" i="4"/>
  <c r="H79" i="4" s="1"/>
  <c r="F80" i="4"/>
  <c r="H80" i="4" s="1"/>
  <c r="F81" i="4"/>
  <c r="G81" i="4" s="1"/>
  <c r="F82" i="4"/>
  <c r="G82" i="4" s="1"/>
  <c r="F83" i="4"/>
  <c r="G83" i="4" s="1"/>
  <c r="F84" i="4"/>
  <c r="G84" i="4" s="1"/>
  <c r="F85" i="4"/>
  <c r="H85" i="4" s="1"/>
  <c r="F86" i="4"/>
  <c r="H86" i="4" s="1"/>
  <c r="F87" i="4"/>
  <c r="H87" i="4" s="1"/>
  <c r="F88" i="4"/>
  <c r="H88" i="4" s="1"/>
  <c r="F89" i="4"/>
  <c r="H89" i="4" s="1"/>
  <c r="F90" i="4"/>
  <c r="H90" i="4" s="1"/>
  <c r="F91" i="4"/>
  <c r="G91" i="4" s="1"/>
  <c r="F92" i="4"/>
  <c r="G92" i="4" s="1"/>
  <c r="F93" i="4"/>
  <c r="G93" i="4" s="1"/>
  <c r="F94" i="4"/>
  <c r="G94" i="4" s="1"/>
  <c r="F95" i="4"/>
  <c r="H95" i="4" s="1"/>
  <c r="F96" i="4"/>
  <c r="H96" i="4" s="1"/>
  <c r="F97" i="4"/>
  <c r="G97" i="4" s="1"/>
  <c r="F98" i="4"/>
  <c r="H98" i="4" s="1"/>
  <c r="F99" i="4"/>
  <c r="H99" i="4" s="1"/>
  <c r="F100" i="4"/>
  <c r="H100" i="4" s="1"/>
  <c r="F101" i="4"/>
  <c r="G101" i="4" s="1"/>
  <c r="F102" i="4"/>
  <c r="G102" i="4" s="1"/>
  <c r="F103" i="4"/>
  <c r="G103" i="4" s="1"/>
  <c r="F104" i="4"/>
  <c r="G104" i="4" s="1"/>
  <c r="F105" i="4"/>
  <c r="H105" i="4" s="1"/>
  <c r="F106" i="4"/>
  <c r="G106" i="4" s="1"/>
  <c r="F107" i="4"/>
  <c r="G107" i="4" s="1"/>
  <c r="F108" i="4"/>
  <c r="H108" i="4" s="1"/>
  <c r="F109" i="4"/>
  <c r="H109" i="4" s="1"/>
  <c r="F110" i="4"/>
  <c r="H110" i="4" s="1"/>
  <c r="F111" i="4"/>
  <c r="G111" i="4" s="1"/>
  <c r="F112" i="4"/>
  <c r="G112" i="4" s="1"/>
  <c r="F113" i="4"/>
  <c r="G113" i="4" s="1"/>
  <c r="F114" i="4"/>
  <c r="G114" i="4" s="1"/>
  <c r="F115" i="4"/>
  <c r="H115" i="4" s="1"/>
  <c r="F116" i="4"/>
  <c r="H116" i="4" s="1"/>
  <c r="F117" i="4"/>
  <c r="H117" i="4" s="1"/>
  <c r="F118" i="4"/>
  <c r="H118" i="4" s="1"/>
  <c r="F119" i="4"/>
  <c r="H119" i="4" s="1"/>
  <c r="F120" i="4"/>
  <c r="H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H128" i="4" s="1"/>
  <c r="F129" i="4"/>
  <c r="H129" i="4" s="1"/>
  <c r="F130" i="4"/>
  <c r="H130" i="4" s="1"/>
  <c r="F131" i="4"/>
  <c r="G131" i="4" s="1"/>
  <c r="F132" i="4"/>
  <c r="G132" i="4" s="1"/>
  <c r="F133" i="4"/>
  <c r="G133" i="4" s="1"/>
  <c r="F134" i="4"/>
  <c r="G134" i="4" s="1"/>
  <c r="F135" i="4"/>
  <c r="H135" i="4" s="1"/>
  <c r="F136" i="4"/>
  <c r="H136" i="4" s="1"/>
  <c r="F137" i="4"/>
  <c r="H137" i="4" s="1"/>
  <c r="F138" i="4"/>
  <c r="H138" i="4" s="1"/>
  <c r="F139" i="4"/>
  <c r="H139" i="4" s="1"/>
  <c r="F140" i="4"/>
  <c r="H140" i="4" s="1"/>
  <c r="F141" i="4"/>
  <c r="G141" i="4" s="1"/>
  <c r="F142" i="4"/>
  <c r="G142" i="4" s="1"/>
  <c r="F143" i="4"/>
  <c r="G143" i="4" s="1"/>
  <c r="F144" i="4"/>
  <c r="G144" i="4" s="1"/>
  <c r="F145" i="4"/>
  <c r="H145" i="4" s="1"/>
  <c r="F146" i="4"/>
  <c r="H146" i="4" s="1"/>
  <c r="F147" i="4"/>
  <c r="H147" i="4" s="1"/>
  <c r="E78" i="4" a="1"/>
  <c r="E78" i="4" s="1"/>
  <c r="E79" i="4" a="1"/>
  <c r="E79" i="4"/>
  <c r="E80" i="4" a="1"/>
  <c r="E80" i="4"/>
  <c r="E81" i="4" a="1"/>
  <c r="E81" i="4" s="1"/>
  <c r="E82" i="4" a="1"/>
  <c r="E82" i="4" s="1"/>
  <c r="E83" i="4" a="1"/>
  <c r="E83" i="4" s="1"/>
  <c r="E84" i="4" a="1"/>
  <c r="E84" i="4"/>
  <c r="E85" i="4" a="1"/>
  <c r="E85" i="4"/>
  <c r="E86" i="4" a="1"/>
  <c r="E86" i="4" s="1"/>
  <c r="E87" i="4" a="1"/>
  <c r="E87" i="4" s="1"/>
  <c r="E88" i="4" a="1"/>
  <c r="E88" i="4" s="1"/>
  <c r="E89" i="4" a="1"/>
  <c r="E89" i="4"/>
  <c r="E90" i="4" a="1"/>
  <c r="E90" i="4"/>
  <c r="E91" i="4" a="1"/>
  <c r="E91" i="4" s="1"/>
  <c r="E92" i="4" a="1"/>
  <c r="E92" i="4" s="1"/>
  <c r="E93" i="4" a="1"/>
  <c r="E93" i="4" s="1"/>
  <c r="E94" i="4" a="1"/>
  <c r="E94" i="4" s="1"/>
  <c r="E95" i="4" a="1"/>
  <c r="E95" i="4"/>
  <c r="E96" i="4" a="1"/>
  <c r="E96" i="4" s="1"/>
  <c r="E97" i="4" a="1"/>
  <c r="E97" i="4" s="1"/>
  <c r="E98" i="4" a="1"/>
  <c r="E98" i="4" s="1"/>
  <c r="E99" i="4" a="1"/>
  <c r="E99" i="4" s="1"/>
  <c r="E100" i="4" a="1"/>
  <c r="E100" i="4"/>
  <c r="E101" i="4" a="1"/>
  <c r="E101" i="4" s="1"/>
  <c r="E102" i="4" a="1"/>
  <c r="E102" i="4" s="1"/>
  <c r="E103" i="4" a="1"/>
  <c r="E103" i="4" s="1"/>
  <c r="E104" i="4" a="1"/>
  <c r="E104" i="4" s="1"/>
  <c r="E105" i="4" a="1"/>
  <c r="E105" i="4"/>
  <c r="E106" i="4" a="1"/>
  <c r="E106" i="4" s="1"/>
  <c r="E107" i="4" a="1"/>
  <c r="E107" i="4" s="1"/>
  <c r="E108" i="4" a="1"/>
  <c r="E108" i="4" s="1"/>
  <c r="E109" i="4" a="1"/>
  <c r="E109" i="4" s="1"/>
  <c r="E110" i="4" a="1"/>
  <c r="E110" i="4"/>
  <c r="E111" i="4" a="1"/>
  <c r="E111" i="4" s="1"/>
  <c r="E112" i="4" a="1"/>
  <c r="E112" i="4" s="1"/>
  <c r="E113" i="4" a="1"/>
  <c r="E113" i="4" s="1"/>
  <c r="E114" i="4" a="1"/>
  <c r="E114" i="4" s="1"/>
  <c r="E115" i="4" a="1"/>
  <c r="E115" i="4"/>
  <c r="E116" i="4" a="1"/>
  <c r="E116" i="4" s="1"/>
  <c r="E117" i="4" a="1"/>
  <c r="E117" i="4" s="1"/>
  <c r="E118" i="4" a="1"/>
  <c r="E118" i="4" s="1"/>
  <c r="E119" i="4" a="1"/>
  <c r="E119" i="4" s="1"/>
  <c r="E120" i="4" a="1"/>
  <c r="E120" i="4"/>
  <c r="E121" i="4" a="1"/>
  <c r="E121" i="4" s="1"/>
  <c r="E122" i="4" a="1"/>
  <c r="E122" i="4" s="1"/>
  <c r="E123" i="4" a="1"/>
  <c r="E123" i="4" s="1"/>
  <c r="E124" i="4" a="1"/>
  <c r="E124" i="4" s="1"/>
  <c r="E125" i="4" a="1"/>
  <c r="E125" i="4"/>
  <c r="E126" i="4" a="1"/>
  <c r="E126" i="4" s="1"/>
  <c r="E127" i="4" a="1"/>
  <c r="E127" i="4" s="1"/>
  <c r="E128" i="4" a="1"/>
  <c r="E128" i="4" s="1"/>
  <c r="E129" i="4" a="1"/>
  <c r="E129" i="4" s="1"/>
  <c r="E130" i="4" a="1"/>
  <c r="E130" i="4"/>
  <c r="E131" i="4" a="1"/>
  <c r="E131" i="4" s="1"/>
  <c r="E132" i="4" a="1"/>
  <c r="E132" i="4" s="1"/>
  <c r="E133" i="4" a="1"/>
  <c r="E133" i="4" s="1"/>
  <c r="E134" i="4" a="1"/>
  <c r="E134" i="4" s="1"/>
  <c r="E135" i="4" a="1"/>
  <c r="E135" i="4" s="1"/>
  <c r="E136" i="4" a="1"/>
  <c r="E136" i="4" s="1"/>
  <c r="E137" i="4" a="1"/>
  <c r="E137" i="4" s="1"/>
  <c r="E138" i="4" a="1"/>
  <c r="E138" i="4" s="1"/>
  <c r="E139" i="4" a="1"/>
  <c r="E139" i="4" s="1"/>
  <c r="E140" i="4" a="1"/>
  <c r="E140" i="4" s="1"/>
  <c r="E141" i="4" a="1"/>
  <c r="E141" i="4" s="1"/>
  <c r="E142" i="4" a="1"/>
  <c r="E142" i="4" s="1"/>
  <c r="E143" i="4" a="1"/>
  <c r="E143" i="4" s="1"/>
  <c r="E144" i="4" a="1"/>
  <c r="E144" i="4" s="1"/>
  <c r="E145" i="4" a="1"/>
  <c r="E145" i="4" s="1"/>
  <c r="E146" i="4" a="1"/>
  <c r="E146" i="4" s="1"/>
  <c r="E147" i="4" a="1"/>
  <c r="E147" i="4" s="1"/>
  <c r="C117" i="4"/>
  <c r="C145" i="4"/>
  <c r="C143" i="4"/>
  <c r="C144" i="4"/>
  <c r="C142" i="4"/>
  <c r="C141" i="4"/>
  <c r="C140" i="4"/>
  <c r="C139" i="4"/>
  <c r="C137" i="4"/>
  <c r="C136" i="4"/>
  <c r="C135" i="4"/>
  <c r="C134" i="4"/>
  <c r="C132" i="4"/>
  <c r="C131" i="4"/>
  <c r="C130" i="4"/>
  <c r="C129" i="4"/>
  <c r="C128" i="4"/>
  <c r="C127" i="4"/>
  <c r="C102" i="4"/>
  <c r="C97" i="4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92" i="4"/>
  <c r="C91" i="4"/>
  <c r="C90" i="4"/>
  <c r="C89" i="4"/>
  <c r="C88" i="4"/>
  <c r="C86" i="4"/>
  <c r="C85" i="4"/>
  <c r="C147" i="4" s="1"/>
  <c r="C84" i="4"/>
  <c r="C83" i="4"/>
  <c r="C82" i="4"/>
  <c r="C81" i="4"/>
  <c r="C80" i="4"/>
  <c r="C79" i="4"/>
  <c r="C78" i="4"/>
  <c r="C77" i="4"/>
  <c r="C87" i="4" s="1"/>
  <c r="C93" i="4" s="1"/>
  <c r="C76" i="4"/>
  <c r="C75" i="4"/>
  <c r="C73" i="4"/>
  <c r="C74" i="4"/>
  <c r="C72" i="4"/>
  <c r="D71" i="4" l="1"/>
  <c r="H30" i="6"/>
  <c r="H46" i="6"/>
  <c r="H36" i="6"/>
  <c r="H43" i="6"/>
  <c r="H33" i="6"/>
  <c r="H42" i="6"/>
  <c r="H32" i="6"/>
  <c r="H41" i="6"/>
  <c r="H31" i="6"/>
  <c r="G49" i="6"/>
  <c r="G40" i="6"/>
  <c r="G48" i="6"/>
  <c r="G39" i="6"/>
  <c r="G47" i="6"/>
  <c r="G38" i="6"/>
  <c r="G37" i="6"/>
  <c r="G35" i="6"/>
  <c r="G44" i="6"/>
  <c r="G45" i="6"/>
  <c r="G34" i="6"/>
  <c r="G100" i="4"/>
  <c r="G105" i="4"/>
  <c r="G99" i="4"/>
  <c r="G80" i="4"/>
  <c r="G79" i="4"/>
  <c r="G115" i="4"/>
  <c r="G145" i="4"/>
  <c r="H127" i="4"/>
  <c r="G85" i="4"/>
  <c r="G130" i="4"/>
  <c r="H126" i="4"/>
  <c r="G129" i="4"/>
  <c r="G136" i="4"/>
  <c r="G135" i="4"/>
  <c r="G77" i="4"/>
  <c r="G146" i="4"/>
  <c r="G116" i="4"/>
  <c r="G86" i="4"/>
  <c r="H107" i="4"/>
  <c r="H106" i="4"/>
  <c r="G96" i="4"/>
  <c r="H97" i="4"/>
  <c r="G137" i="4"/>
  <c r="G118" i="4"/>
  <c r="G95" i="4"/>
  <c r="G78" i="4"/>
  <c r="G98" i="4"/>
  <c r="G147" i="4"/>
  <c r="G117" i="4"/>
  <c r="G87" i="4"/>
  <c r="G119" i="4"/>
  <c r="G110" i="4"/>
  <c r="G140" i="4"/>
  <c r="G108" i="4"/>
  <c r="G90" i="4"/>
  <c r="H125" i="4"/>
  <c r="G139" i="4"/>
  <c r="G89" i="4"/>
  <c r="G128" i="4"/>
  <c r="G109" i="4"/>
  <c r="G138" i="4"/>
  <c r="G120" i="4"/>
  <c r="G88" i="4"/>
  <c r="H144" i="4"/>
  <c r="H134" i="4"/>
  <c r="H124" i="4"/>
  <c r="H114" i="4"/>
  <c r="H104" i="4"/>
  <c r="H94" i="4"/>
  <c r="H84" i="4"/>
  <c r="H143" i="4"/>
  <c r="H133" i="4"/>
  <c r="H123" i="4"/>
  <c r="H113" i="4"/>
  <c r="H103" i="4"/>
  <c r="H93" i="4"/>
  <c r="H83" i="4"/>
  <c r="H82" i="4"/>
  <c r="H81" i="4"/>
  <c r="H142" i="4"/>
  <c r="H102" i="4"/>
  <c r="H131" i="4"/>
  <c r="H111" i="4"/>
  <c r="H101" i="4"/>
  <c r="H132" i="4"/>
  <c r="H122" i="4"/>
  <c r="H112" i="4"/>
  <c r="H92" i="4"/>
  <c r="H141" i="4"/>
  <c r="H121" i="4"/>
  <c r="H91" i="4"/>
  <c r="C98" i="4"/>
  <c r="C103" i="4" s="1"/>
  <c r="C108" i="4" s="1"/>
  <c r="C111" i="4" s="1"/>
  <c r="C114" i="4" s="1"/>
  <c r="C116" i="4" s="1"/>
  <c r="C94" i="4"/>
  <c r="N24" i="4"/>
  <c r="N16" i="4"/>
  <c r="N13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7" i="4"/>
  <c r="S6" i="4"/>
  <c r="N26" i="4"/>
  <c r="N22" i="4"/>
  <c r="N21" i="4"/>
  <c r="N20" i="4"/>
  <c r="N19" i="4"/>
  <c r="N18" i="4"/>
  <c r="N14" i="4"/>
  <c r="N12" i="4"/>
  <c r="N10" i="4"/>
  <c r="N8" i="4"/>
  <c r="L8" i="4"/>
  <c r="K10" i="4" a="1"/>
  <c r="K10" i="4" s="1"/>
  <c r="L10" i="4" s="1"/>
  <c r="K12" i="4" a="1"/>
  <c r="K12" i="4" s="1"/>
  <c r="L12" i="4" s="1"/>
  <c r="K14" i="4" a="1"/>
  <c r="K14" i="4" s="1"/>
  <c r="L14" i="4" s="1"/>
  <c r="K16" i="4" a="1"/>
  <c r="K16" i="4" s="1"/>
  <c r="L16" i="4" s="1"/>
  <c r="K18" i="4" a="1"/>
  <c r="K18" i="4" s="1"/>
  <c r="L18" i="4" s="1"/>
  <c r="K20" i="4" a="1"/>
  <c r="K20" i="4" s="1"/>
  <c r="L20" i="4" s="1"/>
  <c r="K22" i="4" a="1"/>
  <c r="K22" i="4" s="1"/>
  <c r="L22" i="4" s="1"/>
  <c r="K24" i="4" a="1"/>
  <c r="K24" i="4" s="1"/>
  <c r="L24" i="4" s="1"/>
  <c r="K26" i="4" a="1"/>
  <c r="K26" i="4" s="1"/>
  <c r="L26" i="4" s="1"/>
  <c r="K13" i="4" a="1"/>
  <c r="K13" i="4" s="1"/>
  <c r="L13" i="4" s="1"/>
  <c r="K15" i="4" a="1"/>
  <c r="K15" i="4" s="1"/>
  <c r="L15" i="4" s="1"/>
  <c r="N15" i="4"/>
  <c r="K17" i="4" a="1"/>
  <c r="K17" i="4" s="1"/>
  <c r="L17" i="4" s="1"/>
  <c r="N17" i="4"/>
  <c r="K19" i="4" a="1"/>
  <c r="K19" i="4" s="1"/>
  <c r="L19" i="4" s="1"/>
  <c r="K21" i="4" a="1"/>
  <c r="K21" i="4" s="1"/>
  <c r="L21" i="4" s="1"/>
  <c r="K23" i="4" a="1"/>
  <c r="K23" i="4" s="1"/>
  <c r="L23" i="4" s="1"/>
  <c r="N23" i="4"/>
  <c r="K25" i="4" a="1"/>
  <c r="K25" i="4" s="1"/>
  <c r="L25" i="4" s="1"/>
  <c r="N25" i="4"/>
  <c r="I50" i="6" l="1"/>
  <c r="H148" i="4"/>
  <c r="T6" i="4"/>
  <c r="S7" i="4"/>
  <c r="C95" i="4"/>
  <c r="C99" i="4"/>
  <c r="C104" i="4" s="1"/>
  <c r="C118" i="4"/>
  <c r="S54" i="4"/>
  <c r="T54" i="4"/>
  <c r="T44" i="4"/>
  <c r="S44" i="4"/>
  <c r="T34" i="4"/>
  <c r="S34" i="4"/>
  <c r="T24" i="4"/>
  <c r="S24" i="4"/>
  <c r="T14" i="4"/>
  <c r="S14" i="4"/>
  <c r="T53" i="4"/>
  <c r="S53" i="4"/>
  <c r="T43" i="4"/>
  <c r="S43" i="4"/>
  <c r="T33" i="4"/>
  <c r="S33" i="4"/>
  <c r="T23" i="4"/>
  <c r="S23" i="4"/>
  <c r="T13" i="4"/>
  <c r="S13" i="4"/>
  <c r="T52" i="4"/>
  <c r="S52" i="4"/>
  <c r="T42" i="4"/>
  <c r="S42" i="4"/>
  <c r="T32" i="4"/>
  <c r="S32" i="4"/>
  <c r="T22" i="4"/>
  <c r="S22" i="4"/>
  <c r="T12" i="4"/>
  <c r="S12" i="4"/>
  <c r="T51" i="4"/>
  <c r="S51" i="4"/>
  <c r="T41" i="4"/>
  <c r="S41" i="4"/>
  <c r="T31" i="4"/>
  <c r="S31" i="4"/>
  <c r="T21" i="4"/>
  <c r="S21" i="4"/>
  <c r="T11" i="4"/>
  <c r="S11" i="4"/>
  <c r="T50" i="4"/>
  <c r="U50" i="4"/>
  <c r="S50" i="4"/>
  <c r="T40" i="4"/>
  <c r="S40" i="4"/>
  <c r="T30" i="4"/>
  <c r="S30" i="4"/>
  <c r="T20" i="4"/>
  <c r="S20" i="4"/>
  <c r="T10" i="4"/>
  <c r="S10" i="4"/>
  <c r="S59" i="4"/>
  <c r="T59" i="4"/>
  <c r="T49" i="4"/>
  <c r="S49" i="4"/>
  <c r="T39" i="4"/>
  <c r="S39" i="4"/>
  <c r="U29" i="4"/>
  <c r="T29" i="4"/>
  <c r="S29" i="4"/>
  <c r="T19" i="4"/>
  <c r="S19" i="4"/>
  <c r="T9" i="4"/>
  <c r="S9" i="4"/>
  <c r="T58" i="4"/>
  <c r="S58" i="4"/>
  <c r="T48" i="4"/>
  <c r="S48" i="4"/>
  <c r="T38" i="4"/>
  <c r="S38" i="4"/>
  <c r="T28" i="4"/>
  <c r="S28" i="4"/>
  <c r="T18" i="4"/>
  <c r="U18" i="4"/>
  <c r="S18" i="4"/>
  <c r="T8" i="4"/>
  <c r="S8" i="4"/>
  <c r="T57" i="4"/>
  <c r="S57" i="4"/>
  <c r="T47" i="4"/>
  <c r="S47" i="4"/>
  <c r="T37" i="4"/>
  <c r="S37" i="4"/>
  <c r="T27" i="4"/>
  <c r="U27" i="4"/>
  <c r="S27" i="4"/>
  <c r="T17" i="4"/>
  <c r="S17" i="4"/>
  <c r="T56" i="4"/>
  <c r="U56" i="4"/>
  <c r="S56" i="4"/>
  <c r="T46" i="4"/>
  <c r="S46" i="4"/>
  <c r="T36" i="4"/>
  <c r="U36" i="4"/>
  <c r="S36" i="4"/>
  <c r="T26" i="4"/>
  <c r="S26" i="4"/>
  <c r="T16" i="4"/>
  <c r="S16" i="4"/>
  <c r="T55" i="4"/>
  <c r="S55" i="4"/>
  <c r="U45" i="4"/>
  <c r="T45" i="4"/>
  <c r="S45" i="4"/>
  <c r="T35" i="4"/>
  <c r="S35" i="4"/>
  <c r="T25" i="4"/>
  <c r="U25" i="4"/>
  <c r="S25" i="4"/>
  <c r="T15" i="4"/>
  <c r="S15" i="4"/>
  <c r="S5" i="4" a="1"/>
  <c r="S5" i="4" s="1"/>
  <c r="U6" i="4"/>
  <c r="U38" i="4" s="1"/>
  <c r="U35" i="4" l="1"/>
  <c r="U46" i="4"/>
  <c r="U37" i="4"/>
  <c r="U5" i="4" a="1"/>
  <c r="U5" i="4" s="1"/>
  <c r="U7" i="4"/>
  <c r="U14" i="4"/>
  <c r="U43" i="4"/>
  <c r="U54" i="4"/>
  <c r="U34" i="4"/>
  <c r="U53" i="4"/>
  <c r="U13" i="4"/>
  <c r="U23" i="4"/>
  <c r="U44" i="4"/>
  <c r="U52" i="4"/>
  <c r="U12" i="4"/>
  <c r="U33" i="4"/>
  <c r="U42" i="4"/>
  <c r="U24" i="4"/>
  <c r="U41" i="4"/>
  <c r="U11" i="4"/>
  <c r="U40" i="4"/>
  <c r="U31" i="4"/>
  <c r="U21" i="4"/>
  <c r="U32" i="4"/>
  <c r="U20" i="4"/>
  <c r="U49" i="4"/>
  <c r="U19" i="4"/>
  <c r="U22" i="4"/>
  <c r="U59" i="4"/>
  <c r="U39" i="4"/>
  <c r="U51" i="4"/>
  <c r="U8" i="4"/>
  <c r="U47" i="4"/>
  <c r="U26" i="4"/>
  <c r="U17" i="4"/>
  <c r="U30" i="4"/>
  <c r="U10" i="4"/>
  <c r="U58" i="4"/>
  <c r="U48" i="4"/>
  <c r="U28" i="4"/>
  <c r="U57" i="4"/>
  <c r="U15" i="4"/>
  <c r="U55" i="4"/>
  <c r="U16" i="4"/>
  <c r="U9" i="4"/>
  <c r="C119" i="4"/>
  <c r="C121" i="4"/>
  <c r="C122" i="4" s="1"/>
  <c r="C123" i="4" s="1"/>
  <c r="C124" i="4" s="1"/>
  <c r="C125" i="4" s="1"/>
  <c r="C96" i="4"/>
  <c r="C101" i="4" s="1"/>
  <c r="C106" i="4" s="1"/>
  <c r="C100" i="4"/>
  <c r="C105" i="4" s="1"/>
  <c r="C109" i="4" s="1"/>
  <c r="C112" i="4" s="1"/>
  <c r="C115" i="4" s="1"/>
  <c r="T7" i="4"/>
  <c r="T5" i="4" a="1"/>
  <c r="T5" i="4" s="1"/>
  <c r="V6" i="4"/>
  <c r="W6" i="4"/>
  <c r="V5" i="4" l="1" a="1"/>
  <c r="V5" i="4" s="1"/>
  <c r="V7" i="4"/>
  <c r="V54" i="4"/>
  <c r="V34" i="4"/>
  <c r="V24" i="4"/>
  <c r="V14" i="4"/>
  <c r="V43" i="4"/>
  <c r="V13" i="4"/>
  <c r="V53" i="4"/>
  <c r="V33" i="4"/>
  <c r="V41" i="4"/>
  <c r="V44" i="4"/>
  <c r="V52" i="4"/>
  <c r="V23" i="4"/>
  <c r="V42" i="4"/>
  <c r="V32" i="4"/>
  <c r="V12" i="4"/>
  <c r="V31" i="4"/>
  <c r="V21" i="4"/>
  <c r="V50" i="4"/>
  <c r="V22" i="4"/>
  <c r="V40" i="4"/>
  <c r="V51" i="4"/>
  <c r="V59" i="4"/>
  <c r="V9" i="4"/>
  <c r="V18" i="4"/>
  <c r="V56" i="4"/>
  <c r="V11" i="4"/>
  <c r="V19" i="4"/>
  <c r="V29" i="4"/>
  <c r="V28" i="4"/>
  <c r="V57" i="4"/>
  <c r="V58" i="4"/>
  <c r="V39" i="4"/>
  <c r="V38" i="4"/>
  <c r="V47" i="4"/>
  <c r="V26" i="4"/>
  <c r="V45" i="4"/>
  <c r="V30" i="4"/>
  <c r="V10" i="4"/>
  <c r="V17" i="4"/>
  <c r="V46" i="4"/>
  <c r="V35" i="4"/>
  <c r="V36" i="4"/>
  <c r="V8" i="4"/>
  <c r="V15" i="4"/>
  <c r="V25" i="4"/>
  <c r="V49" i="4"/>
  <c r="V20" i="4"/>
  <c r="V37" i="4"/>
  <c r="V55" i="4"/>
  <c r="V48" i="4"/>
  <c r="V27" i="4"/>
  <c r="V16" i="4"/>
  <c r="W5" i="4" a="1"/>
  <c r="W5" i="4" s="1"/>
  <c r="W7" i="4"/>
  <c r="W34" i="4"/>
  <c r="W24" i="4"/>
  <c r="W54" i="4"/>
  <c r="W14" i="4"/>
  <c r="W53" i="4"/>
  <c r="W33" i="4"/>
  <c r="W44" i="4"/>
  <c r="W43" i="4"/>
  <c r="W13" i="4"/>
  <c r="W51" i="4"/>
  <c r="W22" i="4"/>
  <c r="W12" i="4"/>
  <c r="W52" i="4"/>
  <c r="W23" i="4"/>
  <c r="W42" i="4"/>
  <c r="W11" i="4"/>
  <c r="W31" i="4"/>
  <c r="W10" i="4"/>
  <c r="W32" i="4"/>
  <c r="W21" i="4"/>
  <c r="W49" i="4"/>
  <c r="W29" i="4"/>
  <c r="W19" i="4"/>
  <c r="W9" i="4"/>
  <c r="W50" i="4"/>
  <c r="W59" i="4"/>
  <c r="W26" i="4"/>
  <c r="W27" i="4"/>
  <c r="W20" i="4"/>
  <c r="W39" i="4"/>
  <c r="W41" i="4"/>
  <c r="W58" i="4"/>
  <c r="W38" i="4"/>
  <c r="W47" i="4"/>
  <c r="W36" i="4"/>
  <c r="W18" i="4"/>
  <c r="W17" i="4"/>
  <c r="W55" i="4"/>
  <c r="W28" i="4"/>
  <c r="W57" i="4"/>
  <c r="W35" i="4"/>
  <c r="W25" i="4"/>
  <c r="W15" i="4"/>
  <c r="W40" i="4"/>
  <c r="W16" i="4"/>
  <c r="W46" i="4"/>
  <c r="W30" i="4"/>
  <c r="W8" i="4"/>
  <c r="W37" i="4"/>
  <c r="W56" i="4"/>
  <c r="W48" i="4"/>
  <c r="W45" i="4"/>
  <c r="X6" i="4"/>
  <c r="X7" i="4" l="1"/>
  <c r="X5" i="4" a="1"/>
  <c r="X5" i="4" s="1"/>
  <c r="X44" i="4"/>
  <c r="X24" i="4"/>
  <c r="X14" i="4"/>
  <c r="X53" i="4"/>
  <c r="X54" i="4"/>
  <c r="X13" i="4"/>
  <c r="X23" i="4"/>
  <c r="X52" i="4"/>
  <c r="X34" i="4"/>
  <c r="X33" i="4"/>
  <c r="X43" i="4"/>
  <c r="X42" i="4"/>
  <c r="X40" i="4"/>
  <c r="X32" i="4"/>
  <c r="X22" i="4"/>
  <c r="X31" i="4"/>
  <c r="X11" i="4"/>
  <c r="X51" i="4"/>
  <c r="X59" i="4"/>
  <c r="X20" i="4"/>
  <c r="X12" i="4"/>
  <c r="X50" i="4"/>
  <c r="X28" i="4"/>
  <c r="X19" i="4"/>
  <c r="X29" i="4"/>
  <c r="X9" i="4"/>
  <c r="X39" i="4"/>
  <c r="X57" i="4"/>
  <c r="X27" i="4"/>
  <c r="X58" i="4"/>
  <c r="X17" i="4"/>
  <c r="X37" i="4"/>
  <c r="X49" i="4"/>
  <c r="X45" i="4"/>
  <c r="X18" i="4"/>
  <c r="X8" i="4"/>
  <c r="X56" i="4"/>
  <c r="X46" i="4"/>
  <c r="X36" i="4"/>
  <c r="X35" i="4"/>
  <c r="X25" i="4"/>
  <c r="X30" i="4"/>
  <c r="X41" i="4"/>
  <c r="X21" i="4"/>
  <c r="X10" i="4"/>
  <c r="X48" i="4"/>
  <c r="X47" i="4"/>
  <c r="X38" i="4"/>
  <c r="X26" i="4"/>
  <c r="X55" i="4"/>
  <c r="X16" i="4"/>
  <c r="X15" i="4"/>
  <c r="Y6" i="4"/>
  <c r="Y5" i="4" l="1" a="1"/>
  <c r="Y5" i="4" s="1"/>
  <c r="Y7" i="4"/>
  <c r="Y53" i="4"/>
  <c r="Y44" i="4"/>
  <c r="Y54" i="4"/>
  <c r="Y24" i="4"/>
  <c r="Y52" i="4"/>
  <c r="Y14" i="4"/>
  <c r="Y43" i="4"/>
  <c r="Y34" i="4"/>
  <c r="Y23" i="4"/>
  <c r="Y13" i="4"/>
  <c r="Y42" i="4"/>
  <c r="Y33" i="4"/>
  <c r="Y22" i="4"/>
  <c r="Y41" i="4"/>
  <c r="Y12" i="4"/>
  <c r="Y51" i="4"/>
  <c r="Y21" i="4"/>
  <c r="Y30" i="4"/>
  <c r="Y20" i="4"/>
  <c r="Y11" i="4"/>
  <c r="Y31" i="4"/>
  <c r="Y10" i="4"/>
  <c r="Y19" i="4"/>
  <c r="Y40" i="4"/>
  <c r="Y50" i="4"/>
  <c r="Y59" i="4"/>
  <c r="Y27" i="4"/>
  <c r="Y38" i="4"/>
  <c r="Y28" i="4"/>
  <c r="Y18" i="4"/>
  <c r="Y57" i="4"/>
  <c r="Y37" i="4"/>
  <c r="Y55" i="4"/>
  <c r="Y49" i="4"/>
  <c r="Y48" i="4"/>
  <c r="Y17" i="4"/>
  <c r="Y8" i="4"/>
  <c r="Y29" i="4"/>
  <c r="Y26" i="4"/>
  <c r="Y47" i="4"/>
  <c r="Y36" i="4"/>
  <c r="Y32" i="4"/>
  <c r="Y45" i="4"/>
  <c r="Y9" i="4"/>
  <c r="Y58" i="4"/>
  <c r="Y39" i="4"/>
  <c r="Y35" i="4"/>
  <c r="Y15" i="4"/>
  <c r="Y56" i="4"/>
  <c r="Y16" i="4"/>
  <c r="Y46" i="4"/>
  <c r="Y25" i="4"/>
  <c r="Z6" i="4"/>
  <c r="Z7" i="4" l="1"/>
  <c r="Z5" i="4" a="1"/>
  <c r="Z5" i="4" s="1"/>
  <c r="Z34" i="4"/>
  <c r="Z24" i="4"/>
  <c r="Z54" i="4"/>
  <c r="Z14" i="4"/>
  <c r="Z53" i="4"/>
  <c r="Z44" i="4"/>
  <c r="Z43" i="4"/>
  <c r="Z23" i="4"/>
  <c r="Z41" i="4"/>
  <c r="Z42" i="4"/>
  <c r="Z51" i="4"/>
  <c r="Z33" i="4"/>
  <c r="Z13" i="4"/>
  <c r="Z52" i="4"/>
  <c r="Z22" i="4"/>
  <c r="Z12" i="4"/>
  <c r="Z11" i="4"/>
  <c r="Z50" i="4"/>
  <c r="Z40" i="4"/>
  <c r="Z32" i="4"/>
  <c r="Z31" i="4"/>
  <c r="Z10" i="4"/>
  <c r="Z9" i="4"/>
  <c r="Z48" i="4"/>
  <c r="Z21" i="4"/>
  <c r="Z49" i="4"/>
  <c r="Z29" i="4"/>
  <c r="Z19" i="4"/>
  <c r="Z27" i="4"/>
  <c r="Z39" i="4"/>
  <c r="Z18" i="4"/>
  <c r="Z47" i="4"/>
  <c r="Z30" i="4"/>
  <c r="Z37" i="4"/>
  <c r="Z59" i="4"/>
  <c r="Z35" i="4"/>
  <c r="Z20" i="4"/>
  <c r="Z17" i="4"/>
  <c r="Z26" i="4"/>
  <c r="Z58" i="4"/>
  <c r="Z45" i="4"/>
  <c r="Z8" i="4"/>
  <c r="Z55" i="4"/>
  <c r="Z28" i="4"/>
  <c r="Z36" i="4"/>
  <c r="Z38" i="4"/>
  <c r="Z57" i="4"/>
  <c r="Z16" i="4"/>
  <c r="Z46" i="4"/>
  <c r="Z56" i="4"/>
  <c r="Z25" i="4"/>
  <c r="Z15" i="4"/>
  <c r="AA6" i="4"/>
  <c r="AA7" i="4" l="1"/>
  <c r="AA5" i="4" a="1"/>
  <c r="AA5" i="4" s="1"/>
  <c r="AA33" i="4"/>
  <c r="AA54" i="4"/>
  <c r="AA44" i="4"/>
  <c r="AA14" i="4"/>
  <c r="AA53" i="4"/>
  <c r="AA13" i="4"/>
  <c r="AA42" i="4"/>
  <c r="AA24" i="4"/>
  <c r="AA52" i="4"/>
  <c r="AA22" i="4"/>
  <c r="AA12" i="4"/>
  <c r="AA23" i="4"/>
  <c r="AA43" i="4"/>
  <c r="AA34" i="4"/>
  <c r="AA31" i="4"/>
  <c r="AA50" i="4"/>
  <c r="AA41" i="4"/>
  <c r="AA21" i="4"/>
  <c r="AA11" i="4"/>
  <c r="AA59" i="4"/>
  <c r="AA40" i="4"/>
  <c r="AA49" i="4"/>
  <c r="AA51" i="4"/>
  <c r="AA32" i="4"/>
  <c r="AA30" i="4"/>
  <c r="AA39" i="4"/>
  <c r="AA18" i="4"/>
  <c r="AA46" i="4"/>
  <c r="AA58" i="4"/>
  <c r="AA27" i="4"/>
  <c r="AA20" i="4"/>
  <c r="AA37" i="4"/>
  <c r="AA10" i="4"/>
  <c r="AA57" i="4"/>
  <c r="AA9" i="4"/>
  <c r="AA8" i="4"/>
  <c r="AA26" i="4"/>
  <c r="AA47" i="4"/>
  <c r="AA36" i="4"/>
  <c r="AA38" i="4"/>
  <c r="AA28" i="4"/>
  <c r="AA48" i="4"/>
  <c r="AA29" i="4"/>
  <c r="AA16" i="4"/>
  <c r="AA25" i="4"/>
  <c r="AA15" i="4"/>
  <c r="AA56" i="4"/>
  <c r="AA35" i="4"/>
  <c r="AA55" i="4"/>
  <c r="AA19" i="4"/>
  <c r="AA17" i="4"/>
  <c r="AA45" i="4"/>
  <c r="AB6" i="4"/>
  <c r="K59" i="4" a="1"/>
  <c r="K59" i="4" s="1"/>
  <c r="K58" i="4" a="1"/>
  <c r="K58" i="4" s="1"/>
  <c r="K57" i="4" a="1"/>
  <c r="K57" i="4" s="1"/>
  <c r="K56" i="4" a="1"/>
  <c r="K56" i="4" s="1"/>
  <c r="K55" i="4" a="1"/>
  <c r="K55" i="4" s="1"/>
  <c r="K54" i="4" a="1"/>
  <c r="K54" i="4" s="1"/>
  <c r="K53" i="4" a="1"/>
  <c r="K53" i="4" s="1"/>
  <c r="K52" i="4" a="1"/>
  <c r="K52" i="4" s="1"/>
  <c r="K51" i="4" a="1"/>
  <c r="K51" i="4" s="1"/>
  <c r="K50" i="4" a="1"/>
  <c r="K50" i="4" s="1"/>
  <c r="K49" i="4" a="1"/>
  <c r="K49" i="4" s="1"/>
  <c r="K48" i="4" a="1"/>
  <c r="K48" i="4" s="1"/>
  <c r="K47" i="4" a="1"/>
  <c r="K47" i="4" s="1"/>
  <c r="K46" i="4" a="1"/>
  <c r="K46" i="4" s="1"/>
  <c r="K45" i="4" a="1"/>
  <c r="K45" i="4" s="1"/>
  <c r="K44" i="4" a="1"/>
  <c r="K44" i="4" s="1"/>
  <c r="K43" i="4" a="1"/>
  <c r="K43" i="4" s="1"/>
  <c r="K42" i="4" a="1"/>
  <c r="K42" i="4" s="1"/>
  <c r="K41" i="4" a="1"/>
  <c r="K41" i="4" s="1"/>
  <c r="K40" i="4" a="1"/>
  <c r="K40" i="4" s="1"/>
  <c r="K39" i="4" a="1"/>
  <c r="K39" i="4" s="1"/>
  <c r="K38" i="4" a="1"/>
  <c r="K38" i="4" s="1"/>
  <c r="K37" i="4" a="1"/>
  <c r="K37" i="4" s="1"/>
  <c r="K36" i="4" a="1"/>
  <c r="K36" i="4" s="1"/>
  <c r="K35" i="4" a="1"/>
  <c r="K35" i="4" s="1"/>
  <c r="K34" i="4" a="1"/>
  <c r="K34" i="4" s="1"/>
  <c r="K33" i="4" a="1"/>
  <c r="K33" i="4" s="1"/>
  <c r="K32" i="4" a="1"/>
  <c r="K32" i="4" s="1"/>
  <c r="K31" i="4" a="1"/>
  <c r="K31" i="4" s="1"/>
  <c r="K30" i="4" a="1"/>
  <c r="K30" i="4" s="1"/>
  <c r="K29" i="4" a="1"/>
  <c r="K29" i="4" s="1"/>
  <c r="K28" i="4" a="1"/>
  <c r="K28" i="4" s="1"/>
  <c r="K27" i="4" a="1"/>
  <c r="K27" i="4" s="1"/>
  <c r="K11" i="4" a="1"/>
  <c r="K11" i="4" s="1"/>
  <c r="K9" i="4" a="1"/>
  <c r="K9" i="4" s="1"/>
  <c r="AB5" i="4" l="1" a="1"/>
  <c r="AB5" i="4" s="1"/>
  <c r="AB7" i="4"/>
  <c r="AB44" i="4"/>
  <c r="AB54" i="4"/>
  <c r="AB14" i="4"/>
  <c r="AB23" i="4"/>
  <c r="AB32" i="4"/>
  <c r="AB43" i="4"/>
  <c r="AB24" i="4"/>
  <c r="AB51" i="4"/>
  <c r="AB34" i="4"/>
  <c r="AB42" i="4"/>
  <c r="AB53" i="4"/>
  <c r="AB13" i="4"/>
  <c r="AB33" i="4"/>
  <c r="AB50" i="4"/>
  <c r="AB52" i="4"/>
  <c r="AB22" i="4"/>
  <c r="AB40" i="4"/>
  <c r="AB31" i="4"/>
  <c r="AB59" i="4"/>
  <c r="AB21" i="4"/>
  <c r="AB30" i="4"/>
  <c r="AB12" i="4"/>
  <c r="AB20" i="4"/>
  <c r="AB49" i="4"/>
  <c r="AB11" i="4"/>
  <c r="AB10" i="4"/>
  <c r="AB19" i="4"/>
  <c r="AB47" i="4"/>
  <c r="AB28" i="4"/>
  <c r="AB57" i="4"/>
  <c r="AB17" i="4"/>
  <c r="AB29" i="4"/>
  <c r="AB58" i="4"/>
  <c r="AB38" i="4"/>
  <c r="AB37" i="4"/>
  <c r="AB25" i="4"/>
  <c r="AB27" i="4"/>
  <c r="AB45" i="4"/>
  <c r="AB46" i="4"/>
  <c r="AB55" i="4"/>
  <c r="AB48" i="4"/>
  <c r="AB18" i="4"/>
  <c r="AB26" i="4"/>
  <c r="AB41" i="4"/>
  <c r="AB39" i="4"/>
  <c r="AB9" i="4"/>
  <c r="AB15" i="4"/>
  <c r="AB8" i="4"/>
  <c r="AB56" i="4"/>
  <c r="AB36" i="4"/>
  <c r="AB35" i="4"/>
  <c r="AB16" i="4"/>
  <c r="AC6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11" i="4"/>
  <c r="L9" i="4"/>
  <c r="L7" i="4"/>
  <c r="AC5" i="4" l="1" a="1"/>
  <c r="AC5" i="4" s="1"/>
  <c r="AC7" i="4"/>
  <c r="AC23" i="4"/>
  <c r="AC24" i="4"/>
  <c r="AC44" i="4"/>
  <c r="AC54" i="4"/>
  <c r="AC34" i="4"/>
  <c r="AC33" i="4"/>
  <c r="AC13" i="4"/>
  <c r="AC53" i="4"/>
  <c r="AC43" i="4"/>
  <c r="AC14" i="4"/>
  <c r="AC12" i="4"/>
  <c r="AC41" i="4"/>
  <c r="AC52" i="4"/>
  <c r="AC42" i="4"/>
  <c r="AC21" i="4"/>
  <c r="AC50" i="4"/>
  <c r="AC51" i="4"/>
  <c r="AC32" i="4"/>
  <c r="AC40" i="4"/>
  <c r="AC20" i="4"/>
  <c r="AC31" i="4"/>
  <c r="AC22" i="4"/>
  <c r="AC29" i="4"/>
  <c r="AC9" i="4"/>
  <c r="AC58" i="4"/>
  <c r="AC19" i="4"/>
  <c r="AC49" i="4"/>
  <c r="AC59" i="4"/>
  <c r="AC38" i="4"/>
  <c r="AC30" i="4"/>
  <c r="AC28" i="4"/>
  <c r="AC57" i="4"/>
  <c r="AC46" i="4"/>
  <c r="AC8" i="4"/>
  <c r="AC35" i="4"/>
  <c r="AC55" i="4"/>
  <c r="AC25" i="4"/>
  <c r="AC15" i="4"/>
  <c r="AC16" i="4"/>
  <c r="AC27" i="4"/>
  <c r="AC10" i="4"/>
  <c r="AC47" i="4"/>
  <c r="AC36" i="4"/>
  <c r="AC39" i="4"/>
  <c r="AC37" i="4"/>
  <c r="AC48" i="4"/>
  <c r="AC18" i="4"/>
  <c r="AC11" i="4"/>
  <c r="AC17" i="4"/>
  <c r="AC45" i="4"/>
  <c r="AC56" i="4"/>
  <c r="AC26" i="4"/>
  <c r="AD6" i="4"/>
  <c r="AD7" i="4" l="1"/>
  <c r="AD5" i="4" a="1"/>
  <c r="AD5" i="4" s="1"/>
  <c r="AD14" i="4"/>
  <c r="AD34" i="4"/>
  <c r="AD24" i="4"/>
  <c r="AD53" i="4"/>
  <c r="AD54" i="4"/>
  <c r="AD44" i="4"/>
  <c r="AD23" i="4"/>
  <c r="AD52" i="4"/>
  <c r="AD12" i="4"/>
  <c r="AD13" i="4"/>
  <c r="AD51" i="4"/>
  <c r="AD43" i="4"/>
  <c r="AD33" i="4"/>
  <c r="AD42" i="4"/>
  <c r="AD32" i="4"/>
  <c r="AD21" i="4"/>
  <c r="AD31" i="4"/>
  <c r="AD50" i="4"/>
  <c r="AD11" i="4"/>
  <c r="AD40" i="4"/>
  <c r="AD22" i="4"/>
  <c r="AD41" i="4"/>
  <c r="AD39" i="4"/>
  <c r="AD58" i="4"/>
  <c r="AD29" i="4"/>
  <c r="AD19" i="4"/>
  <c r="AD47" i="4"/>
  <c r="AD37" i="4"/>
  <c r="AD27" i="4"/>
  <c r="AD17" i="4"/>
  <c r="AD48" i="4"/>
  <c r="AD20" i="4"/>
  <c r="AD38" i="4"/>
  <c r="AD10" i="4"/>
  <c r="AD28" i="4"/>
  <c r="AD45" i="4"/>
  <c r="AD57" i="4"/>
  <c r="AD36" i="4"/>
  <c r="AD55" i="4"/>
  <c r="AD49" i="4"/>
  <c r="AD8" i="4"/>
  <c r="AD26" i="4"/>
  <c r="AD46" i="4"/>
  <c r="AD18" i="4"/>
  <c r="AD9" i="4"/>
  <c r="AD30" i="4"/>
  <c r="AD25" i="4"/>
  <c r="AD35" i="4"/>
  <c r="AD59" i="4"/>
  <c r="AD16" i="4"/>
  <c r="AD15" i="4"/>
  <c r="AD56" i="4"/>
  <c r="AE6" i="4"/>
  <c r="AE7" i="4" l="1"/>
  <c r="AE5" i="4" a="1"/>
  <c r="AE5" i="4" s="1"/>
  <c r="AE34" i="4"/>
  <c r="AE54" i="4"/>
  <c r="AE43" i="4"/>
  <c r="AE23" i="4"/>
  <c r="AE52" i="4"/>
  <c r="AE44" i="4"/>
  <c r="AE24" i="4"/>
  <c r="AE12" i="4"/>
  <c r="AE22" i="4"/>
  <c r="AE53" i="4"/>
  <c r="AE14" i="4"/>
  <c r="AE33" i="4"/>
  <c r="AE13" i="4"/>
  <c r="AE51" i="4"/>
  <c r="AE21" i="4"/>
  <c r="AE32" i="4"/>
  <c r="AE41" i="4"/>
  <c r="AE50" i="4"/>
  <c r="AE40" i="4"/>
  <c r="AE42" i="4"/>
  <c r="AE31" i="4"/>
  <c r="AE20" i="4"/>
  <c r="AE49" i="4"/>
  <c r="AE39" i="4"/>
  <c r="AE30" i="4"/>
  <c r="AE59" i="4"/>
  <c r="AE38" i="4"/>
  <c r="AE57" i="4"/>
  <c r="AE36" i="4"/>
  <c r="AE8" i="4"/>
  <c r="AE29" i="4"/>
  <c r="AE10" i="4"/>
  <c r="AE37" i="4"/>
  <c r="AE11" i="4"/>
  <c r="AE25" i="4"/>
  <c r="AE9" i="4"/>
  <c r="AE56" i="4"/>
  <c r="AE28" i="4"/>
  <c r="AE27" i="4"/>
  <c r="AE35" i="4"/>
  <c r="AE18" i="4"/>
  <c r="AE17" i="4"/>
  <c r="AE47" i="4"/>
  <c r="AE45" i="4"/>
  <c r="AE19" i="4"/>
  <c r="AE26" i="4"/>
  <c r="AE15" i="4"/>
  <c r="AE16" i="4"/>
  <c r="AE46" i="4"/>
  <c r="AE55" i="4"/>
  <c r="AE48" i="4"/>
  <c r="AE58" i="4"/>
  <c r="AF6" i="4"/>
  <c r="AF5" i="4" l="1" a="1"/>
  <c r="AF5" i="4" s="1"/>
  <c r="AF7" i="4"/>
  <c r="AF54" i="4"/>
  <c r="AF24" i="4"/>
  <c r="AF34" i="4"/>
  <c r="AF43" i="4"/>
  <c r="AF44" i="4"/>
  <c r="AF23" i="4"/>
  <c r="AF32" i="4"/>
  <c r="AF53" i="4"/>
  <c r="AF42" i="4"/>
  <c r="AF52" i="4"/>
  <c r="AF33" i="4"/>
  <c r="AF14" i="4"/>
  <c r="AF13" i="4"/>
  <c r="AF22" i="4"/>
  <c r="AF21" i="4"/>
  <c r="AF31" i="4"/>
  <c r="AF39" i="4"/>
  <c r="AF30" i="4"/>
  <c r="AF11" i="4"/>
  <c r="AF40" i="4"/>
  <c r="AF50" i="4"/>
  <c r="AF20" i="4"/>
  <c r="AF59" i="4"/>
  <c r="AF12" i="4"/>
  <c r="AF19" i="4"/>
  <c r="AF58" i="4"/>
  <c r="AF18" i="4"/>
  <c r="AF29" i="4"/>
  <c r="AF28" i="4"/>
  <c r="AF57" i="4"/>
  <c r="AF38" i="4"/>
  <c r="AF47" i="4"/>
  <c r="AF26" i="4"/>
  <c r="AF16" i="4"/>
  <c r="AF35" i="4"/>
  <c r="AF41" i="4"/>
  <c r="AF51" i="4"/>
  <c r="AF45" i="4"/>
  <c r="AF37" i="4"/>
  <c r="AF9" i="4"/>
  <c r="AF25" i="4"/>
  <c r="AF8" i="4"/>
  <c r="AF56" i="4"/>
  <c r="AF48" i="4"/>
  <c r="AF27" i="4"/>
  <c r="AF10" i="4"/>
  <c r="AF15" i="4"/>
  <c r="AF55" i="4"/>
  <c r="AF49" i="4"/>
  <c r="AF17" i="4"/>
  <c r="AF46" i="4"/>
  <c r="AF36" i="4"/>
  <c r="AG6" i="4"/>
  <c r="AG5" i="4" l="1" a="1"/>
  <c r="AG5" i="4" s="1"/>
  <c r="AG7" i="4"/>
  <c r="AG14" i="4"/>
  <c r="AG44" i="4"/>
  <c r="AG34" i="4"/>
  <c r="AG43" i="4"/>
  <c r="AG54" i="4"/>
  <c r="AG53" i="4"/>
  <c r="AG24" i="4"/>
  <c r="AG23" i="4"/>
  <c r="AG41" i="4"/>
  <c r="AG42" i="4"/>
  <c r="AG13" i="4"/>
  <c r="AG52" i="4"/>
  <c r="AG33" i="4"/>
  <c r="AG22" i="4"/>
  <c r="AG20" i="4"/>
  <c r="AG21" i="4"/>
  <c r="AG11" i="4"/>
  <c r="AG51" i="4"/>
  <c r="AG12" i="4"/>
  <c r="AG31" i="4"/>
  <c r="AG32" i="4"/>
  <c r="AG10" i="4"/>
  <c r="AG40" i="4"/>
  <c r="AG59" i="4"/>
  <c r="AG49" i="4"/>
  <c r="AG39" i="4"/>
  <c r="AG58" i="4"/>
  <c r="AG38" i="4"/>
  <c r="AG8" i="4"/>
  <c r="AG19" i="4"/>
  <c r="AG37" i="4"/>
  <c r="AG17" i="4"/>
  <c r="AG45" i="4"/>
  <c r="AG47" i="4"/>
  <c r="AG55" i="4"/>
  <c r="AG29" i="4"/>
  <c r="AG9" i="4"/>
  <c r="AG18" i="4"/>
  <c r="AG27" i="4"/>
  <c r="AG15" i="4"/>
  <c r="AG25" i="4"/>
  <c r="AG28" i="4"/>
  <c r="AG57" i="4"/>
  <c r="AG56" i="4"/>
  <c r="AG46" i="4"/>
  <c r="AG30" i="4"/>
  <c r="AG50" i="4"/>
  <c r="AG48" i="4"/>
  <c r="AG16" i="4"/>
  <c r="AG36" i="4"/>
  <c r="AG35" i="4"/>
  <c r="AG26" i="4"/>
  <c r="AH6" i="4"/>
  <c r="AH7" i="4" l="1"/>
  <c r="AH5" i="4" a="1"/>
  <c r="AH5" i="4" s="1"/>
  <c r="AH54" i="4"/>
  <c r="AH24" i="4"/>
  <c r="AH53" i="4"/>
  <c r="AH14" i="4"/>
  <c r="AH13" i="4"/>
  <c r="AH34" i="4"/>
  <c r="AH33" i="4"/>
  <c r="AH23" i="4"/>
  <c r="AH44" i="4"/>
  <c r="AH32" i="4"/>
  <c r="AH43" i="4"/>
  <c r="AH52" i="4"/>
  <c r="AH42" i="4"/>
  <c r="AH40" i="4"/>
  <c r="AH22" i="4"/>
  <c r="AH31" i="4"/>
  <c r="AH49" i="4"/>
  <c r="AH12" i="4"/>
  <c r="AH50" i="4"/>
  <c r="AH41" i="4"/>
  <c r="AH11" i="4"/>
  <c r="AH59" i="4"/>
  <c r="AH51" i="4"/>
  <c r="AH58" i="4"/>
  <c r="AH38" i="4"/>
  <c r="AH39" i="4"/>
  <c r="AH10" i="4"/>
  <c r="AH48" i="4"/>
  <c r="AH57" i="4"/>
  <c r="AH27" i="4"/>
  <c r="AH19" i="4"/>
  <c r="AH30" i="4"/>
  <c r="AH35" i="4"/>
  <c r="AH56" i="4"/>
  <c r="AH46" i="4"/>
  <c r="AH36" i="4"/>
  <c r="AH18" i="4"/>
  <c r="AH55" i="4"/>
  <c r="AH15" i="4"/>
  <c r="AH9" i="4"/>
  <c r="AH17" i="4"/>
  <c r="AH21" i="4"/>
  <c r="AH8" i="4"/>
  <c r="AH28" i="4"/>
  <c r="AH20" i="4"/>
  <c r="AH37" i="4"/>
  <c r="AH45" i="4"/>
  <c r="AH47" i="4"/>
  <c r="AH26" i="4"/>
  <c r="AH25" i="4"/>
  <c r="AH29" i="4"/>
  <c r="AH16" i="4"/>
  <c r="AI6" i="4"/>
  <c r="AI5" i="4" l="1" a="1"/>
  <c r="AI5" i="4" s="1"/>
  <c r="AI7" i="4"/>
  <c r="AI34" i="4"/>
  <c r="AI43" i="4"/>
  <c r="AI23" i="4"/>
  <c r="AI54" i="4"/>
  <c r="AI14" i="4"/>
  <c r="AI52" i="4"/>
  <c r="AI53" i="4"/>
  <c r="AI13" i="4"/>
  <c r="AI44" i="4"/>
  <c r="AI33" i="4"/>
  <c r="AI24" i="4"/>
  <c r="AI42" i="4"/>
  <c r="AI22" i="4"/>
  <c r="AI51" i="4"/>
  <c r="AI41" i="4"/>
  <c r="AI40" i="4"/>
  <c r="AI31" i="4"/>
  <c r="AI30" i="4"/>
  <c r="AI21" i="4"/>
  <c r="AI32" i="4"/>
  <c r="AI50" i="4"/>
  <c r="AI59" i="4"/>
  <c r="AI12" i="4"/>
  <c r="AI19" i="4"/>
  <c r="AI9" i="4"/>
  <c r="AI10" i="4"/>
  <c r="AI58" i="4"/>
  <c r="AI37" i="4"/>
  <c r="AI17" i="4"/>
  <c r="AI18" i="4"/>
  <c r="AI47" i="4"/>
  <c r="AI20" i="4"/>
  <c r="AI8" i="4"/>
  <c r="AI49" i="4"/>
  <c r="AI57" i="4"/>
  <c r="AI46" i="4"/>
  <c r="AI36" i="4"/>
  <c r="AI26" i="4"/>
  <c r="AI55" i="4"/>
  <c r="AI45" i="4"/>
  <c r="AI27" i="4"/>
  <c r="AI39" i="4"/>
  <c r="AI29" i="4"/>
  <c r="AI16" i="4"/>
  <c r="AI28" i="4"/>
  <c r="AI15" i="4"/>
  <c r="AI11" i="4"/>
  <c r="AI38" i="4"/>
  <c r="AI48" i="4"/>
  <c r="AI35" i="4"/>
  <c r="AI56" i="4"/>
  <c r="AI25" i="4"/>
  <c r="AJ6" i="4"/>
  <c r="AJ7" i="4" l="1"/>
  <c r="AJ5" i="4" a="1"/>
  <c r="AJ5" i="4" s="1"/>
  <c r="AJ24" i="4"/>
  <c r="AJ34" i="4"/>
  <c r="AJ33" i="4"/>
  <c r="AJ53" i="4"/>
  <c r="AJ14" i="4"/>
  <c r="AJ54" i="4"/>
  <c r="AJ23" i="4"/>
  <c r="AJ52" i="4"/>
  <c r="AJ44" i="4"/>
  <c r="AJ43" i="4"/>
  <c r="AJ13" i="4"/>
  <c r="AJ11" i="4"/>
  <c r="AJ42" i="4"/>
  <c r="AJ22" i="4"/>
  <c r="AJ12" i="4"/>
  <c r="AJ31" i="4"/>
  <c r="AJ19" i="4"/>
  <c r="AJ51" i="4"/>
  <c r="AJ21" i="4"/>
  <c r="AJ10" i="4"/>
  <c r="AJ41" i="4"/>
  <c r="AJ59" i="4"/>
  <c r="AJ29" i="4"/>
  <c r="AJ50" i="4"/>
  <c r="AJ28" i="4"/>
  <c r="AJ57" i="4"/>
  <c r="AJ17" i="4"/>
  <c r="AJ40" i="4"/>
  <c r="AJ30" i="4"/>
  <c r="AJ56" i="4"/>
  <c r="AJ35" i="4"/>
  <c r="AJ25" i="4"/>
  <c r="AJ32" i="4"/>
  <c r="AJ49" i="4"/>
  <c r="AJ58" i="4"/>
  <c r="AJ38" i="4"/>
  <c r="AJ36" i="4"/>
  <c r="AJ39" i="4"/>
  <c r="AJ46" i="4"/>
  <c r="AJ48" i="4"/>
  <c r="AJ37" i="4"/>
  <c r="AJ20" i="4"/>
  <c r="AJ27" i="4"/>
  <c r="AJ55" i="4"/>
  <c r="AJ9" i="4"/>
  <c r="AJ18" i="4"/>
  <c r="AJ47" i="4"/>
  <c r="AJ8" i="4"/>
  <c r="AJ15" i="4"/>
  <c r="AJ45" i="4"/>
  <c r="AJ26" i="4"/>
  <c r="AJ16" i="4"/>
  <c r="AK6" i="4"/>
  <c r="AK7" i="4" l="1"/>
  <c r="AK5" i="4" a="1"/>
  <c r="AK5" i="4" s="1"/>
  <c r="AK54" i="4"/>
  <c r="AK44" i="4"/>
  <c r="AK24" i="4"/>
  <c r="AK53" i="4"/>
  <c r="AK14" i="4"/>
  <c r="AK43" i="4"/>
  <c r="AK23" i="4"/>
  <c r="AK13" i="4"/>
  <c r="AK52" i="4"/>
  <c r="AK22" i="4"/>
  <c r="AK33" i="4"/>
  <c r="AK12" i="4"/>
  <c r="AK34" i="4"/>
  <c r="AK42" i="4"/>
  <c r="AK21" i="4"/>
  <c r="AK11" i="4"/>
  <c r="AK40" i="4"/>
  <c r="AK41" i="4"/>
  <c r="AK29" i="4"/>
  <c r="AK50" i="4"/>
  <c r="AK59" i="4"/>
  <c r="AK32" i="4"/>
  <c r="AK31" i="4"/>
  <c r="AK49" i="4"/>
  <c r="AK10" i="4"/>
  <c r="AK39" i="4"/>
  <c r="AK46" i="4"/>
  <c r="AK9" i="4"/>
  <c r="AK18" i="4"/>
  <c r="AK51" i="4"/>
  <c r="AK19" i="4"/>
  <c r="AK48" i="4"/>
  <c r="AK47" i="4"/>
  <c r="AK55" i="4"/>
  <c r="AK20" i="4"/>
  <c r="AK57" i="4"/>
  <c r="AK8" i="4"/>
  <c r="AK45" i="4"/>
  <c r="AK38" i="4"/>
  <c r="AK26" i="4"/>
  <c r="AK35" i="4"/>
  <c r="AK58" i="4"/>
  <c r="AK56" i="4"/>
  <c r="AK15" i="4"/>
  <c r="AK16" i="4"/>
  <c r="AK36" i="4"/>
  <c r="AK28" i="4"/>
  <c r="AK37" i="4"/>
  <c r="AK30" i="4"/>
  <c r="AK25" i="4"/>
  <c r="AK27" i="4"/>
  <c r="AK17" i="4"/>
  <c r="AL6" i="4"/>
  <c r="AL5" i="4" l="1" a="1"/>
  <c r="AL5" i="4" s="1"/>
  <c r="AL7" i="4"/>
  <c r="AL14" i="4"/>
  <c r="AL43" i="4"/>
  <c r="AL24" i="4"/>
  <c r="AL54" i="4"/>
  <c r="AL44" i="4"/>
  <c r="AL53" i="4"/>
  <c r="AL13" i="4"/>
  <c r="AL52" i="4"/>
  <c r="AL34" i="4"/>
  <c r="AL22" i="4"/>
  <c r="AL51" i="4"/>
  <c r="AL42" i="4"/>
  <c r="AL23" i="4"/>
  <c r="AL33" i="4"/>
  <c r="AL32" i="4"/>
  <c r="AL21" i="4"/>
  <c r="AL30" i="4"/>
  <c r="AL41" i="4"/>
  <c r="AL10" i="4"/>
  <c r="AL40" i="4"/>
  <c r="AL20" i="4"/>
  <c r="AL59" i="4"/>
  <c r="AL31" i="4"/>
  <c r="AL11" i="4"/>
  <c r="AL50" i="4"/>
  <c r="AL12" i="4"/>
  <c r="AL19" i="4"/>
  <c r="AL39" i="4"/>
  <c r="AL28" i="4"/>
  <c r="AL48" i="4"/>
  <c r="AL49" i="4"/>
  <c r="AL27" i="4"/>
  <c r="AL37" i="4"/>
  <c r="AL9" i="4"/>
  <c r="AL47" i="4"/>
  <c r="AL36" i="4"/>
  <c r="AL58" i="4"/>
  <c r="AL38" i="4"/>
  <c r="AL8" i="4"/>
  <c r="AL57" i="4"/>
  <c r="AL18" i="4"/>
  <c r="AL25" i="4"/>
  <c r="AL26" i="4"/>
  <c r="AL29" i="4"/>
  <c r="AL35" i="4"/>
  <c r="AL45" i="4"/>
  <c r="AL56" i="4"/>
  <c r="AL15" i="4"/>
  <c r="AL17" i="4"/>
  <c r="AL46" i="4"/>
  <c r="AL55" i="4"/>
  <c r="AL16" i="4"/>
  <c r="AM6" i="4"/>
  <c r="AM7" i="4" l="1"/>
  <c r="AM5" i="4" a="1"/>
  <c r="AM5" i="4" s="1"/>
  <c r="AM34" i="4"/>
  <c r="AM44" i="4"/>
  <c r="AM33" i="4"/>
  <c r="AM54" i="4"/>
  <c r="AM14" i="4"/>
  <c r="AM42" i="4"/>
  <c r="AM52" i="4"/>
  <c r="AM53" i="4"/>
  <c r="AM43" i="4"/>
  <c r="AM22" i="4"/>
  <c r="AM24" i="4"/>
  <c r="AM23" i="4"/>
  <c r="AM13" i="4"/>
  <c r="AM32" i="4"/>
  <c r="AM31" i="4"/>
  <c r="AM50" i="4"/>
  <c r="AM21" i="4"/>
  <c r="AM30" i="4"/>
  <c r="AM12" i="4"/>
  <c r="AM49" i="4"/>
  <c r="AM9" i="4"/>
  <c r="AM19" i="4"/>
  <c r="AM59" i="4"/>
  <c r="AM37" i="4"/>
  <c r="AM51" i="4"/>
  <c r="AM57" i="4"/>
  <c r="AM17" i="4"/>
  <c r="AM8" i="4"/>
  <c r="AM27" i="4"/>
  <c r="AM47" i="4"/>
  <c r="AM45" i="4"/>
  <c r="AM58" i="4"/>
  <c r="AM16" i="4"/>
  <c r="AM41" i="4"/>
  <c r="AM40" i="4"/>
  <c r="AM38" i="4"/>
  <c r="AM56" i="4"/>
  <c r="AM11" i="4"/>
  <c r="AM46" i="4"/>
  <c r="AM55" i="4"/>
  <c r="AM25" i="4"/>
  <c r="AM20" i="4"/>
  <c r="AM10" i="4"/>
  <c r="AM39" i="4"/>
  <c r="AM28" i="4"/>
  <c r="AM35" i="4"/>
  <c r="AM48" i="4"/>
  <c r="AM18" i="4"/>
  <c r="AM36" i="4"/>
  <c r="AM29" i="4"/>
  <c r="AM26" i="4"/>
  <c r="AM15" i="4"/>
  <c r="AN6" i="4"/>
  <c r="AN5" i="4" l="1" a="1"/>
  <c r="AN5" i="4" s="1"/>
  <c r="AN7" i="4"/>
  <c r="AN43" i="4"/>
  <c r="AN44" i="4"/>
  <c r="AN54" i="4"/>
  <c r="AN24" i="4"/>
  <c r="AN14" i="4"/>
  <c r="AN53" i="4"/>
  <c r="AN13" i="4"/>
  <c r="AN33" i="4"/>
  <c r="AN23" i="4"/>
  <c r="AN34" i="4"/>
  <c r="AN52" i="4"/>
  <c r="AN32" i="4"/>
  <c r="AN50" i="4"/>
  <c r="AN42" i="4"/>
  <c r="AN40" i="4"/>
  <c r="AN12" i="4"/>
  <c r="AN51" i="4"/>
  <c r="AN21" i="4"/>
  <c r="AN31" i="4"/>
  <c r="AN22" i="4"/>
  <c r="AN11" i="4"/>
  <c r="AN58" i="4"/>
  <c r="AN20" i="4"/>
  <c r="AN30" i="4"/>
  <c r="AN10" i="4"/>
  <c r="AN9" i="4"/>
  <c r="AN39" i="4"/>
  <c r="AN19" i="4"/>
  <c r="AN47" i="4"/>
  <c r="AN59" i="4"/>
  <c r="AN27" i="4"/>
  <c r="AN49" i="4"/>
  <c r="AN38" i="4"/>
  <c r="AN17" i="4"/>
  <c r="AN46" i="4"/>
  <c r="AN57" i="4"/>
  <c r="AN16" i="4"/>
  <c r="AN25" i="4"/>
  <c r="AN29" i="4"/>
  <c r="AN18" i="4"/>
  <c r="AN35" i="4"/>
  <c r="AN41" i="4"/>
  <c r="AN28" i="4"/>
  <c r="AN15" i="4"/>
  <c r="AN55" i="4"/>
  <c r="AN37" i="4"/>
  <c r="AN48" i="4"/>
  <c r="AN36" i="4"/>
  <c r="AN56" i="4"/>
  <c r="AN45" i="4"/>
  <c r="AN26" i="4"/>
  <c r="AN8" i="4"/>
  <c r="AO6" i="4"/>
  <c r="AO5" i="4" l="1" a="1"/>
  <c r="AO5" i="4" s="1"/>
  <c r="AO7" i="4"/>
  <c r="AO44" i="4"/>
  <c r="AO54" i="4"/>
  <c r="AO14" i="4"/>
  <c r="AO24" i="4"/>
  <c r="AO53" i="4"/>
  <c r="AO43" i="4"/>
  <c r="AO23" i="4"/>
  <c r="AO51" i="4"/>
  <c r="AO12" i="4"/>
  <c r="AO34" i="4"/>
  <c r="AO13" i="4"/>
  <c r="AO33" i="4"/>
  <c r="AO52" i="4"/>
  <c r="AO32" i="4"/>
  <c r="AO22" i="4"/>
  <c r="AO11" i="4"/>
  <c r="AO21" i="4"/>
  <c r="AO42" i="4"/>
  <c r="AO41" i="4"/>
  <c r="AO40" i="4"/>
  <c r="AO31" i="4"/>
  <c r="AO50" i="4"/>
  <c r="AO49" i="4"/>
  <c r="AO19" i="4"/>
  <c r="AO39" i="4"/>
  <c r="AO29" i="4"/>
  <c r="AO38" i="4"/>
  <c r="AO18" i="4"/>
  <c r="AO37" i="4"/>
  <c r="AO8" i="4"/>
  <c r="AO10" i="4"/>
  <c r="AO16" i="4"/>
  <c r="AO59" i="4"/>
  <c r="AO36" i="4"/>
  <c r="AO27" i="4"/>
  <c r="AO55" i="4"/>
  <c r="AO9" i="4"/>
  <c r="AO26" i="4"/>
  <c r="AO25" i="4"/>
  <c r="AO15" i="4"/>
  <c r="AO28" i="4"/>
  <c r="AO47" i="4"/>
  <c r="AO17" i="4"/>
  <c r="AO30" i="4"/>
  <c r="AO20" i="4"/>
  <c r="AO58" i="4"/>
  <c r="AO57" i="4"/>
  <c r="AO48" i="4"/>
  <c r="AO45" i="4"/>
  <c r="AO46" i="4"/>
  <c r="AO56" i="4"/>
  <c r="AO35" i="4"/>
  <c r="AP6" i="4"/>
  <c r="AP7" i="4" l="1"/>
  <c r="AP5" i="4" a="1"/>
  <c r="AP5" i="4" s="1"/>
  <c r="AP33" i="4"/>
  <c r="AP24" i="4"/>
  <c r="AP53" i="4"/>
  <c r="AP54" i="4"/>
  <c r="AP14" i="4"/>
  <c r="AP34" i="4"/>
  <c r="AP23" i="4"/>
  <c r="AP13" i="4"/>
  <c r="AP43" i="4"/>
  <c r="AP32" i="4"/>
  <c r="AP51" i="4"/>
  <c r="AP42" i="4"/>
  <c r="AP44" i="4"/>
  <c r="AP52" i="4"/>
  <c r="AP31" i="4"/>
  <c r="AP21" i="4"/>
  <c r="AP22" i="4"/>
  <c r="AP50" i="4"/>
  <c r="AP39" i="4"/>
  <c r="AP12" i="4"/>
  <c r="AP11" i="4"/>
  <c r="AP41" i="4"/>
  <c r="AP40" i="4"/>
  <c r="AP59" i="4"/>
  <c r="AP49" i="4"/>
  <c r="AP58" i="4"/>
  <c r="AP20" i="4"/>
  <c r="AP37" i="4"/>
  <c r="AP57" i="4"/>
  <c r="AP9" i="4"/>
  <c r="AP48" i="4"/>
  <c r="AP38" i="4"/>
  <c r="AP28" i="4"/>
  <c r="AP8" i="4"/>
  <c r="AP27" i="4"/>
  <c r="AP35" i="4"/>
  <c r="AP29" i="4"/>
  <c r="AP45" i="4"/>
  <c r="AP55" i="4"/>
  <c r="AP30" i="4"/>
  <c r="AP19" i="4"/>
  <c r="AP56" i="4"/>
  <c r="AP10" i="4"/>
  <c r="AP18" i="4"/>
  <c r="AP46" i="4"/>
  <c r="AP47" i="4"/>
  <c r="AP26" i="4"/>
  <c r="AP15" i="4"/>
  <c r="AP25" i="4"/>
  <c r="AP16" i="4"/>
  <c r="AP36" i="4"/>
  <c r="AP17" i="4"/>
  <c r="AQ6" i="4"/>
  <c r="AQ5" i="4" l="1" a="1"/>
  <c r="AQ5" i="4" s="1"/>
  <c r="AQ7" i="4"/>
  <c r="AQ34" i="4"/>
  <c r="AQ44" i="4"/>
  <c r="AQ53" i="4"/>
  <c r="AQ43" i="4"/>
  <c r="AQ54" i="4"/>
  <c r="AQ24" i="4"/>
  <c r="AQ14" i="4"/>
  <c r="AQ23" i="4"/>
  <c r="AQ33" i="4"/>
  <c r="AQ22" i="4"/>
  <c r="AQ52" i="4"/>
  <c r="AQ13" i="4"/>
  <c r="AQ42" i="4"/>
  <c r="AQ50" i="4"/>
  <c r="AQ32" i="4"/>
  <c r="AQ21" i="4"/>
  <c r="AQ40" i="4"/>
  <c r="AQ49" i="4"/>
  <c r="AQ51" i="4"/>
  <c r="AQ31" i="4"/>
  <c r="AQ20" i="4"/>
  <c r="AQ59" i="4"/>
  <c r="AQ41" i="4"/>
  <c r="AQ30" i="4"/>
  <c r="AQ58" i="4"/>
  <c r="AQ10" i="4"/>
  <c r="AQ9" i="4"/>
  <c r="AQ37" i="4"/>
  <c r="AQ17" i="4"/>
  <c r="AQ28" i="4"/>
  <c r="AQ27" i="4"/>
  <c r="AQ8" i="4"/>
  <c r="AQ47" i="4"/>
  <c r="AQ36" i="4"/>
  <c r="AQ48" i="4"/>
  <c r="AQ15" i="4"/>
  <c r="AQ46" i="4"/>
  <c r="AQ25" i="4"/>
  <c r="AQ45" i="4"/>
  <c r="AQ57" i="4"/>
  <c r="AQ11" i="4"/>
  <c r="AQ19" i="4"/>
  <c r="AQ39" i="4"/>
  <c r="AQ29" i="4"/>
  <c r="AQ18" i="4"/>
  <c r="AQ12" i="4"/>
  <c r="AQ38" i="4"/>
  <c r="AQ26" i="4"/>
  <c r="AQ16" i="4"/>
  <c r="AQ35" i="4"/>
  <c r="AQ56" i="4"/>
  <c r="AQ55" i="4"/>
  <c r="AR6" i="4"/>
  <c r="AR5" i="4" l="1" a="1"/>
  <c r="AR5" i="4" s="1"/>
  <c r="AR7" i="4"/>
  <c r="AR24" i="4"/>
  <c r="AR14" i="4"/>
  <c r="AR34" i="4"/>
  <c r="AR54" i="4"/>
  <c r="AR43" i="4"/>
  <c r="AR44" i="4"/>
  <c r="AR52" i="4"/>
  <c r="AR42" i="4"/>
  <c r="AR32" i="4"/>
  <c r="AR12" i="4"/>
  <c r="AR22" i="4"/>
  <c r="AR13" i="4"/>
  <c r="AR33" i="4"/>
  <c r="AR23" i="4"/>
  <c r="AR53" i="4"/>
  <c r="AR11" i="4"/>
  <c r="AR40" i="4"/>
  <c r="AR21" i="4"/>
  <c r="AR41" i="4"/>
  <c r="AR31" i="4"/>
  <c r="AR10" i="4"/>
  <c r="AR39" i="4"/>
  <c r="AR19" i="4"/>
  <c r="AR50" i="4"/>
  <c r="AR51" i="4"/>
  <c r="AR20" i="4"/>
  <c r="AR30" i="4"/>
  <c r="AR38" i="4"/>
  <c r="AR36" i="4"/>
  <c r="AR26" i="4"/>
  <c r="AR47" i="4"/>
  <c r="AR29" i="4"/>
  <c r="AR18" i="4"/>
  <c r="AR8" i="4"/>
  <c r="AR58" i="4"/>
  <c r="AR27" i="4"/>
  <c r="AR35" i="4"/>
  <c r="AR15" i="4"/>
  <c r="AR28" i="4"/>
  <c r="AR17" i="4"/>
  <c r="AR16" i="4"/>
  <c r="AR55" i="4"/>
  <c r="AR46" i="4"/>
  <c r="AR25" i="4"/>
  <c r="AR37" i="4"/>
  <c r="AR48" i="4"/>
  <c r="AR57" i="4"/>
  <c r="AR59" i="4"/>
  <c r="AR49" i="4"/>
  <c r="AR9" i="4"/>
  <c r="AR45" i="4"/>
  <c r="AR56" i="4"/>
  <c r="AS6" i="4"/>
  <c r="N59" i="4"/>
  <c r="N51" i="4"/>
  <c r="N43" i="4"/>
  <c r="N35" i="4"/>
  <c r="N27" i="4"/>
  <c r="N11" i="4"/>
  <c r="N58" i="4"/>
  <c r="N50" i="4"/>
  <c r="N42" i="4"/>
  <c r="N34" i="4"/>
  <c r="N57" i="4"/>
  <c r="N49" i="4"/>
  <c r="N41" i="4"/>
  <c r="N33" i="4"/>
  <c r="N9" i="4"/>
  <c r="N56" i="4"/>
  <c r="N48" i="4"/>
  <c r="N40" i="4"/>
  <c r="N32" i="4"/>
  <c r="N55" i="4"/>
  <c r="N47" i="4"/>
  <c r="N39" i="4"/>
  <c r="N31" i="4"/>
  <c r="N54" i="4"/>
  <c r="N46" i="4"/>
  <c r="N38" i="4"/>
  <c r="N30" i="4"/>
  <c r="N53" i="4"/>
  <c r="N45" i="4"/>
  <c r="N37" i="4"/>
  <c r="N29" i="4"/>
  <c r="N52" i="4"/>
  <c r="N44" i="4"/>
  <c r="N36" i="4"/>
  <c r="N28" i="4"/>
  <c r="AS5" i="4" l="1" a="1"/>
  <c r="AS5" i="4" s="1"/>
  <c r="AS7" i="4"/>
  <c r="AS24" i="4"/>
  <c r="AS44" i="4"/>
  <c r="AS23" i="4"/>
  <c r="AS43" i="4"/>
  <c r="AS34" i="4"/>
  <c r="AS54" i="4"/>
  <c r="AS14" i="4"/>
  <c r="AS33" i="4"/>
  <c r="AS13" i="4"/>
  <c r="AS32" i="4"/>
  <c r="AS53" i="4"/>
  <c r="AS52" i="4"/>
  <c r="AS41" i="4"/>
  <c r="AS40" i="4"/>
  <c r="AS12" i="4"/>
  <c r="AS51" i="4"/>
  <c r="AS22" i="4"/>
  <c r="AS31" i="4"/>
  <c r="AS21" i="4"/>
  <c r="AS11" i="4"/>
  <c r="AS42" i="4"/>
  <c r="AS50" i="4"/>
  <c r="AS10" i="4"/>
  <c r="AS49" i="4"/>
  <c r="AS39" i="4"/>
  <c r="AS20" i="4"/>
  <c r="AS9" i="4"/>
  <c r="AS38" i="4"/>
  <c r="AS18" i="4"/>
  <c r="AS59" i="4"/>
  <c r="AS58" i="4"/>
  <c r="AS57" i="4"/>
  <c r="AS27" i="4"/>
  <c r="AS8" i="4"/>
  <c r="AS29" i="4"/>
  <c r="AS28" i="4"/>
  <c r="AS16" i="4"/>
  <c r="AS25" i="4"/>
  <c r="AS19" i="4"/>
  <c r="AS55" i="4"/>
  <c r="AS45" i="4"/>
  <c r="AS47" i="4"/>
  <c r="AS48" i="4"/>
  <c r="AS35" i="4"/>
  <c r="AS15" i="4"/>
  <c r="AS46" i="4"/>
  <c r="AS26" i="4"/>
  <c r="AS56" i="4"/>
  <c r="AS17" i="4"/>
  <c r="AS37" i="4"/>
  <c r="AS36" i="4"/>
  <c r="AS30" i="4"/>
  <c r="AT6" i="4"/>
  <c r="AT7" i="4" l="1"/>
  <c r="AT5" i="4" a="1"/>
  <c r="AT5" i="4" s="1"/>
  <c r="AT54" i="4"/>
  <c r="AT34" i="4"/>
  <c r="AT44" i="4"/>
  <c r="AT14" i="4"/>
  <c r="AT53" i="4"/>
  <c r="AT24" i="4"/>
  <c r="AT23" i="4"/>
  <c r="AT12" i="4"/>
  <c r="AT43" i="4"/>
  <c r="AT33" i="4"/>
  <c r="AT42" i="4"/>
  <c r="AT13" i="4"/>
  <c r="AT32" i="4"/>
  <c r="AT51" i="4"/>
  <c r="AT21" i="4"/>
  <c r="AT59" i="4"/>
  <c r="AT31" i="4"/>
  <c r="AT30" i="4"/>
  <c r="AT41" i="4"/>
  <c r="AT22" i="4"/>
  <c r="AT52" i="4"/>
  <c r="AT11" i="4"/>
  <c r="AT50" i="4"/>
  <c r="AT19" i="4"/>
  <c r="AT48" i="4"/>
  <c r="AT39" i="4"/>
  <c r="AT29" i="4"/>
  <c r="AT20" i="4"/>
  <c r="AT58" i="4"/>
  <c r="AT37" i="4"/>
  <c r="AT38" i="4"/>
  <c r="AT27" i="4"/>
  <c r="AT10" i="4"/>
  <c r="AT8" i="4"/>
  <c r="AT40" i="4"/>
  <c r="AT18" i="4"/>
  <c r="AT15" i="4"/>
  <c r="AT57" i="4"/>
  <c r="AT36" i="4"/>
  <c r="AT26" i="4"/>
  <c r="AT47" i="4"/>
  <c r="AT46" i="4"/>
  <c r="AT55" i="4"/>
  <c r="AT16" i="4"/>
  <c r="AT45" i="4"/>
  <c r="AT56" i="4"/>
  <c r="AT28" i="4"/>
  <c r="AT49" i="4"/>
  <c r="AT9" i="4"/>
  <c r="AT17" i="4"/>
  <c r="AT35" i="4"/>
  <c r="AT25" i="4"/>
  <c r="AU6" i="4"/>
  <c r="AU7" i="4" l="1"/>
  <c r="AU5" i="4" a="1"/>
  <c r="AU5" i="4" s="1"/>
  <c r="AU34" i="4"/>
  <c r="AU33" i="4"/>
  <c r="AU44" i="4"/>
  <c r="AU54" i="4"/>
  <c r="AU23" i="4"/>
  <c r="AU14" i="4"/>
  <c r="AU42" i="4"/>
  <c r="AU52" i="4"/>
  <c r="AU22" i="4"/>
  <c r="AU43" i="4"/>
  <c r="AU53" i="4"/>
  <c r="AU13" i="4"/>
  <c r="AU24" i="4"/>
  <c r="AU11" i="4"/>
  <c r="AU41" i="4"/>
  <c r="AU10" i="4"/>
  <c r="AU12" i="4"/>
  <c r="AU31" i="4"/>
  <c r="AU20" i="4"/>
  <c r="AU51" i="4"/>
  <c r="AU21" i="4"/>
  <c r="AU32" i="4"/>
  <c r="AU50" i="4"/>
  <c r="AU58" i="4"/>
  <c r="AU48" i="4"/>
  <c r="AU59" i="4"/>
  <c r="AU49" i="4"/>
  <c r="AU40" i="4"/>
  <c r="AU30" i="4"/>
  <c r="AU19" i="4"/>
  <c r="AU37" i="4"/>
  <c r="AU28" i="4"/>
  <c r="AU57" i="4"/>
  <c r="AU18" i="4"/>
  <c r="AU47" i="4"/>
  <c r="AU27" i="4"/>
  <c r="AU9" i="4"/>
  <c r="AU17" i="4"/>
  <c r="AU29" i="4"/>
  <c r="AU38" i="4"/>
  <c r="AU8" i="4"/>
  <c r="AU35" i="4"/>
  <c r="AU46" i="4"/>
  <c r="AU45" i="4"/>
  <c r="AU36" i="4"/>
  <c r="AU25" i="4"/>
  <c r="AU55" i="4"/>
  <c r="AU15" i="4"/>
  <c r="AU56" i="4"/>
  <c r="AU39" i="4"/>
  <c r="AU16" i="4"/>
  <c r="AU26" i="4"/>
  <c r="AV6" i="4"/>
  <c r="AV7" i="4" l="1"/>
  <c r="AV5" i="4" a="1"/>
  <c r="AV5" i="4" s="1"/>
  <c r="AV53" i="4"/>
  <c r="AV54" i="4"/>
  <c r="AV24" i="4"/>
  <c r="AV23" i="4"/>
  <c r="AV44" i="4"/>
  <c r="AV34" i="4"/>
  <c r="AV13" i="4"/>
  <c r="AV52" i="4"/>
  <c r="AV33" i="4"/>
  <c r="AV51" i="4"/>
  <c r="AV14" i="4"/>
  <c r="AV43" i="4"/>
  <c r="AV30" i="4"/>
  <c r="AV22" i="4"/>
  <c r="AV21" i="4"/>
  <c r="AV42" i="4"/>
  <c r="AV11" i="4"/>
  <c r="AV49" i="4"/>
  <c r="AV41" i="4"/>
  <c r="AV10" i="4"/>
  <c r="AV50" i="4"/>
  <c r="AV40" i="4"/>
  <c r="AV31" i="4"/>
  <c r="AV38" i="4"/>
  <c r="AV29" i="4"/>
  <c r="AV37" i="4"/>
  <c r="AV36" i="4"/>
  <c r="AV8" i="4"/>
  <c r="AV27" i="4"/>
  <c r="AV18" i="4"/>
  <c r="AV57" i="4"/>
  <c r="AV32" i="4"/>
  <c r="AV39" i="4"/>
  <c r="AV9" i="4"/>
  <c r="AV58" i="4"/>
  <c r="AV26" i="4"/>
  <c r="AV56" i="4"/>
  <c r="AV20" i="4"/>
  <c r="AV45" i="4"/>
  <c r="AV16" i="4"/>
  <c r="AV55" i="4"/>
  <c r="AV25" i="4"/>
  <c r="AV46" i="4"/>
  <c r="AV48" i="4"/>
  <c r="AV59" i="4"/>
  <c r="AV19" i="4"/>
  <c r="AV28" i="4"/>
  <c r="AV12" i="4"/>
  <c r="AV47" i="4"/>
  <c r="AV17" i="4"/>
  <c r="AV35" i="4"/>
  <c r="AV15" i="4"/>
  <c r="AW6" i="4"/>
  <c r="AW7" i="4" l="1"/>
  <c r="AW5" i="4" a="1"/>
  <c r="AW5" i="4" s="1"/>
  <c r="AW44" i="4"/>
  <c r="AW23" i="4"/>
  <c r="AW34" i="4"/>
  <c r="AW24" i="4"/>
  <c r="AW54" i="4"/>
  <c r="AW43" i="4"/>
  <c r="AW33" i="4"/>
  <c r="AW52" i="4"/>
  <c r="AW13" i="4"/>
  <c r="AW14" i="4"/>
  <c r="AW53" i="4"/>
  <c r="AW42" i="4"/>
  <c r="AW22" i="4"/>
  <c r="AW21" i="4"/>
  <c r="AW40" i="4"/>
  <c r="AW41" i="4"/>
  <c r="AW31" i="4"/>
  <c r="AW30" i="4"/>
  <c r="AW59" i="4"/>
  <c r="AW12" i="4"/>
  <c r="AW50" i="4"/>
  <c r="AW11" i="4"/>
  <c r="AW29" i="4"/>
  <c r="AW19" i="4"/>
  <c r="AW9" i="4"/>
  <c r="AW51" i="4"/>
  <c r="AW48" i="4"/>
  <c r="AW47" i="4"/>
  <c r="AW37" i="4"/>
  <c r="AW32" i="4"/>
  <c r="AW27" i="4"/>
  <c r="AW10" i="4"/>
  <c r="AW36" i="4"/>
  <c r="AW55" i="4"/>
  <c r="AW20" i="4"/>
  <c r="AW57" i="4"/>
  <c r="AW28" i="4"/>
  <c r="AW18" i="4"/>
  <c r="AW25" i="4"/>
  <c r="AW38" i="4"/>
  <c r="AW39" i="4"/>
  <c r="AW58" i="4"/>
  <c r="AW56" i="4"/>
  <c r="AW26" i="4"/>
  <c r="AW17" i="4"/>
  <c r="AW46" i="4"/>
  <c r="AW15" i="4"/>
  <c r="AW45" i="4"/>
  <c r="AW8" i="4"/>
  <c r="AW35" i="4"/>
  <c r="AW16" i="4"/>
  <c r="AW49" i="4"/>
  <c r="AX6" i="4"/>
  <c r="AX5" i="4" l="1" a="1"/>
  <c r="AX5" i="4" s="1"/>
  <c r="AX7" i="4"/>
  <c r="AX54" i="4"/>
  <c r="AX24" i="4"/>
  <c r="AX34" i="4"/>
  <c r="AX44" i="4"/>
  <c r="AX53" i="4"/>
  <c r="AX52" i="4"/>
  <c r="AX33" i="4"/>
  <c r="AX23" i="4"/>
  <c r="AX32" i="4"/>
  <c r="AX41" i="4"/>
  <c r="AX42" i="4"/>
  <c r="AX14" i="4"/>
  <c r="AX43" i="4"/>
  <c r="AX13" i="4"/>
  <c r="AX22" i="4"/>
  <c r="AX21" i="4"/>
  <c r="AX50" i="4"/>
  <c r="AX39" i="4"/>
  <c r="AX12" i="4"/>
  <c r="AX11" i="4"/>
  <c r="AX10" i="4"/>
  <c r="AX9" i="4"/>
  <c r="AX31" i="4"/>
  <c r="AX59" i="4"/>
  <c r="AX58" i="4"/>
  <c r="AX51" i="4"/>
  <c r="AX49" i="4"/>
  <c r="AX30" i="4"/>
  <c r="AX17" i="4"/>
  <c r="AX56" i="4"/>
  <c r="AX36" i="4"/>
  <c r="AX37" i="4"/>
  <c r="AX48" i="4"/>
  <c r="AX18" i="4"/>
  <c r="AX57" i="4"/>
  <c r="AX27" i="4"/>
  <c r="AX26" i="4"/>
  <c r="AX25" i="4"/>
  <c r="AX47" i="4"/>
  <c r="AX35" i="4"/>
  <c r="AX46" i="4"/>
  <c r="AX19" i="4"/>
  <c r="AX20" i="4"/>
  <c r="AX28" i="4"/>
  <c r="AX16" i="4"/>
  <c r="AX29" i="4"/>
  <c r="AX38" i="4"/>
  <c r="AX40" i="4"/>
  <c r="AX8" i="4"/>
  <c r="AX15" i="4"/>
  <c r="AX55" i="4"/>
  <c r="AX45" i="4"/>
  <c r="AY6" i="4"/>
  <c r="AY7" i="4" l="1"/>
  <c r="AY5" i="4" a="1"/>
  <c r="AY5" i="4" s="1"/>
  <c r="AY53" i="4"/>
  <c r="AY34" i="4"/>
  <c r="AY44" i="4"/>
  <c r="AY54" i="4"/>
  <c r="AY42" i="4"/>
  <c r="AY14" i="4"/>
  <c r="AY52" i="4"/>
  <c r="AY13" i="4"/>
  <c r="AY43" i="4"/>
  <c r="AY22" i="4"/>
  <c r="AY12" i="4"/>
  <c r="AY24" i="4"/>
  <c r="AY33" i="4"/>
  <c r="AY23" i="4"/>
  <c r="AY32" i="4"/>
  <c r="AY21" i="4"/>
  <c r="AY31" i="4"/>
  <c r="AY50" i="4"/>
  <c r="AY11" i="4"/>
  <c r="AY51" i="4"/>
  <c r="AY30" i="4"/>
  <c r="AY41" i="4"/>
  <c r="AY59" i="4"/>
  <c r="AY49" i="4"/>
  <c r="AY39" i="4"/>
  <c r="AY27" i="4"/>
  <c r="AY17" i="4"/>
  <c r="AY19" i="4"/>
  <c r="AY18" i="4"/>
  <c r="AY57" i="4"/>
  <c r="AY40" i="4"/>
  <c r="AY56" i="4"/>
  <c r="AY25" i="4"/>
  <c r="AY10" i="4"/>
  <c r="AY47" i="4"/>
  <c r="AY45" i="4"/>
  <c r="AY38" i="4"/>
  <c r="AY29" i="4"/>
  <c r="AY48" i="4"/>
  <c r="AY36" i="4"/>
  <c r="AY15" i="4"/>
  <c r="AY20" i="4"/>
  <c r="AY9" i="4"/>
  <c r="AY46" i="4"/>
  <c r="AY26" i="4"/>
  <c r="AY35" i="4"/>
  <c r="AY55" i="4"/>
  <c r="AY58" i="4"/>
  <c r="AY8" i="4"/>
  <c r="AY28" i="4"/>
  <c r="AY37" i="4"/>
  <c r="AY16" i="4"/>
  <c r="AZ6" i="4"/>
  <c r="AZ5" i="4" l="1" a="1"/>
  <c r="AZ5" i="4" s="1"/>
  <c r="AZ7" i="4"/>
  <c r="AZ24" i="4"/>
  <c r="AZ14" i="4"/>
  <c r="AZ34" i="4"/>
  <c r="AZ54" i="4"/>
  <c r="AZ13" i="4"/>
  <c r="AZ43" i="4"/>
  <c r="AZ52" i="4"/>
  <c r="AZ32" i="4"/>
  <c r="AZ44" i="4"/>
  <c r="AZ42" i="4"/>
  <c r="AZ33" i="4"/>
  <c r="AZ23" i="4"/>
  <c r="AZ53" i="4"/>
  <c r="AZ21" i="4"/>
  <c r="AZ50" i="4"/>
  <c r="AZ11" i="4"/>
  <c r="AZ41" i="4"/>
  <c r="AZ49" i="4"/>
  <c r="AZ40" i="4"/>
  <c r="AZ12" i="4"/>
  <c r="AZ31" i="4"/>
  <c r="AZ51" i="4"/>
  <c r="AZ30" i="4"/>
  <c r="AZ58" i="4"/>
  <c r="AZ10" i="4"/>
  <c r="AZ22" i="4"/>
  <c r="AZ59" i="4"/>
  <c r="AZ29" i="4"/>
  <c r="AZ48" i="4"/>
  <c r="AZ38" i="4"/>
  <c r="AZ8" i="4"/>
  <c r="AZ56" i="4"/>
  <c r="AZ28" i="4"/>
  <c r="AZ39" i="4"/>
  <c r="AZ19" i="4"/>
  <c r="AZ37" i="4"/>
  <c r="AZ47" i="4"/>
  <c r="AZ27" i="4"/>
  <c r="AZ46" i="4"/>
  <c r="AZ57" i="4"/>
  <c r="AZ35" i="4"/>
  <c r="AZ25" i="4"/>
  <c r="AZ45" i="4"/>
  <c r="AZ15" i="4"/>
  <c r="AZ36" i="4"/>
  <c r="AZ17" i="4"/>
  <c r="AZ26" i="4"/>
  <c r="AZ16" i="4"/>
  <c r="AZ55" i="4"/>
  <c r="AZ9" i="4"/>
  <c r="AZ20" i="4"/>
  <c r="AZ18" i="4"/>
  <c r="BA6" i="4"/>
  <c r="BA5" i="4" l="1" a="1"/>
  <c r="BA5" i="4" s="1"/>
  <c r="BA7" i="4"/>
  <c r="BA54" i="4"/>
  <c r="BA24" i="4"/>
  <c r="BA53" i="4"/>
  <c r="BA14" i="4"/>
  <c r="BA34" i="4"/>
  <c r="BA23" i="4"/>
  <c r="BA13" i="4"/>
  <c r="BA42" i="4"/>
  <c r="BA43" i="4"/>
  <c r="BA33" i="4"/>
  <c r="BA41" i="4"/>
  <c r="BA52" i="4"/>
  <c r="BA44" i="4"/>
  <c r="BA12" i="4"/>
  <c r="BA21" i="4"/>
  <c r="BA32" i="4"/>
  <c r="BA51" i="4"/>
  <c r="BA22" i="4"/>
  <c r="BA20" i="4"/>
  <c r="BA40" i="4"/>
  <c r="BA50" i="4"/>
  <c r="BA59" i="4"/>
  <c r="BA31" i="4"/>
  <c r="BA10" i="4"/>
  <c r="BA38" i="4"/>
  <c r="BA19" i="4"/>
  <c r="BA58" i="4"/>
  <c r="BA11" i="4"/>
  <c r="BA49" i="4"/>
  <c r="BA29" i="4"/>
  <c r="BA27" i="4"/>
  <c r="BA37" i="4"/>
  <c r="BA9" i="4"/>
  <c r="BA28" i="4"/>
  <c r="BA55" i="4"/>
  <c r="BA46" i="4"/>
  <c r="BA45" i="4"/>
  <c r="BA36" i="4"/>
  <c r="BA26" i="4"/>
  <c r="BA39" i="4"/>
  <c r="BA57" i="4"/>
  <c r="BA47" i="4"/>
  <c r="BA18" i="4"/>
  <c r="BA8" i="4"/>
  <c r="BA30" i="4"/>
  <c r="BA16" i="4"/>
  <c r="BA35" i="4"/>
  <c r="BA56" i="4"/>
  <c r="BA25" i="4"/>
  <c r="BA15" i="4"/>
  <c r="BA48" i="4"/>
  <c r="BA17" i="4"/>
  <c r="BB6" i="4"/>
  <c r="BB7" i="4" l="1"/>
  <c r="BB5" i="4" a="1"/>
  <c r="BB5" i="4" s="1"/>
  <c r="BB33" i="4"/>
  <c r="BB24" i="4"/>
  <c r="BB44" i="4"/>
  <c r="BB53" i="4"/>
  <c r="BB14" i="4"/>
  <c r="BB43" i="4"/>
  <c r="BB54" i="4"/>
  <c r="BB51" i="4"/>
  <c r="BB41" i="4"/>
  <c r="BB52" i="4"/>
  <c r="BB34" i="4"/>
  <c r="BB23" i="4"/>
  <c r="BB13" i="4"/>
  <c r="BB21" i="4"/>
  <c r="BB42" i="4"/>
  <c r="BB11" i="4"/>
  <c r="BB20" i="4"/>
  <c r="BB29" i="4"/>
  <c r="BB12" i="4"/>
  <c r="BB31" i="4"/>
  <c r="BB40" i="4"/>
  <c r="BB32" i="4"/>
  <c r="BB30" i="4"/>
  <c r="BB48" i="4"/>
  <c r="BB10" i="4"/>
  <c r="BB38" i="4"/>
  <c r="BB18" i="4"/>
  <c r="BB22" i="4"/>
  <c r="BB57" i="4"/>
  <c r="BB47" i="4"/>
  <c r="BB19" i="4"/>
  <c r="BB9" i="4"/>
  <c r="BB37" i="4"/>
  <c r="BB58" i="4"/>
  <c r="BB25" i="4"/>
  <c r="BB28" i="4"/>
  <c r="BB8" i="4"/>
  <c r="BB15" i="4"/>
  <c r="BB59" i="4"/>
  <c r="BB49" i="4"/>
  <c r="BB17" i="4"/>
  <c r="BB46" i="4"/>
  <c r="BB39" i="4"/>
  <c r="BB35" i="4"/>
  <c r="BB50" i="4"/>
  <c r="BB27" i="4"/>
  <c r="BB16" i="4"/>
  <c r="BB36" i="4"/>
  <c r="BB26" i="4"/>
  <c r="BB45" i="4"/>
  <c r="BB55" i="4"/>
  <c r="BB56" i="4"/>
  <c r="BC6" i="4"/>
  <c r="BC7" i="4" l="1"/>
  <c r="BC5" i="4" a="1"/>
  <c r="BC5" i="4" s="1"/>
  <c r="BC44" i="4"/>
  <c r="BC54" i="4"/>
  <c r="BC34" i="4"/>
  <c r="BC43" i="4"/>
  <c r="BC53" i="4"/>
  <c r="BC33" i="4"/>
  <c r="BC52" i="4"/>
  <c r="BC14" i="4"/>
  <c r="BC12" i="4"/>
  <c r="BC24" i="4"/>
  <c r="BC32" i="4"/>
  <c r="BC51" i="4"/>
  <c r="BC23" i="4"/>
  <c r="BC13" i="4"/>
  <c r="BC42" i="4"/>
  <c r="BC21" i="4"/>
  <c r="BC20" i="4"/>
  <c r="BC50" i="4"/>
  <c r="BC59" i="4"/>
  <c r="BC29" i="4"/>
  <c r="BC41" i="4"/>
  <c r="BC11" i="4"/>
  <c r="BC22" i="4"/>
  <c r="BC39" i="4"/>
  <c r="BC9" i="4"/>
  <c r="BC10" i="4"/>
  <c r="BC28" i="4"/>
  <c r="BC46" i="4"/>
  <c r="BC49" i="4"/>
  <c r="BC38" i="4"/>
  <c r="BC8" i="4"/>
  <c r="BC48" i="4"/>
  <c r="BC36" i="4"/>
  <c r="BC31" i="4"/>
  <c r="BC27" i="4"/>
  <c r="BC16" i="4"/>
  <c r="BC56" i="4"/>
  <c r="BC55" i="4"/>
  <c r="BC35" i="4"/>
  <c r="BC25" i="4"/>
  <c r="BC47" i="4"/>
  <c r="BC40" i="4"/>
  <c r="BC58" i="4"/>
  <c r="BC18" i="4"/>
  <c r="BC37" i="4"/>
  <c r="BC19" i="4"/>
  <c r="BC57" i="4"/>
  <c r="BC30" i="4"/>
  <c r="BC17" i="4"/>
  <c r="BC26" i="4"/>
  <c r="BC15" i="4"/>
  <c r="BC45" i="4"/>
  <c r="BD6" i="4"/>
  <c r="BD7" i="4" l="1"/>
  <c r="BD5" i="4" a="1"/>
  <c r="BD5" i="4" s="1"/>
  <c r="BD44" i="4"/>
  <c r="BD24" i="4"/>
  <c r="BD54" i="4"/>
  <c r="BD53" i="4"/>
  <c r="BD42" i="4"/>
  <c r="BD23" i="4"/>
  <c r="BD43" i="4"/>
  <c r="BD33" i="4"/>
  <c r="BD13" i="4"/>
  <c r="BD32" i="4"/>
  <c r="BD51" i="4"/>
  <c r="BD34" i="4"/>
  <c r="BD14" i="4"/>
  <c r="BD52" i="4"/>
  <c r="BD11" i="4"/>
  <c r="BD40" i="4"/>
  <c r="BD12" i="4"/>
  <c r="BD20" i="4"/>
  <c r="BD41" i="4"/>
  <c r="BD31" i="4"/>
  <c r="BD21" i="4"/>
  <c r="BD38" i="4"/>
  <c r="BD22" i="4"/>
  <c r="BD19" i="4"/>
  <c r="BD50" i="4"/>
  <c r="BD29" i="4"/>
  <c r="BD10" i="4"/>
  <c r="BD17" i="4"/>
  <c r="BD59" i="4"/>
  <c r="BD39" i="4"/>
  <c r="BD47" i="4"/>
  <c r="BD49" i="4"/>
  <c r="BD30" i="4"/>
  <c r="BD16" i="4"/>
  <c r="BD55" i="4"/>
  <c r="BD56" i="4"/>
  <c r="BD15" i="4"/>
  <c r="BD9" i="4"/>
  <c r="BD58" i="4"/>
  <c r="BD57" i="4"/>
  <c r="BD45" i="4"/>
  <c r="BD37" i="4"/>
  <c r="BD27" i="4"/>
  <c r="BD36" i="4"/>
  <c r="BD26" i="4"/>
  <c r="BD25" i="4"/>
  <c r="BD35" i="4"/>
  <c r="BD8" i="4"/>
  <c r="BD46" i="4"/>
  <c r="BD28" i="4"/>
  <c r="BD48" i="4"/>
  <c r="BD18" i="4"/>
  <c r="BE6" i="4"/>
  <c r="BE5" i="4" l="1" a="1"/>
  <c r="BE5" i="4" s="1"/>
  <c r="BE7" i="4"/>
  <c r="BE34" i="4"/>
  <c r="BE24" i="4"/>
  <c r="BE53" i="4"/>
  <c r="BE54" i="4"/>
  <c r="BE14" i="4"/>
  <c r="BE33" i="4"/>
  <c r="BE43" i="4"/>
  <c r="BE13" i="4"/>
  <c r="BE23" i="4"/>
  <c r="BE44" i="4"/>
  <c r="BE52" i="4"/>
  <c r="BE21" i="4"/>
  <c r="BE50" i="4"/>
  <c r="BE41" i="4"/>
  <c r="BE11" i="4"/>
  <c r="BE42" i="4"/>
  <c r="BE30" i="4"/>
  <c r="BE22" i="4"/>
  <c r="BE51" i="4"/>
  <c r="BE12" i="4"/>
  <c r="BE31" i="4"/>
  <c r="BE32" i="4"/>
  <c r="BE49" i="4"/>
  <c r="BE28" i="4"/>
  <c r="BE56" i="4"/>
  <c r="BE19" i="4"/>
  <c r="BE38" i="4"/>
  <c r="BE39" i="4"/>
  <c r="BE8" i="4"/>
  <c r="BE37" i="4"/>
  <c r="BE47" i="4"/>
  <c r="BE35" i="4"/>
  <c r="BE25" i="4"/>
  <c r="BE57" i="4"/>
  <c r="BE17" i="4"/>
  <c r="BE40" i="4"/>
  <c r="BE59" i="4"/>
  <c r="BE9" i="4"/>
  <c r="BE46" i="4"/>
  <c r="BE15" i="4"/>
  <c r="BE48" i="4"/>
  <c r="BE10" i="4"/>
  <c r="BE36" i="4"/>
  <c r="BE20" i="4"/>
  <c r="BE18" i="4"/>
  <c r="BE27" i="4"/>
  <c r="BE29" i="4"/>
  <c r="BE55" i="4"/>
  <c r="BE16" i="4"/>
  <c r="BE26" i="4"/>
  <c r="BE45" i="4"/>
  <c r="BE58" i="4"/>
  <c r="BF6" i="4"/>
  <c r="BF5" i="4" l="1" a="1"/>
  <c r="BF5" i="4" s="1"/>
  <c r="BF7" i="4"/>
  <c r="BF33" i="4"/>
  <c r="BF54" i="4"/>
  <c r="BF14" i="4"/>
  <c r="BF53" i="4"/>
  <c r="BF42" i="4"/>
  <c r="BF34" i="4"/>
  <c r="BF24" i="4"/>
  <c r="BF23" i="4"/>
  <c r="BF52" i="4"/>
  <c r="BF43" i="4"/>
  <c r="BF44" i="4"/>
  <c r="BF13" i="4"/>
  <c r="BF40" i="4"/>
  <c r="BF51" i="4"/>
  <c r="BF12" i="4"/>
  <c r="BF41" i="4"/>
  <c r="BF11" i="4"/>
  <c r="BF32" i="4"/>
  <c r="BF22" i="4"/>
  <c r="BF31" i="4"/>
  <c r="BF50" i="4"/>
  <c r="BF10" i="4"/>
  <c r="BF21" i="4"/>
  <c r="BF30" i="4"/>
  <c r="BF39" i="4"/>
  <c r="BF19" i="4"/>
  <c r="BF20" i="4"/>
  <c r="BF9" i="4"/>
  <c r="BF18" i="4"/>
  <c r="BF8" i="4"/>
  <c r="BF37" i="4"/>
  <c r="BF46" i="4"/>
  <c r="BF57" i="4"/>
  <c r="BF47" i="4"/>
  <c r="BF27" i="4"/>
  <c r="BF55" i="4"/>
  <c r="BF15" i="4"/>
  <c r="BF29" i="4"/>
  <c r="BF58" i="4"/>
  <c r="BF38" i="4"/>
  <c r="BF35" i="4"/>
  <c r="BF48" i="4"/>
  <c r="BF56" i="4"/>
  <c r="BF49" i="4"/>
  <c r="BF59" i="4"/>
  <c r="BF28" i="4"/>
  <c r="BF36" i="4"/>
  <c r="BF16" i="4"/>
  <c r="BF45" i="4"/>
  <c r="BF17" i="4"/>
  <c r="BF26" i="4"/>
  <c r="BF25" i="4"/>
  <c r="BG6" i="4"/>
  <c r="BG7" i="4" l="1"/>
  <c r="BG5" i="4" a="1"/>
  <c r="BG5" i="4" s="1"/>
  <c r="BG14" i="4"/>
  <c r="BG43" i="4"/>
  <c r="BG44" i="4"/>
  <c r="BG34" i="4"/>
  <c r="BG54" i="4"/>
  <c r="BG33" i="4"/>
  <c r="BG23" i="4"/>
  <c r="BG24" i="4"/>
  <c r="BG53" i="4"/>
  <c r="BG32" i="4"/>
  <c r="BG51" i="4"/>
  <c r="BG42" i="4"/>
  <c r="BG22" i="4"/>
  <c r="BG12" i="4"/>
  <c r="BG13" i="4"/>
  <c r="BG52" i="4"/>
  <c r="BG21" i="4"/>
  <c r="BG31" i="4"/>
  <c r="BG41" i="4"/>
  <c r="BG11" i="4"/>
  <c r="BG59" i="4"/>
  <c r="BG50" i="4"/>
  <c r="BG40" i="4"/>
  <c r="BG30" i="4"/>
  <c r="BG39" i="4"/>
  <c r="BG10" i="4"/>
  <c r="BG8" i="4"/>
  <c r="BG57" i="4"/>
  <c r="BG37" i="4"/>
  <c r="BG20" i="4"/>
  <c r="BG49" i="4"/>
  <c r="BG38" i="4"/>
  <c r="BG18" i="4"/>
  <c r="BG25" i="4"/>
  <c r="BG29" i="4"/>
  <c r="BG26" i="4"/>
  <c r="BG46" i="4"/>
  <c r="BG45" i="4"/>
  <c r="BG9" i="4"/>
  <c r="BG56" i="4"/>
  <c r="BG19" i="4"/>
  <c r="BG48" i="4"/>
  <c r="BG58" i="4"/>
  <c r="BG47" i="4"/>
  <c r="BG27" i="4"/>
  <c r="BG16" i="4"/>
  <c r="BG55" i="4"/>
  <c r="BG17" i="4"/>
  <c r="BG36" i="4"/>
  <c r="BG28" i="4"/>
  <c r="BG35" i="4"/>
  <c r="BG15" i="4"/>
  <c r="BH6" i="4"/>
  <c r="BH5" i="4" l="1" a="1"/>
  <c r="BH5" i="4" s="1"/>
  <c r="BH7" i="4"/>
  <c r="BH54" i="4"/>
  <c r="BH23" i="4"/>
  <c r="BH44" i="4"/>
  <c r="BH14" i="4"/>
  <c r="BH43" i="4"/>
  <c r="BH33" i="4"/>
  <c r="BH24" i="4"/>
  <c r="BH12" i="4"/>
  <c r="BH34" i="4"/>
  <c r="BH53" i="4"/>
  <c r="BH52" i="4"/>
  <c r="BH13" i="4"/>
  <c r="BH41" i="4"/>
  <c r="BH32" i="4"/>
  <c r="BH21" i="4"/>
  <c r="BH50" i="4"/>
  <c r="BH31" i="4"/>
  <c r="BH39" i="4"/>
  <c r="BH42" i="4"/>
  <c r="BH11" i="4"/>
  <c r="BH51" i="4"/>
  <c r="BH49" i="4"/>
  <c r="BH29" i="4"/>
  <c r="BH10" i="4"/>
  <c r="BH9" i="4"/>
  <c r="BH22" i="4"/>
  <c r="BH30" i="4"/>
  <c r="BH19" i="4"/>
  <c r="BH40" i="4"/>
  <c r="BH18" i="4"/>
  <c r="BH37" i="4"/>
  <c r="BH17" i="4"/>
  <c r="BH38" i="4"/>
  <c r="BH58" i="4"/>
  <c r="BH20" i="4"/>
  <c r="BH45" i="4"/>
  <c r="BH15" i="4"/>
  <c r="BH27" i="4"/>
  <c r="BH26" i="4"/>
  <c r="BH35" i="4"/>
  <c r="BH28" i="4"/>
  <c r="BH36" i="4"/>
  <c r="BH16" i="4"/>
  <c r="BH59" i="4"/>
  <c r="BH8" i="4"/>
  <c r="BH25" i="4"/>
  <c r="BH46" i="4"/>
  <c r="BH55" i="4"/>
  <c r="BH48" i="4"/>
  <c r="BH57" i="4"/>
  <c r="BH56" i="4"/>
  <c r="BH47" i="4"/>
  <c r="BI6" i="4"/>
  <c r="BI7" i="4" l="1"/>
  <c r="BI5" i="4" a="1"/>
  <c r="BI5" i="4" s="1"/>
  <c r="BI43" i="4"/>
  <c r="BI54" i="4"/>
  <c r="BI24" i="4"/>
  <c r="BI53" i="4"/>
  <c r="BI23" i="4"/>
  <c r="BI44" i="4"/>
  <c r="BI34" i="4"/>
  <c r="BI13" i="4"/>
  <c r="BI51" i="4"/>
  <c r="BI32" i="4"/>
  <c r="BI14" i="4"/>
  <c r="BI33" i="4"/>
  <c r="BI52" i="4"/>
  <c r="BI42" i="4"/>
  <c r="BI21" i="4"/>
  <c r="BI22" i="4"/>
  <c r="BI40" i="4"/>
  <c r="BI12" i="4"/>
  <c r="BI31" i="4"/>
  <c r="BI50" i="4"/>
  <c r="BI20" i="4"/>
  <c r="BI30" i="4"/>
  <c r="BI59" i="4"/>
  <c r="BI49" i="4"/>
  <c r="BI29" i="4"/>
  <c r="BI41" i="4"/>
  <c r="BI9" i="4"/>
  <c r="BI58" i="4"/>
  <c r="BI10" i="4"/>
  <c r="BI19" i="4"/>
  <c r="BI47" i="4"/>
  <c r="BI37" i="4"/>
  <c r="BI18" i="4"/>
  <c r="BI28" i="4"/>
  <c r="BI48" i="4"/>
  <c r="BI39" i="4"/>
  <c r="BI57" i="4"/>
  <c r="BI16" i="4"/>
  <c r="BI27" i="4"/>
  <c r="BI55" i="4"/>
  <c r="BI38" i="4"/>
  <c r="BI26" i="4"/>
  <c r="BI46" i="4"/>
  <c r="BI25" i="4"/>
  <c r="BI56" i="4"/>
  <c r="BI8" i="4"/>
  <c r="BI11" i="4"/>
  <c r="BI36" i="4"/>
  <c r="BI15" i="4"/>
  <c r="BI45" i="4"/>
  <c r="BI17" i="4"/>
  <c r="BI35" i="4"/>
  <c r="BJ6" i="4"/>
  <c r="BJ5" i="4" l="1" a="1"/>
  <c r="BJ5" i="4" s="1"/>
  <c r="BJ7" i="4"/>
  <c r="BJ44" i="4"/>
  <c r="BJ53" i="4"/>
  <c r="BJ34" i="4"/>
  <c r="BJ54" i="4"/>
  <c r="BJ23" i="4"/>
  <c r="BJ52" i="4"/>
  <c r="BJ24" i="4"/>
  <c r="BJ43" i="4"/>
  <c r="BJ32" i="4"/>
  <c r="BJ42" i="4"/>
  <c r="BJ33" i="4"/>
  <c r="BJ13" i="4"/>
  <c r="BJ14" i="4"/>
  <c r="BJ21" i="4"/>
  <c r="BJ22" i="4"/>
  <c r="BJ50" i="4"/>
  <c r="BJ41" i="4"/>
  <c r="BJ12" i="4"/>
  <c r="BJ11" i="4"/>
  <c r="BJ30" i="4"/>
  <c r="BJ38" i="4"/>
  <c r="BJ58" i="4"/>
  <c r="BJ31" i="4"/>
  <c r="BJ9" i="4"/>
  <c r="BJ57" i="4"/>
  <c r="BJ47" i="4"/>
  <c r="BJ48" i="4"/>
  <c r="BJ8" i="4"/>
  <c r="BJ27" i="4"/>
  <c r="BJ51" i="4"/>
  <c r="BJ20" i="4"/>
  <c r="BJ17" i="4"/>
  <c r="BJ49" i="4"/>
  <c r="BJ28" i="4"/>
  <c r="BJ46" i="4"/>
  <c r="BJ36" i="4"/>
  <c r="BJ25" i="4"/>
  <c r="BJ15" i="4"/>
  <c r="BJ18" i="4"/>
  <c r="BJ10" i="4"/>
  <c r="BJ40" i="4"/>
  <c r="BJ56" i="4"/>
  <c r="BJ26" i="4"/>
  <c r="BJ19" i="4"/>
  <c r="BJ59" i="4"/>
  <c r="BJ39" i="4"/>
  <c r="BJ29" i="4"/>
  <c r="BJ37" i="4"/>
  <c r="BJ45" i="4"/>
  <c r="BJ16" i="4"/>
  <c r="BJ55" i="4"/>
  <c r="BJ35" i="4"/>
  <c r="BK6" i="4"/>
  <c r="BK5" i="4" l="1" a="1"/>
  <c r="BK5" i="4" s="1"/>
  <c r="BK7" i="4"/>
  <c r="BK44" i="4"/>
  <c r="BK34" i="4"/>
  <c r="BK24" i="4"/>
  <c r="BK54" i="4"/>
  <c r="BK14" i="4"/>
  <c r="BK43" i="4"/>
  <c r="BK52" i="4"/>
  <c r="BK53" i="4"/>
  <c r="BK22" i="4"/>
  <c r="BK33" i="4"/>
  <c r="BK23" i="4"/>
  <c r="BK13" i="4"/>
  <c r="BK42" i="4"/>
  <c r="BK21" i="4"/>
  <c r="BK32" i="4"/>
  <c r="BK51" i="4"/>
  <c r="BK12" i="4"/>
  <c r="BK41" i="4"/>
  <c r="BK31" i="4"/>
  <c r="BK10" i="4"/>
  <c r="BK29" i="4"/>
  <c r="BK40" i="4"/>
  <c r="BK30" i="4"/>
  <c r="BK11" i="4"/>
  <c r="BK39" i="4"/>
  <c r="BK59" i="4"/>
  <c r="BK58" i="4"/>
  <c r="BK9" i="4"/>
  <c r="BK18" i="4"/>
  <c r="BK8" i="4"/>
  <c r="BK17" i="4"/>
  <c r="BK46" i="4"/>
  <c r="BK36" i="4"/>
  <c r="BK48" i="4"/>
  <c r="BK37" i="4"/>
  <c r="BK19" i="4"/>
  <c r="BK27" i="4"/>
  <c r="BK56" i="4"/>
  <c r="BK49" i="4"/>
  <c r="BK45" i="4"/>
  <c r="BK35" i="4"/>
  <c r="BK20" i="4"/>
  <c r="BK57" i="4"/>
  <c r="BK55" i="4"/>
  <c r="BK28" i="4"/>
  <c r="BK15" i="4"/>
  <c r="BK16" i="4"/>
  <c r="BK47" i="4"/>
  <c r="BK38" i="4"/>
  <c r="BK50" i="4"/>
  <c r="BK25" i="4"/>
  <c r="BK26" i="4"/>
  <c r="BL6" i="4"/>
  <c r="BL7" i="4" l="1"/>
  <c r="BL5" i="4" a="1"/>
  <c r="BL5" i="4" s="1"/>
  <c r="BL34" i="4"/>
  <c r="BL24" i="4"/>
  <c r="BL54" i="4"/>
  <c r="BL43" i="4"/>
  <c r="BL13" i="4"/>
  <c r="BL52" i="4"/>
  <c r="BL32" i="4"/>
  <c r="BL22" i="4"/>
  <c r="BL42" i="4"/>
  <c r="BL44" i="4"/>
  <c r="BL33" i="4"/>
  <c r="BL14" i="4"/>
  <c r="BL23" i="4"/>
  <c r="BL53" i="4"/>
  <c r="BL51" i="4"/>
  <c r="BL21" i="4"/>
  <c r="BL12" i="4"/>
  <c r="BL11" i="4"/>
  <c r="BL30" i="4"/>
  <c r="BL50" i="4"/>
  <c r="BL20" i="4"/>
  <c r="BL49" i="4"/>
  <c r="BL41" i="4"/>
  <c r="BL31" i="4"/>
  <c r="BL40" i="4"/>
  <c r="BL29" i="4"/>
  <c r="BL58" i="4"/>
  <c r="BL59" i="4"/>
  <c r="BL8" i="4"/>
  <c r="BL27" i="4"/>
  <c r="BL10" i="4"/>
  <c r="BL17" i="4"/>
  <c r="BL28" i="4"/>
  <c r="BL25" i="4"/>
  <c r="BL47" i="4"/>
  <c r="BL48" i="4"/>
  <c r="BL57" i="4"/>
  <c r="BL16" i="4"/>
  <c r="BL18" i="4"/>
  <c r="BL26" i="4"/>
  <c r="BL55" i="4"/>
  <c r="BL46" i="4"/>
  <c r="BL9" i="4"/>
  <c r="BL19" i="4"/>
  <c r="BL56" i="4"/>
  <c r="BL39" i="4"/>
  <c r="BL35" i="4"/>
  <c r="BL15" i="4"/>
  <c r="BL45" i="4"/>
  <c r="BL36" i="4"/>
  <c r="BL38" i="4"/>
  <c r="BL37" i="4"/>
  <c r="BM6" i="4"/>
  <c r="BM5" i="4" l="1" a="1"/>
  <c r="BM5" i="4" s="1"/>
  <c r="BM7" i="4"/>
  <c r="BM54" i="4"/>
  <c r="BM44" i="4"/>
  <c r="BM34" i="4"/>
  <c r="BM13" i="4"/>
  <c r="BM53" i="4"/>
  <c r="BM22" i="4"/>
  <c r="BM12" i="4"/>
  <c r="BM33" i="4"/>
  <c r="BM52" i="4"/>
  <c r="BM14" i="4"/>
  <c r="BM23" i="4"/>
  <c r="BM24" i="4"/>
  <c r="BM43" i="4"/>
  <c r="BM42" i="4"/>
  <c r="BM40" i="4"/>
  <c r="BM21" i="4"/>
  <c r="BM32" i="4"/>
  <c r="BM41" i="4"/>
  <c r="BM59" i="4"/>
  <c r="BM39" i="4"/>
  <c r="BM51" i="4"/>
  <c r="BM31" i="4"/>
  <c r="BM11" i="4"/>
  <c r="BM50" i="4"/>
  <c r="BM10" i="4"/>
  <c r="BM19" i="4"/>
  <c r="BM20" i="4"/>
  <c r="BM37" i="4"/>
  <c r="BM28" i="4"/>
  <c r="BM47" i="4"/>
  <c r="BM56" i="4"/>
  <c r="BM29" i="4"/>
  <c r="BM36" i="4"/>
  <c r="BM26" i="4"/>
  <c r="BM25" i="4"/>
  <c r="BM16" i="4"/>
  <c r="BM9" i="4"/>
  <c r="BM46" i="4"/>
  <c r="BM30" i="4"/>
  <c r="BM27" i="4"/>
  <c r="BM57" i="4"/>
  <c r="BM49" i="4"/>
  <c r="BM38" i="4"/>
  <c r="BM17" i="4"/>
  <c r="BM55" i="4"/>
  <c r="BM35" i="4"/>
  <c r="BM15" i="4"/>
  <c r="BM58" i="4"/>
  <c r="BM48" i="4"/>
  <c r="BM8" i="4"/>
  <c r="BM45" i="4"/>
  <c r="BM18" i="4"/>
  <c r="BN6" i="4"/>
  <c r="BN7" i="4" l="1"/>
  <c r="BN5" i="4" a="1"/>
  <c r="BN5" i="4" s="1"/>
  <c r="BN53" i="4"/>
  <c r="BN23" i="4"/>
  <c r="BN24" i="4"/>
  <c r="BN14" i="4"/>
  <c r="BN44" i="4"/>
  <c r="BN43" i="4"/>
  <c r="BN54" i="4"/>
  <c r="BN52" i="4"/>
  <c r="BN13" i="4"/>
  <c r="BN32" i="4"/>
  <c r="BN12" i="4"/>
  <c r="BN34" i="4"/>
  <c r="BN33" i="4"/>
  <c r="BN42" i="4"/>
  <c r="BN30" i="4"/>
  <c r="BN21" i="4"/>
  <c r="BN31" i="4"/>
  <c r="BN20" i="4"/>
  <c r="BN50" i="4"/>
  <c r="BN51" i="4"/>
  <c r="BN10" i="4"/>
  <c r="BN22" i="4"/>
  <c r="BN19" i="4"/>
  <c r="BN58" i="4"/>
  <c r="BN40" i="4"/>
  <c r="BN59" i="4"/>
  <c r="BN11" i="4"/>
  <c r="BN38" i="4"/>
  <c r="BN18" i="4"/>
  <c r="BN8" i="4"/>
  <c r="BN37" i="4"/>
  <c r="BN27" i="4"/>
  <c r="BN41" i="4"/>
  <c r="BN55" i="4"/>
  <c r="BN46" i="4"/>
  <c r="BN15" i="4"/>
  <c r="BN28" i="4"/>
  <c r="BN56" i="4"/>
  <c r="BN26" i="4"/>
  <c r="BN45" i="4"/>
  <c r="BN29" i="4"/>
  <c r="BN48" i="4"/>
  <c r="BN35" i="4"/>
  <c r="BN25" i="4"/>
  <c r="BN49" i="4"/>
  <c r="BN9" i="4"/>
  <c r="BN17" i="4"/>
  <c r="BN47" i="4"/>
  <c r="BN16" i="4"/>
  <c r="BN39" i="4"/>
  <c r="BN57" i="4"/>
  <c r="BN36" i="4"/>
  <c r="BO6" i="4"/>
  <c r="BO5" i="4" l="1" a="1"/>
  <c r="BO5" i="4" s="1"/>
  <c r="BO7" i="4"/>
  <c r="BO54" i="4"/>
  <c r="BO34" i="4"/>
  <c r="BO14" i="4"/>
  <c r="BO33" i="4"/>
  <c r="BO13" i="4"/>
  <c r="BO42" i="4"/>
  <c r="BO51" i="4"/>
  <c r="BO53" i="4"/>
  <c r="BO24" i="4"/>
  <c r="BO44" i="4"/>
  <c r="BO52" i="4"/>
  <c r="BO43" i="4"/>
  <c r="BO23" i="4"/>
  <c r="BO50" i="4"/>
  <c r="BO32" i="4"/>
  <c r="BO10" i="4"/>
  <c r="BO22" i="4"/>
  <c r="BO31" i="4"/>
  <c r="BO12" i="4"/>
  <c r="BO41" i="4"/>
  <c r="BO11" i="4"/>
  <c r="BO48" i="4"/>
  <c r="BO20" i="4"/>
  <c r="BO30" i="4"/>
  <c r="BO59" i="4"/>
  <c r="BO19" i="4"/>
  <c r="BO29" i="4"/>
  <c r="BO9" i="4"/>
  <c r="BO38" i="4"/>
  <c r="BO49" i="4"/>
  <c r="BO28" i="4"/>
  <c r="BO21" i="4"/>
  <c r="BO37" i="4"/>
  <c r="BO36" i="4"/>
  <c r="BO26" i="4"/>
  <c r="BO45" i="4"/>
  <c r="BO8" i="4"/>
  <c r="BO16" i="4"/>
  <c r="BO55" i="4"/>
  <c r="BO57" i="4"/>
  <c r="BO35" i="4"/>
  <c r="BO18" i="4"/>
  <c r="BO56" i="4"/>
  <c r="BO47" i="4"/>
  <c r="BO40" i="4"/>
  <c r="BO27" i="4"/>
  <c r="BO17" i="4"/>
  <c r="BO39" i="4"/>
  <c r="BO58" i="4"/>
  <c r="BO25" i="4"/>
  <c r="BO46" i="4"/>
  <c r="BO15" i="4"/>
  <c r="BP6" i="4"/>
  <c r="BP5" i="4" l="1" a="1"/>
  <c r="BP5" i="4" s="1"/>
  <c r="BP7" i="4"/>
  <c r="BP14" i="4"/>
  <c r="BP44" i="4"/>
  <c r="BP53" i="4"/>
  <c r="BP54" i="4"/>
  <c r="BP24" i="4"/>
  <c r="BP34" i="4"/>
  <c r="BP33" i="4"/>
  <c r="BP23" i="4"/>
  <c r="BP13" i="4"/>
  <c r="BP12" i="4"/>
  <c r="BP42" i="4"/>
  <c r="BP32" i="4"/>
  <c r="BP43" i="4"/>
  <c r="BP52" i="4"/>
  <c r="BP11" i="4"/>
  <c r="BP21" i="4"/>
  <c r="BP41" i="4"/>
  <c r="BP31" i="4"/>
  <c r="BP20" i="4"/>
  <c r="BP50" i="4"/>
  <c r="BP30" i="4"/>
  <c r="BP51" i="4"/>
  <c r="BP40" i="4"/>
  <c r="BP49" i="4"/>
  <c r="BP19" i="4"/>
  <c r="BP10" i="4"/>
  <c r="BP18" i="4"/>
  <c r="BP37" i="4"/>
  <c r="BP38" i="4"/>
  <c r="BP22" i="4"/>
  <c r="BP39" i="4"/>
  <c r="BP27" i="4"/>
  <c r="BP35" i="4"/>
  <c r="BP25" i="4"/>
  <c r="BP9" i="4"/>
  <c r="BP58" i="4"/>
  <c r="BP29" i="4"/>
  <c r="BP47" i="4"/>
  <c r="BP15" i="4"/>
  <c r="BP57" i="4"/>
  <c r="BP8" i="4"/>
  <c r="BP36" i="4"/>
  <c r="BP46" i="4"/>
  <c r="BP59" i="4"/>
  <c r="BP28" i="4"/>
  <c r="BP17" i="4"/>
  <c r="BP26" i="4"/>
  <c r="BP45" i="4"/>
  <c r="BP56" i="4"/>
  <c r="BP48" i="4"/>
  <c r="BP16" i="4"/>
  <c r="BP55" i="4"/>
  <c r="BQ6" i="4"/>
  <c r="BQ7" i="4" l="1"/>
  <c r="BQ5" i="4" a="1"/>
  <c r="BQ5" i="4" s="1"/>
  <c r="BQ43" i="4"/>
  <c r="BQ24" i="4"/>
  <c r="BQ44" i="4"/>
  <c r="BQ54" i="4"/>
  <c r="BQ34" i="4"/>
  <c r="BQ53" i="4"/>
  <c r="BQ14" i="4"/>
  <c r="BQ23" i="4"/>
  <c r="BQ52" i="4"/>
  <c r="BQ51" i="4"/>
  <c r="BQ33" i="4"/>
  <c r="BQ42" i="4"/>
  <c r="BQ13" i="4"/>
  <c r="BQ30" i="4"/>
  <c r="BQ12" i="4"/>
  <c r="BQ41" i="4"/>
  <c r="BQ32" i="4"/>
  <c r="BQ10" i="4"/>
  <c r="BQ49" i="4"/>
  <c r="BQ22" i="4"/>
  <c r="BQ11" i="4"/>
  <c r="BQ59" i="4"/>
  <c r="BQ31" i="4"/>
  <c r="BQ50" i="4"/>
  <c r="BQ39" i="4"/>
  <c r="BQ26" i="4"/>
  <c r="BQ37" i="4"/>
  <c r="BQ19" i="4"/>
  <c r="BQ58" i="4"/>
  <c r="BQ48" i="4"/>
  <c r="BQ21" i="4"/>
  <c r="BQ9" i="4"/>
  <c r="BQ28" i="4"/>
  <c r="BQ18" i="4"/>
  <c r="BQ47" i="4"/>
  <c r="BQ15" i="4"/>
  <c r="BQ38" i="4"/>
  <c r="BQ57" i="4"/>
  <c r="BQ8" i="4"/>
  <c r="BQ16" i="4"/>
  <c r="BQ27" i="4"/>
  <c r="BQ35" i="4"/>
  <c r="BQ46" i="4"/>
  <c r="BQ40" i="4"/>
  <c r="BQ20" i="4"/>
  <c r="BQ36" i="4"/>
  <c r="BQ17" i="4"/>
  <c r="BQ45" i="4"/>
  <c r="BQ55" i="4"/>
  <c r="BQ56" i="4"/>
  <c r="BQ25" i="4"/>
  <c r="BQ29" i="4"/>
  <c r="BR6" i="4"/>
  <c r="BR7" i="4" l="1"/>
  <c r="BR5" i="4" a="1"/>
  <c r="BR5" i="4" s="1"/>
  <c r="BR33" i="4"/>
  <c r="BR44" i="4"/>
  <c r="BR54" i="4"/>
  <c r="BR43" i="4"/>
  <c r="BR34" i="4"/>
  <c r="BR23" i="4"/>
  <c r="BR32" i="4"/>
  <c r="BR51" i="4"/>
  <c r="BR24" i="4"/>
  <c r="BR14" i="4"/>
  <c r="BR53" i="4"/>
  <c r="BR13" i="4"/>
  <c r="BR42" i="4"/>
  <c r="BR41" i="4"/>
  <c r="BR31" i="4"/>
  <c r="BR40" i="4"/>
  <c r="BR21" i="4"/>
  <c r="BR59" i="4"/>
  <c r="BR12" i="4"/>
  <c r="BR50" i="4"/>
  <c r="BR30" i="4"/>
  <c r="BR49" i="4"/>
  <c r="BR39" i="4"/>
  <c r="BR10" i="4"/>
  <c r="BR19" i="4"/>
  <c r="BR9" i="4"/>
  <c r="BR11" i="4"/>
  <c r="BR29" i="4"/>
  <c r="BR58" i="4"/>
  <c r="BR48" i="4"/>
  <c r="BR47" i="4"/>
  <c r="BR57" i="4"/>
  <c r="BR18" i="4"/>
  <c r="BR37" i="4"/>
  <c r="BR17" i="4"/>
  <c r="BR38" i="4"/>
  <c r="BR28" i="4"/>
  <c r="BR46" i="4"/>
  <c r="BR55" i="4"/>
  <c r="BR27" i="4"/>
  <c r="BR26" i="4"/>
  <c r="BR22" i="4"/>
  <c r="BR52" i="4"/>
  <c r="BR36" i="4"/>
  <c r="BR45" i="4"/>
  <c r="BR35" i="4"/>
  <c r="BR8" i="4"/>
  <c r="BR20" i="4"/>
  <c r="BR16" i="4"/>
  <c r="BR25" i="4"/>
  <c r="BR15" i="4"/>
  <c r="BR56" i="4"/>
  <c r="BS6" i="4"/>
  <c r="BS7" i="4" l="1"/>
  <c r="BS5" i="4" a="1"/>
  <c r="BS5" i="4" s="1"/>
  <c r="BS34" i="4"/>
  <c r="BS24" i="4"/>
  <c r="BS54" i="4"/>
  <c r="BS43" i="4"/>
  <c r="BS13" i="4"/>
  <c r="BS22" i="4"/>
  <c r="BS44" i="4"/>
  <c r="BS12" i="4"/>
  <c r="BS52" i="4"/>
  <c r="BS14" i="4"/>
  <c r="BS33" i="4"/>
  <c r="BS42" i="4"/>
  <c r="BS53" i="4"/>
  <c r="BS23" i="4"/>
  <c r="BS50" i="4"/>
  <c r="BS11" i="4"/>
  <c r="BS51" i="4"/>
  <c r="BS41" i="4"/>
  <c r="BS31" i="4"/>
  <c r="BS21" i="4"/>
  <c r="BS9" i="4"/>
  <c r="BS32" i="4"/>
  <c r="BS30" i="4"/>
  <c r="BS10" i="4"/>
  <c r="BS37" i="4"/>
  <c r="BS17" i="4"/>
  <c r="BS28" i="4"/>
  <c r="BS39" i="4"/>
  <c r="BS57" i="4"/>
  <c r="BS38" i="4"/>
  <c r="BS56" i="4"/>
  <c r="BS26" i="4"/>
  <c r="BS40" i="4"/>
  <c r="BS48" i="4"/>
  <c r="BS25" i="4"/>
  <c r="BS15" i="4"/>
  <c r="BS29" i="4"/>
  <c r="BS35" i="4"/>
  <c r="BS45" i="4"/>
  <c r="BS18" i="4"/>
  <c r="BS47" i="4"/>
  <c r="BS46" i="4"/>
  <c r="BS19" i="4"/>
  <c r="BS36" i="4"/>
  <c r="BS55" i="4"/>
  <c r="BS58" i="4"/>
  <c r="BS20" i="4"/>
  <c r="BS59" i="4"/>
  <c r="BS49" i="4"/>
  <c r="BS8" i="4"/>
  <c r="BS27" i="4"/>
  <c r="BS16" i="4"/>
  <c r="BT6" i="4"/>
  <c r="BT5" i="4" l="1" a="1"/>
  <c r="BT5" i="4" s="1"/>
  <c r="BT7" i="4"/>
  <c r="BT34" i="4"/>
  <c r="BT54" i="4"/>
  <c r="BT44" i="4"/>
  <c r="BT23" i="4"/>
  <c r="BT33" i="4"/>
  <c r="BT14" i="4"/>
  <c r="BT53" i="4"/>
  <c r="BT13" i="4"/>
  <c r="BT24" i="4"/>
  <c r="BT51" i="4"/>
  <c r="BT52" i="4"/>
  <c r="BT22" i="4"/>
  <c r="BT43" i="4"/>
  <c r="BT42" i="4"/>
  <c r="BT31" i="4"/>
  <c r="BT21" i="4"/>
  <c r="BT59" i="4"/>
  <c r="BT12" i="4"/>
  <c r="BT41" i="4"/>
  <c r="BT50" i="4"/>
  <c r="BT30" i="4"/>
  <c r="BT19" i="4"/>
  <c r="BT29" i="4"/>
  <c r="BT32" i="4"/>
  <c r="BT58" i="4"/>
  <c r="BT40" i="4"/>
  <c r="BT10" i="4"/>
  <c r="BT9" i="4"/>
  <c r="BT37" i="4"/>
  <c r="BT38" i="4"/>
  <c r="BT47" i="4"/>
  <c r="BT48" i="4"/>
  <c r="BT8" i="4"/>
  <c r="BT11" i="4"/>
  <c r="BT20" i="4"/>
  <c r="BT39" i="4"/>
  <c r="BT27" i="4"/>
  <c r="BT45" i="4"/>
  <c r="BT25" i="4"/>
  <c r="BT57" i="4"/>
  <c r="BT55" i="4"/>
  <c r="BT35" i="4"/>
  <c r="BT36" i="4"/>
  <c r="BT15" i="4"/>
  <c r="BT17" i="4"/>
  <c r="BT49" i="4"/>
  <c r="BT28" i="4"/>
  <c r="BT26" i="4"/>
  <c r="BT46" i="4"/>
  <c r="BT16" i="4"/>
  <c r="BT56" i="4"/>
  <c r="BT18" i="4"/>
  <c r="BU6" i="4"/>
  <c r="BU5" i="4" l="1" a="1"/>
  <c r="BU5" i="4" s="1"/>
  <c r="BU7" i="4"/>
  <c r="BU33" i="4"/>
  <c r="BU54" i="4"/>
  <c r="BU14" i="4"/>
  <c r="BU44" i="4"/>
  <c r="BU53" i="4"/>
  <c r="BU24" i="4"/>
  <c r="BU23" i="4"/>
  <c r="BU52" i="4"/>
  <c r="BU43" i="4"/>
  <c r="BU42" i="4"/>
  <c r="BU32" i="4"/>
  <c r="BU51" i="4"/>
  <c r="BU34" i="4"/>
  <c r="BU13" i="4"/>
  <c r="BU41" i="4"/>
  <c r="BU31" i="4"/>
  <c r="BU21" i="4"/>
  <c r="BU11" i="4"/>
  <c r="BU50" i="4"/>
  <c r="BU20" i="4"/>
  <c r="BU10" i="4"/>
  <c r="BU30" i="4"/>
  <c r="BU12" i="4"/>
  <c r="BU40" i="4"/>
  <c r="BU22" i="4"/>
  <c r="BU49" i="4"/>
  <c r="BU9" i="4"/>
  <c r="BU29" i="4"/>
  <c r="BU19" i="4"/>
  <c r="BU18" i="4"/>
  <c r="BU38" i="4"/>
  <c r="BU27" i="4"/>
  <c r="BU59" i="4"/>
  <c r="BU8" i="4"/>
  <c r="BU57" i="4"/>
  <c r="BU46" i="4"/>
  <c r="BU36" i="4"/>
  <c r="BU58" i="4"/>
  <c r="BU15" i="4"/>
  <c r="BU39" i="4"/>
  <c r="BU26" i="4"/>
  <c r="BU35" i="4"/>
  <c r="BU17" i="4"/>
  <c r="BU47" i="4"/>
  <c r="BU48" i="4"/>
  <c r="BU56" i="4"/>
  <c r="BU28" i="4"/>
  <c r="BU55" i="4"/>
  <c r="BU25" i="4"/>
  <c r="BU16" i="4"/>
  <c r="BU37" i="4"/>
  <c r="BU45" i="4"/>
  <c r="BV6" i="4"/>
  <c r="N7" i="4"/>
  <c r="BV7" i="4" l="1"/>
  <c r="BV5" i="4" a="1"/>
  <c r="BV5" i="4" s="1"/>
  <c r="BV43" i="4"/>
  <c r="BV24" i="4"/>
  <c r="BV54" i="4"/>
  <c r="BV44" i="4"/>
  <c r="BV34" i="4"/>
  <c r="BV53" i="4"/>
  <c r="BV33" i="4"/>
  <c r="BV42" i="4"/>
  <c r="BV32" i="4"/>
  <c r="BV13" i="4"/>
  <c r="BV14" i="4"/>
  <c r="BV23" i="4"/>
  <c r="BV52" i="4"/>
  <c r="BV11" i="4"/>
  <c r="BV30" i="4"/>
  <c r="BV41" i="4"/>
  <c r="BV21" i="4"/>
  <c r="BV50" i="4"/>
  <c r="BV31" i="4"/>
  <c r="BV22" i="4"/>
  <c r="BV51" i="4"/>
  <c r="BV40" i="4"/>
  <c r="BV10" i="4"/>
  <c r="BV20" i="4"/>
  <c r="BV28" i="4"/>
  <c r="BV57" i="4"/>
  <c r="BV9" i="4"/>
  <c r="BV29" i="4"/>
  <c r="BV48" i="4"/>
  <c r="BV37" i="4"/>
  <c r="BV59" i="4"/>
  <c r="BV49" i="4"/>
  <c r="BV18" i="4"/>
  <c r="BV27" i="4"/>
  <c r="BV12" i="4"/>
  <c r="BV19" i="4"/>
  <c r="BV26" i="4"/>
  <c r="BV56" i="4"/>
  <c r="BV8" i="4"/>
  <c r="BV16" i="4"/>
  <c r="BV46" i="4"/>
  <c r="BV58" i="4"/>
  <c r="BV38" i="4"/>
  <c r="BV39" i="4"/>
  <c r="BV47" i="4"/>
  <c r="BV55" i="4"/>
  <c r="BV45" i="4"/>
  <c r="BV35" i="4"/>
  <c r="BV25" i="4"/>
  <c r="BV36" i="4"/>
  <c r="BV15" i="4"/>
  <c r="BV17" i="4"/>
  <c r="BW6" i="4"/>
  <c r="BW5" i="4" l="1" a="1"/>
  <c r="BW5" i="4" s="1"/>
  <c r="BW7" i="4"/>
  <c r="BW24" i="4"/>
  <c r="BW43" i="4"/>
  <c r="BW54" i="4"/>
  <c r="BW14" i="4"/>
  <c r="BW34" i="4"/>
  <c r="BW33" i="4"/>
  <c r="BW52" i="4"/>
  <c r="BW53" i="4"/>
  <c r="BW23" i="4"/>
  <c r="BW41" i="4"/>
  <c r="BW32" i="4"/>
  <c r="BW22" i="4"/>
  <c r="BW42" i="4"/>
  <c r="BW44" i="4"/>
  <c r="BW13" i="4"/>
  <c r="BW12" i="4"/>
  <c r="BW50" i="4"/>
  <c r="BW21" i="4"/>
  <c r="BW11" i="4"/>
  <c r="BW59" i="4"/>
  <c r="BW51" i="4"/>
  <c r="BW31" i="4"/>
  <c r="BW40" i="4"/>
  <c r="BW48" i="4"/>
  <c r="BW38" i="4"/>
  <c r="BW39" i="4"/>
  <c r="BW20" i="4"/>
  <c r="BW8" i="4"/>
  <c r="BW17" i="4"/>
  <c r="BW47" i="4"/>
  <c r="BW27" i="4"/>
  <c r="BW29" i="4"/>
  <c r="BW19" i="4"/>
  <c r="BW28" i="4"/>
  <c r="BW56" i="4"/>
  <c r="BW15" i="4"/>
  <c r="BW18" i="4"/>
  <c r="BW57" i="4"/>
  <c r="BW26" i="4"/>
  <c r="BW35" i="4"/>
  <c r="BW25" i="4"/>
  <c r="BW10" i="4"/>
  <c r="BW55" i="4"/>
  <c r="BW36" i="4"/>
  <c r="BW30" i="4"/>
  <c r="BW46" i="4"/>
  <c r="BW9" i="4"/>
  <c r="BW49" i="4"/>
  <c r="BW58" i="4"/>
  <c r="BW37" i="4"/>
  <c r="BW16" i="4"/>
  <c r="BW45" i="4"/>
  <c r="BX6" i="4"/>
  <c r="BX7" i="4" l="1"/>
  <c r="BX5" i="4" a="1"/>
  <c r="BX5" i="4" s="1"/>
  <c r="BX44" i="4"/>
  <c r="BX53" i="4"/>
  <c r="BX54" i="4"/>
  <c r="BX24" i="4"/>
  <c r="BX42" i="4"/>
  <c r="BX34" i="4"/>
  <c r="BX33" i="4"/>
  <c r="BX14" i="4"/>
  <c r="BX13" i="4"/>
  <c r="BX43" i="4"/>
  <c r="BX23" i="4"/>
  <c r="BX52" i="4"/>
  <c r="BX12" i="4"/>
  <c r="BX32" i="4"/>
  <c r="BX21" i="4"/>
  <c r="BX31" i="4"/>
  <c r="BX30" i="4"/>
  <c r="BX20" i="4"/>
  <c r="BX49" i="4"/>
  <c r="BX41" i="4"/>
  <c r="BX11" i="4"/>
  <c r="BX9" i="4"/>
  <c r="BX40" i="4"/>
  <c r="BX39" i="4"/>
  <c r="BX58" i="4"/>
  <c r="BX19" i="4"/>
  <c r="BX10" i="4"/>
  <c r="BX18" i="4"/>
  <c r="BX8" i="4"/>
  <c r="BX37" i="4"/>
  <c r="BX17" i="4"/>
  <c r="BX48" i="4"/>
  <c r="BX28" i="4"/>
  <c r="BX16" i="4"/>
  <c r="BX46" i="4"/>
  <c r="BX55" i="4"/>
  <c r="BX25" i="4"/>
  <c r="BX51" i="4"/>
  <c r="BX22" i="4"/>
  <c r="BX57" i="4"/>
  <c r="BX56" i="4"/>
  <c r="BX45" i="4"/>
  <c r="BX15" i="4"/>
  <c r="BX26" i="4"/>
  <c r="BX35" i="4"/>
  <c r="BX29" i="4"/>
  <c r="BX38" i="4"/>
  <c r="BX59" i="4"/>
  <c r="BX47" i="4"/>
  <c r="BX50" i="4"/>
  <c r="BX36" i="4"/>
  <c r="BX27" i="4"/>
  <c r="BY6" i="4"/>
  <c r="BY7" i="4" l="1"/>
  <c r="BY5" i="4" a="1"/>
  <c r="BY5" i="4" s="1"/>
  <c r="BY34" i="4"/>
  <c r="BY44" i="4"/>
  <c r="BY14" i="4"/>
  <c r="BY43" i="4"/>
  <c r="BY54" i="4"/>
  <c r="BY24" i="4"/>
  <c r="BY52" i="4"/>
  <c r="BY23" i="4"/>
  <c r="BY53" i="4"/>
  <c r="BY13" i="4"/>
  <c r="BY12" i="4"/>
  <c r="BY33" i="4"/>
  <c r="BY42" i="4"/>
  <c r="BY31" i="4"/>
  <c r="BY21" i="4"/>
  <c r="BY40" i="4"/>
  <c r="BY11" i="4"/>
  <c r="BY51" i="4"/>
  <c r="BY41" i="4"/>
  <c r="BY32" i="4"/>
  <c r="BY50" i="4"/>
  <c r="BY22" i="4"/>
  <c r="BY19" i="4"/>
  <c r="BY58" i="4"/>
  <c r="BY39" i="4"/>
  <c r="BY9" i="4"/>
  <c r="BY47" i="4"/>
  <c r="BY37" i="4"/>
  <c r="BY27" i="4"/>
  <c r="BY8" i="4"/>
  <c r="BY59" i="4"/>
  <c r="BY49" i="4"/>
  <c r="BY20" i="4"/>
  <c r="BY29" i="4"/>
  <c r="BY18" i="4"/>
  <c r="BY46" i="4"/>
  <c r="BY55" i="4"/>
  <c r="BY10" i="4"/>
  <c r="BY56" i="4"/>
  <c r="BY30" i="4"/>
  <c r="BY48" i="4"/>
  <c r="BY28" i="4"/>
  <c r="BY36" i="4"/>
  <c r="BY15" i="4"/>
  <c r="BY26" i="4"/>
  <c r="BY45" i="4"/>
  <c r="BY38" i="4"/>
  <c r="BY17" i="4"/>
  <c r="BY16" i="4"/>
  <c r="BY25" i="4"/>
  <c r="BY35" i="4"/>
  <c r="BY57" i="4"/>
  <c r="BZ6" i="4"/>
  <c r="BZ7" i="4" l="1"/>
  <c r="BZ5" i="4" a="1"/>
  <c r="BZ5" i="4" s="1"/>
  <c r="BZ44" i="4"/>
  <c r="BZ14" i="4"/>
  <c r="BZ24" i="4"/>
  <c r="BZ34" i="4"/>
  <c r="BZ54" i="4"/>
  <c r="BZ43" i="4"/>
  <c r="BZ33" i="4"/>
  <c r="BZ13" i="4"/>
  <c r="BZ12" i="4"/>
  <c r="BZ32" i="4"/>
  <c r="BZ41" i="4"/>
  <c r="BZ23" i="4"/>
  <c r="BZ53" i="4"/>
  <c r="BZ52" i="4"/>
  <c r="BZ42" i="4"/>
  <c r="BZ50" i="4"/>
  <c r="BZ11" i="4"/>
  <c r="BZ49" i="4"/>
  <c r="BZ22" i="4"/>
  <c r="BZ31" i="4"/>
  <c r="BZ40" i="4"/>
  <c r="BZ39" i="4"/>
  <c r="BZ51" i="4"/>
  <c r="BZ30" i="4"/>
  <c r="BZ20" i="4"/>
  <c r="BZ29" i="4"/>
  <c r="BZ21" i="4"/>
  <c r="BZ59" i="4"/>
  <c r="BZ19" i="4"/>
  <c r="BZ58" i="4"/>
  <c r="BZ36" i="4"/>
  <c r="BZ10" i="4"/>
  <c r="BZ18" i="4"/>
  <c r="BZ48" i="4"/>
  <c r="BZ38" i="4"/>
  <c r="BZ28" i="4"/>
  <c r="BZ17" i="4"/>
  <c r="BZ9" i="4"/>
  <c r="BZ57" i="4"/>
  <c r="BZ37" i="4"/>
  <c r="BZ27" i="4"/>
  <c r="BZ26" i="4"/>
  <c r="BZ16" i="4"/>
  <c r="BZ47" i="4"/>
  <c r="BZ35" i="4"/>
  <c r="BZ8" i="4"/>
  <c r="BZ56" i="4"/>
  <c r="BZ45" i="4"/>
  <c r="BZ46" i="4"/>
  <c r="BZ25" i="4"/>
  <c r="BZ55" i="4"/>
  <c r="BZ15" i="4"/>
  <c r="CA6" i="4"/>
  <c r="CA7" i="4" l="1"/>
  <c r="CA5" i="4" a="1"/>
  <c r="CA5" i="4" s="1"/>
  <c r="CA34" i="4"/>
  <c r="CA44" i="4"/>
  <c r="CA54" i="4"/>
  <c r="CA13" i="4"/>
  <c r="CA14" i="4"/>
  <c r="CA43" i="4"/>
  <c r="CA42" i="4"/>
  <c r="CA22" i="4"/>
  <c r="CA23" i="4"/>
  <c r="CA12" i="4"/>
  <c r="CA24" i="4"/>
  <c r="CA33" i="4"/>
  <c r="CA53" i="4"/>
  <c r="CA52" i="4"/>
  <c r="CA31" i="4"/>
  <c r="CA51" i="4"/>
  <c r="CA32" i="4"/>
  <c r="CA21" i="4"/>
  <c r="CA10" i="4"/>
  <c r="CA11" i="4"/>
  <c r="CA41" i="4"/>
  <c r="CA50" i="4"/>
  <c r="CA30" i="4"/>
  <c r="CA59" i="4"/>
  <c r="CA19" i="4"/>
  <c r="CA58" i="4"/>
  <c r="CA38" i="4"/>
  <c r="CA8" i="4"/>
  <c r="CA29" i="4"/>
  <c r="CA20" i="4"/>
  <c r="CA37" i="4"/>
  <c r="CA18" i="4"/>
  <c r="CA56" i="4"/>
  <c r="CA49" i="4"/>
  <c r="CA9" i="4"/>
  <c r="CA48" i="4"/>
  <c r="CA45" i="4"/>
  <c r="CA55" i="4"/>
  <c r="CA28" i="4"/>
  <c r="CA47" i="4"/>
  <c r="CA15" i="4"/>
  <c r="CA40" i="4"/>
  <c r="CA27" i="4"/>
  <c r="CA39" i="4"/>
  <c r="CA57" i="4"/>
  <c r="CA25" i="4"/>
  <c r="CA16" i="4"/>
  <c r="CA35" i="4"/>
  <c r="CA36" i="4"/>
  <c r="CA26" i="4"/>
  <c r="CA17" i="4"/>
  <c r="CA46" i="4"/>
  <c r="CB6" i="4"/>
  <c r="CB5" i="4" l="1" a="1"/>
  <c r="CB5" i="4" s="1"/>
  <c r="CB7" i="4"/>
  <c r="CB54" i="4"/>
  <c r="CB24" i="4"/>
  <c r="CB14" i="4"/>
  <c r="CB43" i="4"/>
  <c r="CB13" i="4"/>
  <c r="CB23" i="4"/>
  <c r="CB51" i="4"/>
  <c r="CB12" i="4"/>
  <c r="CB33" i="4"/>
  <c r="CB42" i="4"/>
  <c r="CB53" i="4"/>
  <c r="CB34" i="4"/>
  <c r="CB44" i="4"/>
  <c r="CB52" i="4"/>
  <c r="CB32" i="4"/>
  <c r="CB41" i="4"/>
  <c r="CB11" i="4"/>
  <c r="CB30" i="4"/>
  <c r="CB39" i="4"/>
  <c r="CB59" i="4"/>
  <c r="CB22" i="4"/>
  <c r="CB20" i="4"/>
  <c r="CB31" i="4"/>
  <c r="CB48" i="4"/>
  <c r="CB49" i="4"/>
  <c r="CB28" i="4"/>
  <c r="CB50" i="4"/>
  <c r="CB19" i="4"/>
  <c r="CB58" i="4"/>
  <c r="CB37" i="4"/>
  <c r="CB40" i="4"/>
  <c r="CB36" i="4"/>
  <c r="CB16" i="4"/>
  <c r="CB21" i="4"/>
  <c r="CB10" i="4"/>
  <c r="CB25" i="4"/>
  <c r="CB26" i="4"/>
  <c r="CB57" i="4"/>
  <c r="CB17" i="4"/>
  <c r="CB27" i="4"/>
  <c r="CB38" i="4"/>
  <c r="CB8" i="4"/>
  <c r="CB46" i="4"/>
  <c r="CB18" i="4"/>
  <c r="CB29" i="4"/>
  <c r="CB47" i="4"/>
  <c r="CB55" i="4"/>
  <c r="CB56" i="4"/>
  <c r="CB35" i="4"/>
  <c r="CB9" i="4"/>
  <c r="CB15" i="4"/>
  <c r="CB45" i="4"/>
  <c r="CC6" i="4"/>
  <c r="CC5" i="4" l="1" a="1"/>
  <c r="CC5" i="4" s="1"/>
  <c r="CC7" i="4"/>
  <c r="CC24" i="4"/>
  <c r="CC53" i="4"/>
  <c r="CC44" i="4"/>
  <c r="CC54" i="4"/>
  <c r="CC23" i="4"/>
  <c r="CC43" i="4"/>
  <c r="CC32" i="4"/>
  <c r="CC51" i="4"/>
  <c r="CC13" i="4"/>
  <c r="CC52" i="4"/>
  <c r="CC33" i="4"/>
  <c r="CC14" i="4"/>
  <c r="CC34" i="4"/>
  <c r="CC42" i="4"/>
  <c r="CC12" i="4"/>
  <c r="CC31" i="4"/>
  <c r="CC21" i="4"/>
  <c r="CC11" i="4"/>
  <c r="CC50" i="4"/>
  <c r="CC30" i="4"/>
  <c r="CC59" i="4"/>
  <c r="CC39" i="4"/>
  <c r="CC48" i="4"/>
  <c r="CC9" i="4"/>
  <c r="CC58" i="4"/>
  <c r="CC19" i="4"/>
  <c r="CC22" i="4"/>
  <c r="CC38" i="4"/>
  <c r="CC57" i="4"/>
  <c r="CC41" i="4"/>
  <c r="CC10" i="4"/>
  <c r="CC37" i="4"/>
  <c r="CC36" i="4"/>
  <c r="CC26" i="4"/>
  <c r="CC35" i="4"/>
  <c r="CC47" i="4"/>
  <c r="CC16" i="4"/>
  <c r="CC20" i="4"/>
  <c r="CC46" i="4"/>
  <c r="CC28" i="4"/>
  <c r="CC40" i="4"/>
  <c r="CC29" i="4"/>
  <c r="CC18" i="4"/>
  <c r="CC17" i="4"/>
  <c r="CC25" i="4"/>
  <c r="CC45" i="4"/>
  <c r="CC8" i="4"/>
  <c r="CC55" i="4"/>
  <c r="CC56" i="4"/>
  <c r="CC49" i="4"/>
  <c r="CC27" i="4"/>
  <c r="CC15" i="4"/>
  <c r="CD6" i="4"/>
  <c r="CD7" i="4" l="1"/>
  <c r="CD5" i="4" a="1"/>
  <c r="CD5" i="4" s="1"/>
  <c r="CD14" i="4"/>
  <c r="CD43" i="4"/>
  <c r="CD54" i="4"/>
  <c r="CD24" i="4"/>
  <c r="CD34" i="4"/>
  <c r="CD53" i="4"/>
  <c r="CD44" i="4"/>
  <c r="CD42" i="4"/>
  <c r="CD23" i="4"/>
  <c r="CD13" i="4"/>
  <c r="CD52" i="4"/>
  <c r="CD33" i="4"/>
  <c r="CD40" i="4"/>
  <c r="CD50" i="4"/>
  <c r="CD51" i="4"/>
  <c r="CD59" i="4"/>
  <c r="CD22" i="4"/>
  <c r="CD31" i="4"/>
  <c r="CD41" i="4"/>
  <c r="CD12" i="4"/>
  <c r="CD21" i="4"/>
  <c r="CD32" i="4"/>
  <c r="CD20" i="4"/>
  <c r="CD29" i="4"/>
  <c r="CD30" i="4"/>
  <c r="CD10" i="4"/>
  <c r="CD39" i="4"/>
  <c r="CD18" i="4"/>
  <c r="CD57" i="4"/>
  <c r="CD11" i="4"/>
  <c r="CD49" i="4"/>
  <c r="CD58" i="4"/>
  <c r="CD38" i="4"/>
  <c r="CD47" i="4"/>
  <c r="CD37" i="4"/>
  <c r="CD45" i="4"/>
  <c r="CD46" i="4"/>
  <c r="CD28" i="4"/>
  <c r="CD55" i="4"/>
  <c r="CD25" i="4"/>
  <c r="CD19" i="4"/>
  <c r="CD48" i="4"/>
  <c r="CD27" i="4"/>
  <c r="CD16" i="4"/>
  <c r="CD35" i="4"/>
  <c r="CD26" i="4"/>
  <c r="CD36" i="4"/>
  <c r="CD9" i="4"/>
  <c r="CD17" i="4"/>
  <c r="CD8" i="4"/>
  <c r="CD15" i="4"/>
  <c r="CD56" i="4"/>
  <c r="CE6" i="4"/>
  <c r="CE5" i="4" l="1" a="1"/>
  <c r="CE5" i="4" s="1"/>
  <c r="CE7" i="4"/>
  <c r="CE44" i="4"/>
  <c r="CE34" i="4"/>
  <c r="CE54" i="4"/>
  <c r="CE13" i="4"/>
  <c r="CE24" i="4"/>
  <c r="CE14" i="4"/>
  <c r="CE23" i="4"/>
  <c r="CE51" i="4"/>
  <c r="CE53" i="4"/>
  <c r="CE33" i="4"/>
  <c r="CE43" i="4"/>
  <c r="CE52" i="4"/>
  <c r="CE42" i="4"/>
  <c r="CE41" i="4"/>
  <c r="CE31" i="4"/>
  <c r="CE21" i="4"/>
  <c r="CE50" i="4"/>
  <c r="CE12" i="4"/>
  <c r="CE40" i="4"/>
  <c r="CE10" i="4"/>
  <c r="CE59" i="4"/>
  <c r="CE49" i="4"/>
  <c r="CE30" i="4"/>
  <c r="CE20" i="4"/>
  <c r="CE29" i="4"/>
  <c r="CE48" i="4"/>
  <c r="CE57" i="4"/>
  <c r="CE8" i="4"/>
  <c r="CE11" i="4"/>
  <c r="CE38" i="4"/>
  <c r="CE28" i="4"/>
  <c r="CE47" i="4"/>
  <c r="CE18" i="4"/>
  <c r="CE56" i="4"/>
  <c r="CE46" i="4"/>
  <c r="CE39" i="4"/>
  <c r="CE58" i="4"/>
  <c r="CE32" i="4"/>
  <c r="CE22" i="4"/>
  <c r="CE26" i="4"/>
  <c r="CE16" i="4"/>
  <c r="CE35" i="4"/>
  <c r="CE25" i="4"/>
  <c r="CE15" i="4"/>
  <c r="CE27" i="4"/>
  <c r="CE9" i="4"/>
  <c r="CE36" i="4"/>
  <c r="CE19" i="4"/>
  <c r="CE45" i="4"/>
  <c r="CE37" i="4"/>
  <c r="CE17" i="4"/>
  <c r="CE55" i="4"/>
  <c r="CF6" i="4"/>
  <c r="CF7" i="4" l="1"/>
  <c r="CF5" i="4" a="1"/>
  <c r="CF5" i="4" s="1"/>
  <c r="CF34" i="4"/>
  <c r="CF44" i="4"/>
  <c r="CF24" i="4"/>
  <c r="CF53" i="4"/>
  <c r="CF54" i="4"/>
  <c r="CF42" i="4"/>
  <c r="CF51" i="4"/>
  <c r="CF22" i="4"/>
  <c r="CF12" i="4"/>
  <c r="CF33" i="4"/>
  <c r="CF43" i="4"/>
  <c r="CF52" i="4"/>
  <c r="CF14" i="4"/>
  <c r="CF23" i="4"/>
  <c r="CF13" i="4"/>
  <c r="CF41" i="4"/>
  <c r="CF31" i="4"/>
  <c r="CF32" i="4"/>
  <c r="CF29" i="4"/>
  <c r="CF11" i="4"/>
  <c r="CF30" i="4"/>
  <c r="CF59" i="4"/>
  <c r="CF10" i="4"/>
  <c r="CF48" i="4"/>
  <c r="CF19" i="4"/>
  <c r="CF20" i="4"/>
  <c r="CF56" i="4"/>
  <c r="CF9" i="4"/>
  <c r="CF8" i="4"/>
  <c r="CF47" i="4"/>
  <c r="CF17" i="4"/>
  <c r="CF28" i="4"/>
  <c r="CF37" i="4"/>
  <c r="CF40" i="4"/>
  <c r="CF39" i="4"/>
  <c r="CF55" i="4"/>
  <c r="CF58" i="4"/>
  <c r="CF38" i="4"/>
  <c r="CF27" i="4"/>
  <c r="CF18" i="4"/>
  <c r="CF16" i="4"/>
  <c r="CF45" i="4"/>
  <c r="CF26" i="4"/>
  <c r="CF49" i="4"/>
  <c r="CF46" i="4"/>
  <c r="CF21" i="4"/>
  <c r="CF57" i="4"/>
  <c r="CF15" i="4"/>
  <c r="CF50" i="4"/>
  <c r="CF35" i="4"/>
  <c r="CF25" i="4"/>
  <c r="CF36" i="4"/>
  <c r="CG6" i="4"/>
  <c r="CG7" i="4" l="1"/>
  <c r="CG5" i="4" a="1"/>
  <c r="CG5" i="4" s="1"/>
  <c r="CG44" i="4"/>
  <c r="CG24" i="4"/>
  <c r="CG33" i="4"/>
  <c r="CG54" i="4"/>
  <c r="CG14" i="4"/>
  <c r="CG34" i="4"/>
  <c r="CG23" i="4"/>
  <c r="CG53" i="4"/>
  <c r="CG13" i="4"/>
  <c r="CG51" i="4"/>
  <c r="CG22" i="4"/>
  <c r="CG42" i="4"/>
  <c r="CG52" i="4"/>
  <c r="CG43" i="4"/>
  <c r="CG31" i="4"/>
  <c r="CG49" i="4"/>
  <c r="CG41" i="4"/>
  <c r="CG50" i="4"/>
  <c r="CG12" i="4"/>
  <c r="CG21" i="4"/>
  <c r="CG11" i="4"/>
  <c r="CG20" i="4"/>
  <c r="CG30" i="4"/>
  <c r="CG29" i="4"/>
  <c r="CG9" i="4"/>
  <c r="CG37" i="4"/>
  <c r="CG19" i="4"/>
  <c r="CG57" i="4"/>
  <c r="CG18" i="4"/>
  <c r="CG10" i="4"/>
  <c r="CG26" i="4"/>
  <c r="CG35" i="4"/>
  <c r="CG39" i="4"/>
  <c r="CG38" i="4"/>
  <c r="CG36" i="4"/>
  <c r="CG25" i="4"/>
  <c r="CG40" i="4"/>
  <c r="CG8" i="4"/>
  <c r="CG56" i="4"/>
  <c r="CG32" i="4"/>
  <c r="CG48" i="4"/>
  <c r="CG28" i="4"/>
  <c r="CG47" i="4"/>
  <c r="CG27" i="4"/>
  <c r="CG59" i="4"/>
  <c r="CG58" i="4"/>
  <c r="CG16" i="4"/>
  <c r="CG45" i="4"/>
  <c r="CG46" i="4"/>
  <c r="CG55" i="4"/>
  <c r="CG17" i="4"/>
  <c r="CG15" i="4"/>
  <c r="CH6" i="4"/>
  <c r="CH7" i="4" l="1"/>
  <c r="CH5" i="4" a="1"/>
  <c r="CH5" i="4" s="1"/>
  <c r="CH54" i="4"/>
  <c r="CH44" i="4"/>
  <c r="CH43" i="4"/>
  <c r="CH14" i="4"/>
  <c r="CH34" i="4"/>
  <c r="CH53" i="4"/>
  <c r="CH33" i="4"/>
  <c r="CH13" i="4"/>
  <c r="CH42" i="4"/>
  <c r="CH24" i="4"/>
  <c r="CH32" i="4"/>
  <c r="CH51" i="4"/>
  <c r="CH52" i="4"/>
  <c r="CH23" i="4"/>
  <c r="CH12" i="4"/>
  <c r="CH40" i="4"/>
  <c r="CH20" i="4"/>
  <c r="CH30" i="4"/>
  <c r="CH29" i="4"/>
  <c r="CH10" i="4"/>
  <c r="CH50" i="4"/>
  <c r="CH41" i="4"/>
  <c r="CH11" i="4"/>
  <c r="CH31" i="4"/>
  <c r="CH59" i="4"/>
  <c r="CH39" i="4"/>
  <c r="CH48" i="4"/>
  <c r="CH46" i="4"/>
  <c r="CH19" i="4"/>
  <c r="CH18" i="4"/>
  <c r="CH28" i="4"/>
  <c r="CH47" i="4"/>
  <c r="CH57" i="4"/>
  <c r="CH27" i="4"/>
  <c r="CH26" i="4"/>
  <c r="CH49" i="4"/>
  <c r="CH9" i="4"/>
  <c r="CH58" i="4"/>
  <c r="CH8" i="4"/>
  <c r="CH45" i="4"/>
  <c r="CH21" i="4"/>
  <c r="CH16" i="4"/>
  <c r="CH37" i="4"/>
  <c r="CH15" i="4"/>
  <c r="CH17" i="4"/>
  <c r="CH35" i="4"/>
  <c r="CH38" i="4"/>
  <c r="CH22" i="4"/>
  <c r="CH55" i="4"/>
  <c r="CH56" i="4"/>
  <c r="CH36" i="4"/>
  <c r="CH25" i="4"/>
  <c r="CI6" i="4"/>
  <c r="CI7" i="4" l="1"/>
  <c r="CI5" i="4" a="1"/>
  <c r="CI5" i="4" s="1"/>
  <c r="CI44" i="4"/>
  <c r="CI24" i="4"/>
  <c r="CI54" i="4"/>
  <c r="CI23" i="4"/>
  <c r="CI14" i="4"/>
  <c r="CI52" i="4"/>
  <c r="CI53" i="4"/>
  <c r="CI43" i="4"/>
  <c r="CI42" i="4"/>
  <c r="CI33" i="4"/>
  <c r="CI34" i="4"/>
  <c r="CI13" i="4"/>
  <c r="CI32" i="4"/>
  <c r="CI31" i="4"/>
  <c r="CI12" i="4"/>
  <c r="CI51" i="4"/>
  <c r="CI59" i="4"/>
  <c r="CI21" i="4"/>
  <c r="CI11" i="4"/>
  <c r="CI20" i="4"/>
  <c r="CI41" i="4"/>
  <c r="CI19" i="4"/>
  <c r="CI50" i="4"/>
  <c r="CI8" i="4"/>
  <c r="CI40" i="4"/>
  <c r="CI29" i="4"/>
  <c r="CI9" i="4"/>
  <c r="CI48" i="4"/>
  <c r="CI37" i="4"/>
  <c r="CI22" i="4"/>
  <c r="CI49" i="4"/>
  <c r="CI17" i="4"/>
  <c r="CI57" i="4"/>
  <c r="CI18" i="4"/>
  <c r="CI27" i="4"/>
  <c r="CI26" i="4"/>
  <c r="CI16" i="4"/>
  <c r="CI10" i="4"/>
  <c r="CI46" i="4"/>
  <c r="CI25" i="4"/>
  <c r="CI36" i="4"/>
  <c r="CI55" i="4"/>
  <c r="CI58" i="4"/>
  <c r="CI28" i="4"/>
  <c r="CI47" i="4"/>
  <c r="CI56" i="4"/>
  <c r="CI38" i="4"/>
  <c r="CI39" i="4"/>
  <c r="CI15" i="4"/>
  <c r="CI30" i="4"/>
  <c r="CI35" i="4"/>
  <c r="CI45" i="4"/>
  <c r="CJ6" i="4"/>
  <c r="CJ5" i="4" l="1" a="1"/>
  <c r="CJ5" i="4" s="1"/>
  <c r="CJ7" i="4"/>
  <c r="CJ34" i="4"/>
  <c r="CJ53" i="4"/>
  <c r="CJ24" i="4"/>
  <c r="CJ43" i="4"/>
  <c r="CJ54" i="4"/>
  <c r="CJ44" i="4"/>
  <c r="CJ33" i="4"/>
  <c r="CJ14" i="4"/>
  <c r="CJ12" i="4"/>
  <c r="CJ23" i="4"/>
  <c r="CJ13" i="4"/>
  <c r="CJ52" i="4"/>
  <c r="CJ31" i="4"/>
  <c r="CJ11" i="4"/>
  <c r="CJ30" i="4"/>
  <c r="CJ32" i="4"/>
  <c r="CJ41" i="4"/>
  <c r="CJ50" i="4"/>
  <c r="CJ21" i="4"/>
  <c r="CJ40" i="4"/>
  <c r="CJ59" i="4"/>
  <c r="CJ39" i="4"/>
  <c r="CJ9" i="4"/>
  <c r="CJ51" i="4"/>
  <c r="CJ22" i="4"/>
  <c r="CJ29" i="4"/>
  <c r="CJ28" i="4"/>
  <c r="CJ17" i="4"/>
  <c r="CJ20" i="4"/>
  <c r="CJ37" i="4"/>
  <c r="CJ27" i="4"/>
  <c r="CJ19" i="4"/>
  <c r="CJ38" i="4"/>
  <c r="CJ18" i="4"/>
  <c r="CJ56" i="4"/>
  <c r="CJ45" i="4"/>
  <c r="CJ35" i="4"/>
  <c r="CJ42" i="4"/>
  <c r="CJ48" i="4"/>
  <c r="CJ10" i="4"/>
  <c r="CJ46" i="4"/>
  <c r="CJ36" i="4"/>
  <c r="CJ49" i="4"/>
  <c r="CJ16" i="4"/>
  <c r="CJ55" i="4"/>
  <c r="CJ15" i="4"/>
  <c r="CJ8" i="4"/>
  <c r="CJ26" i="4"/>
  <c r="CJ58" i="4"/>
  <c r="CJ57" i="4"/>
  <c r="CJ25" i="4"/>
  <c r="CJ47" i="4"/>
  <c r="CK6" i="4"/>
  <c r="CK7" i="4" l="1"/>
  <c r="CK5" i="4" a="1"/>
  <c r="CK5" i="4" s="1"/>
  <c r="CK33" i="4"/>
  <c r="CK24" i="4"/>
  <c r="CK14" i="4"/>
  <c r="CK43" i="4"/>
  <c r="CK54" i="4"/>
  <c r="CK44" i="4"/>
  <c r="CK53" i="4"/>
  <c r="CK32" i="4"/>
  <c r="CK23" i="4"/>
  <c r="CK13" i="4"/>
  <c r="CK12" i="4"/>
  <c r="CK42" i="4"/>
  <c r="CK34" i="4"/>
  <c r="CK52" i="4"/>
  <c r="CK40" i="4"/>
  <c r="CK11" i="4"/>
  <c r="CK22" i="4"/>
  <c r="CK41" i="4"/>
  <c r="CK10" i="4"/>
  <c r="CK51" i="4"/>
  <c r="CK31" i="4"/>
  <c r="CK21" i="4"/>
  <c r="CK50" i="4"/>
  <c r="CK59" i="4"/>
  <c r="CK39" i="4"/>
  <c r="CK29" i="4"/>
  <c r="CK49" i="4"/>
  <c r="CK8" i="4"/>
  <c r="CK26" i="4"/>
  <c r="CK58" i="4"/>
  <c r="CK57" i="4"/>
  <c r="CK47" i="4"/>
  <c r="CK37" i="4"/>
  <c r="CK30" i="4"/>
  <c r="CK48" i="4"/>
  <c r="CK15" i="4"/>
  <c r="CK20" i="4"/>
  <c r="CK46" i="4"/>
  <c r="CK36" i="4"/>
  <c r="CK19" i="4"/>
  <c r="CK9" i="4"/>
  <c r="CK38" i="4"/>
  <c r="CK17" i="4"/>
  <c r="CK35" i="4"/>
  <c r="CK27" i="4"/>
  <c r="CK28" i="4"/>
  <c r="CK45" i="4"/>
  <c r="CK25" i="4"/>
  <c r="CK18" i="4"/>
  <c r="CK16" i="4"/>
  <c r="CK56" i="4"/>
  <c r="CK55" i="4"/>
  <c r="CL6" i="4"/>
  <c r="CL5" i="4" l="1" a="1"/>
  <c r="CL5" i="4" s="1"/>
  <c r="CL7" i="4"/>
  <c r="CL23" i="4"/>
  <c r="CL43" i="4"/>
  <c r="CL54" i="4"/>
  <c r="CL52" i="4"/>
  <c r="CL44" i="4"/>
  <c r="CL34" i="4"/>
  <c r="CL33" i="4"/>
  <c r="CL53" i="4"/>
  <c r="CL24" i="4"/>
  <c r="CL13" i="4"/>
  <c r="CL14" i="4"/>
  <c r="CL42" i="4"/>
  <c r="CL31" i="4"/>
  <c r="CL12" i="4"/>
  <c r="CL10" i="4"/>
  <c r="CL49" i="4"/>
  <c r="CL51" i="4"/>
  <c r="CL19" i="4"/>
  <c r="CL40" i="4"/>
  <c r="CL39" i="4"/>
  <c r="CL21" i="4"/>
  <c r="CL30" i="4"/>
  <c r="CL29" i="4"/>
  <c r="CL41" i="4"/>
  <c r="CL48" i="4"/>
  <c r="CL28" i="4"/>
  <c r="CL50" i="4"/>
  <c r="CL58" i="4"/>
  <c r="CL59" i="4"/>
  <c r="CL8" i="4"/>
  <c r="CL47" i="4"/>
  <c r="CL32" i="4"/>
  <c r="CL37" i="4"/>
  <c r="CL22" i="4"/>
  <c r="CL55" i="4"/>
  <c r="CL38" i="4"/>
  <c r="CL35" i="4"/>
  <c r="CL45" i="4"/>
  <c r="CL15" i="4"/>
  <c r="CL17" i="4"/>
  <c r="CL56" i="4"/>
  <c r="CL18" i="4"/>
  <c r="CL57" i="4"/>
  <c r="CL9" i="4"/>
  <c r="CL46" i="4"/>
  <c r="CL26" i="4"/>
  <c r="CL16" i="4"/>
  <c r="CL27" i="4"/>
  <c r="CL20" i="4"/>
  <c r="CL25" i="4"/>
  <c r="CL36" i="4"/>
  <c r="CL11" i="4"/>
  <c r="CM6" i="4"/>
  <c r="CM7" i="4" l="1"/>
  <c r="CM5" i="4" a="1"/>
  <c r="CM5" i="4" s="1"/>
  <c r="CM34" i="4"/>
  <c r="CM54" i="4"/>
  <c r="CM14" i="4"/>
  <c r="CM53" i="4"/>
  <c r="CM13" i="4"/>
  <c r="CM33" i="4"/>
  <c r="CM43" i="4"/>
  <c r="CM42" i="4"/>
  <c r="CM32" i="4"/>
  <c r="CM22" i="4"/>
  <c r="CM52" i="4"/>
  <c r="CM24" i="4"/>
  <c r="CM23" i="4"/>
  <c r="CM44" i="4"/>
  <c r="CM40" i="4"/>
  <c r="CM41" i="4"/>
  <c r="CM21" i="4"/>
  <c r="CM11" i="4"/>
  <c r="CM50" i="4"/>
  <c r="CM29" i="4"/>
  <c r="CM20" i="4"/>
  <c r="CM30" i="4"/>
  <c r="CM9" i="4"/>
  <c r="CM31" i="4"/>
  <c r="CM58" i="4"/>
  <c r="CM19" i="4"/>
  <c r="CM37" i="4"/>
  <c r="CM17" i="4"/>
  <c r="CM18" i="4"/>
  <c r="CM47" i="4"/>
  <c r="CM35" i="4"/>
  <c r="CM56" i="4"/>
  <c r="CM16" i="4"/>
  <c r="CM48" i="4"/>
  <c r="CM28" i="4"/>
  <c r="CM26" i="4"/>
  <c r="CM45" i="4"/>
  <c r="CM12" i="4"/>
  <c r="CM51" i="4"/>
  <c r="CM59" i="4"/>
  <c r="CM36" i="4"/>
  <c r="CM25" i="4"/>
  <c r="CM55" i="4"/>
  <c r="CM38" i="4"/>
  <c r="CM57" i="4"/>
  <c r="CM39" i="4"/>
  <c r="CM10" i="4"/>
  <c r="CM49" i="4"/>
  <c r="CM8" i="4"/>
  <c r="CM27" i="4"/>
  <c r="CM46" i="4"/>
  <c r="CM15" i="4"/>
  <c r="CN6" i="4"/>
  <c r="CN5" i="4" l="1" a="1"/>
  <c r="CN5" i="4" s="1"/>
  <c r="CN7" i="4"/>
  <c r="CN44" i="4"/>
  <c r="CN24" i="4"/>
  <c r="CN34" i="4"/>
  <c r="CN14" i="4"/>
  <c r="CN54" i="4"/>
  <c r="CN33" i="4"/>
  <c r="CN13" i="4"/>
  <c r="CN22" i="4"/>
  <c r="CN23" i="4"/>
  <c r="CN53" i="4"/>
  <c r="CN43" i="4"/>
  <c r="CN52" i="4"/>
  <c r="CN11" i="4"/>
  <c r="CN31" i="4"/>
  <c r="CN42" i="4"/>
  <c r="CN32" i="4"/>
  <c r="CN12" i="4"/>
  <c r="CN41" i="4"/>
  <c r="CN30" i="4"/>
  <c r="CN59" i="4"/>
  <c r="CN21" i="4"/>
  <c r="CN51" i="4"/>
  <c r="CN10" i="4"/>
  <c r="CN39" i="4"/>
  <c r="CN40" i="4"/>
  <c r="CN20" i="4"/>
  <c r="CN9" i="4"/>
  <c r="CN37" i="4"/>
  <c r="CN50" i="4"/>
  <c r="CN19" i="4"/>
  <c r="CN58" i="4"/>
  <c r="CN17" i="4"/>
  <c r="CN29" i="4"/>
  <c r="CN48" i="4"/>
  <c r="CN28" i="4"/>
  <c r="CN57" i="4"/>
  <c r="CN26" i="4"/>
  <c r="CN27" i="4"/>
  <c r="CN36" i="4"/>
  <c r="CN56" i="4"/>
  <c r="CN55" i="4"/>
  <c r="CN8" i="4"/>
  <c r="CN49" i="4"/>
  <c r="CN18" i="4"/>
  <c r="CN38" i="4"/>
  <c r="CN47" i="4"/>
  <c r="CN16" i="4"/>
  <c r="CN35" i="4"/>
  <c r="CN46" i="4"/>
  <c r="CN15" i="4"/>
  <c r="CN25" i="4"/>
  <c r="CN45" i="4"/>
  <c r="CO6" i="4"/>
  <c r="CO5" i="4" l="1" a="1"/>
  <c r="CO5" i="4" s="1"/>
  <c r="CO7" i="4"/>
  <c r="CO53" i="4"/>
  <c r="CO44" i="4"/>
  <c r="CO24" i="4"/>
  <c r="CO54" i="4"/>
  <c r="CO42" i="4"/>
  <c r="CO14" i="4"/>
  <c r="CO43" i="4"/>
  <c r="CO33" i="4"/>
  <c r="CO23" i="4"/>
  <c r="CO13" i="4"/>
  <c r="CO34" i="4"/>
  <c r="CO52" i="4"/>
  <c r="CO40" i="4"/>
  <c r="CO41" i="4"/>
  <c r="CO31" i="4"/>
  <c r="CO22" i="4"/>
  <c r="CO50" i="4"/>
  <c r="CO51" i="4"/>
  <c r="CO30" i="4"/>
  <c r="CO11" i="4"/>
  <c r="CO21" i="4"/>
  <c r="CO19" i="4"/>
  <c r="CO39" i="4"/>
  <c r="CO20" i="4"/>
  <c r="CO47" i="4"/>
  <c r="CO38" i="4"/>
  <c r="CO28" i="4"/>
  <c r="CO57" i="4"/>
  <c r="CO10" i="4"/>
  <c r="CO58" i="4"/>
  <c r="CO25" i="4"/>
  <c r="CO32" i="4"/>
  <c r="CO59" i="4"/>
  <c r="CO49" i="4"/>
  <c r="CO48" i="4"/>
  <c r="CO46" i="4"/>
  <c r="CO12" i="4"/>
  <c r="CO17" i="4"/>
  <c r="CO55" i="4"/>
  <c r="CO29" i="4"/>
  <c r="CO18" i="4"/>
  <c r="CO37" i="4"/>
  <c r="CO8" i="4"/>
  <c r="CO9" i="4"/>
  <c r="CO16" i="4"/>
  <c r="CO15" i="4"/>
  <c r="CO36" i="4"/>
  <c r="CO26" i="4"/>
  <c r="CO45" i="4"/>
  <c r="CO35" i="4"/>
  <c r="CO27" i="4"/>
  <c r="CO56" i="4"/>
  <c r="CP6" i="4"/>
  <c r="CP7" i="4" l="1"/>
  <c r="CP5" i="4" a="1"/>
  <c r="CP5" i="4" s="1"/>
  <c r="CP44" i="4"/>
  <c r="CP54" i="4"/>
  <c r="CP14" i="4"/>
  <c r="CP53" i="4"/>
  <c r="CP23" i="4"/>
  <c r="CP13" i="4"/>
  <c r="CP34" i="4"/>
  <c r="CP42" i="4"/>
  <c r="CP43" i="4"/>
  <c r="CP24" i="4"/>
  <c r="CP33" i="4"/>
  <c r="CP52" i="4"/>
  <c r="CP12" i="4"/>
  <c r="CP41" i="4"/>
  <c r="CP29" i="4"/>
  <c r="CP32" i="4"/>
  <c r="CP11" i="4"/>
  <c r="CP50" i="4"/>
  <c r="CP30" i="4"/>
  <c r="CP20" i="4"/>
  <c r="CP59" i="4"/>
  <c r="CP31" i="4"/>
  <c r="CP51" i="4"/>
  <c r="CP58" i="4"/>
  <c r="CP38" i="4"/>
  <c r="CP49" i="4"/>
  <c r="CP39" i="4"/>
  <c r="CP40" i="4"/>
  <c r="CP46" i="4"/>
  <c r="CP22" i="4"/>
  <c r="CP18" i="4"/>
  <c r="CP37" i="4"/>
  <c r="CP8" i="4"/>
  <c r="CP19" i="4"/>
  <c r="CP45" i="4"/>
  <c r="CP9" i="4"/>
  <c r="CP27" i="4"/>
  <c r="CP35" i="4"/>
  <c r="CP25" i="4"/>
  <c r="CP21" i="4"/>
  <c r="CP15" i="4"/>
  <c r="CP57" i="4"/>
  <c r="CP28" i="4"/>
  <c r="CP56" i="4"/>
  <c r="CP10" i="4"/>
  <c r="CP48" i="4"/>
  <c r="CP36" i="4"/>
  <c r="CP17" i="4"/>
  <c r="CP47" i="4"/>
  <c r="CP26" i="4"/>
  <c r="CP16" i="4"/>
  <c r="CP55" i="4"/>
  <c r="CQ6" i="4"/>
  <c r="CQ7" i="4" l="1"/>
  <c r="CQ5" i="4" a="1"/>
  <c r="CQ5" i="4" s="1"/>
  <c r="CQ14" i="4"/>
  <c r="CQ24" i="4"/>
  <c r="CQ34" i="4"/>
  <c r="CQ54" i="4"/>
  <c r="CQ53" i="4"/>
  <c r="CQ23" i="4"/>
  <c r="CQ13" i="4"/>
  <c r="CQ44" i="4"/>
  <c r="CQ33" i="4"/>
  <c r="CQ52" i="4"/>
  <c r="CQ43" i="4"/>
  <c r="CQ42" i="4"/>
  <c r="CQ31" i="4"/>
  <c r="CQ21" i="4"/>
  <c r="CQ50" i="4"/>
  <c r="CQ32" i="4"/>
  <c r="CQ51" i="4"/>
  <c r="CQ12" i="4"/>
  <c r="CQ22" i="4"/>
  <c r="CQ41" i="4"/>
  <c r="CQ11" i="4"/>
  <c r="CQ30" i="4"/>
  <c r="CQ49" i="4"/>
  <c r="CQ29" i="4"/>
  <c r="CQ20" i="4"/>
  <c r="CQ59" i="4"/>
  <c r="CQ40" i="4"/>
  <c r="CQ9" i="4"/>
  <c r="CQ48" i="4"/>
  <c r="CQ38" i="4"/>
  <c r="CQ8" i="4"/>
  <c r="CQ46" i="4"/>
  <c r="CQ18" i="4"/>
  <c r="CQ35" i="4"/>
  <c r="CQ39" i="4"/>
  <c r="CQ57" i="4"/>
  <c r="CQ26" i="4"/>
  <c r="CQ10" i="4"/>
  <c r="CQ17" i="4"/>
  <c r="CQ36" i="4"/>
  <c r="CQ16" i="4"/>
  <c r="CQ45" i="4"/>
  <c r="CQ19" i="4"/>
  <c r="CQ47" i="4"/>
  <c r="CQ58" i="4"/>
  <c r="CQ37" i="4"/>
  <c r="CQ28" i="4"/>
  <c r="CQ27" i="4"/>
  <c r="CQ56" i="4"/>
  <c r="CQ25" i="4"/>
  <c r="CQ15" i="4"/>
  <c r="CQ55" i="4"/>
  <c r="CR6" i="4"/>
  <c r="CR7" i="4" l="1"/>
  <c r="CR5" i="4" a="1"/>
  <c r="CR5" i="4" s="1"/>
  <c r="CR33" i="4"/>
  <c r="CR23" i="4"/>
  <c r="CR54" i="4"/>
  <c r="CR24" i="4"/>
  <c r="CR34" i="4"/>
  <c r="CR14" i="4"/>
  <c r="CR13" i="4"/>
  <c r="CR53" i="4"/>
  <c r="CR22" i="4"/>
  <c r="CR12" i="4"/>
  <c r="CR51" i="4"/>
  <c r="CR42" i="4"/>
  <c r="CR52" i="4"/>
  <c r="CR43" i="4"/>
  <c r="CR44" i="4"/>
  <c r="CR31" i="4"/>
  <c r="CR50" i="4"/>
  <c r="CR41" i="4"/>
  <c r="CR21" i="4"/>
  <c r="CR59" i="4"/>
  <c r="CR11" i="4"/>
  <c r="CR20" i="4"/>
  <c r="CR9" i="4"/>
  <c r="CR58" i="4"/>
  <c r="CR40" i="4"/>
  <c r="CR28" i="4"/>
  <c r="CR17" i="4"/>
  <c r="CR37" i="4"/>
  <c r="CR10" i="4"/>
  <c r="CR19" i="4"/>
  <c r="CR8" i="4"/>
  <c r="CR47" i="4"/>
  <c r="CR32" i="4"/>
  <c r="CR27" i="4"/>
  <c r="CR18" i="4"/>
  <c r="CR36" i="4"/>
  <c r="CR26" i="4"/>
  <c r="CR45" i="4"/>
  <c r="CR46" i="4"/>
  <c r="CR39" i="4"/>
  <c r="CR56" i="4"/>
  <c r="CR25" i="4"/>
  <c r="CR57" i="4"/>
  <c r="CR15" i="4"/>
  <c r="CR30" i="4"/>
  <c r="CR38" i="4"/>
  <c r="CR48" i="4"/>
  <c r="CR35" i="4"/>
  <c r="CR29" i="4"/>
  <c r="CR49" i="4"/>
  <c r="CR16" i="4"/>
  <c r="CR55" i="4"/>
  <c r="CS6" i="4"/>
  <c r="CS5" i="4" l="1" a="1"/>
  <c r="CS5" i="4" s="1"/>
  <c r="CS7" i="4"/>
  <c r="CS24" i="4"/>
  <c r="CS54" i="4"/>
  <c r="CS44" i="4"/>
  <c r="CS43" i="4"/>
  <c r="CS23" i="4"/>
  <c r="CS13" i="4"/>
  <c r="CS52" i="4"/>
  <c r="CS33" i="4"/>
  <c r="CS51" i="4"/>
  <c r="CS53" i="4"/>
  <c r="CS42" i="4"/>
  <c r="CS14" i="4"/>
  <c r="CS34" i="4"/>
  <c r="CS30" i="4"/>
  <c r="CS21" i="4"/>
  <c r="CS22" i="4"/>
  <c r="CS39" i="4"/>
  <c r="CS32" i="4"/>
  <c r="CS11" i="4"/>
  <c r="CS41" i="4"/>
  <c r="CS50" i="4"/>
  <c r="CS20" i="4"/>
  <c r="CS29" i="4"/>
  <c r="CS12" i="4"/>
  <c r="CS19" i="4"/>
  <c r="CS49" i="4"/>
  <c r="CS31" i="4"/>
  <c r="CS8" i="4"/>
  <c r="CS59" i="4"/>
  <c r="CS58" i="4"/>
  <c r="CS48" i="4"/>
  <c r="CS57" i="4"/>
  <c r="CS27" i="4"/>
  <c r="CS26" i="4"/>
  <c r="CS18" i="4"/>
  <c r="CS9" i="4"/>
  <c r="CS28" i="4"/>
  <c r="CS47" i="4"/>
  <c r="CS17" i="4"/>
  <c r="CS45" i="4"/>
  <c r="CS10" i="4"/>
  <c r="CS37" i="4"/>
  <c r="CS38" i="4"/>
  <c r="CS40" i="4"/>
  <c r="CS56" i="4"/>
  <c r="CS55" i="4"/>
  <c r="CS15" i="4"/>
  <c r="CS35" i="4"/>
  <c r="CS46" i="4"/>
  <c r="CS36" i="4"/>
  <c r="CS16" i="4"/>
  <c r="CS25" i="4"/>
  <c r="CT6" i="4"/>
  <c r="CT5" i="4" l="1" a="1"/>
  <c r="CT5" i="4" s="1"/>
  <c r="CT7" i="4"/>
  <c r="CT34" i="4"/>
  <c r="CT54" i="4"/>
  <c r="CT44" i="4"/>
  <c r="CT33" i="4"/>
  <c r="CT53" i="4"/>
  <c r="CT43" i="4"/>
  <c r="CT14" i="4"/>
  <c r="CT32" i="4"/>
  <c r="CT24" i="4"/>
  <c r="CT23" i="4"/>
  <c r="CT13" i="4"/>
  <c r="CT52" i="4"/>
  <c r="CT42" i="4"/>
  <c r="CT12" i="4"/>
  <c r="CT31" i="4"/>
  <c r="CT40" i="4"/>
  <c r="CT21" i="4"/>
  <c r="CT11" i="4"/>
  <c r="CT30" i="4"/>
  <c r="CT22" i="4"/>
  <c r="CT50" i="4"/>
  <c r="CT20" i="4"/>
  <c r="CT59" i="4"/>
  <c r="CT29" i="4"/>
  <c r="CT19" i="4"/>
  <c r="CT10" i="4"/>
  <c r="CT49" i="4"/>
  <c r="CT47" i="4"/>
  <c r="CT36" i="4"/>
  <c r="CT39" i="4"/>
  <c r="CT48" i="4"/>
  <c r="CT28" i="4"/>
  <c r="CT17" i="4"/>
  <c r="CT8" i="4"/>
  <c r="CT57" i="4"/>
  <c r="CT35" i="4"/>
  <c r="CT51" i="4"/>
  <c r="CT18" i="4"/>
  <c r="CT55" i="4"/>
  <c r="CT58" i="4"/>
  <c r="CT38" i="4"/>
  <c r="CT37" i="4"/>
  <c r="CT16" i="4"/>
  <c r="CT27" i="4"/>
  <c r="CT41" i="4"/>
  <c r="CT9" i="4"/>
  <c r="CT46" i="4"/>
  <c r="CT26" i="4"/>
  <c r="CT15" i="4"/>
  <c r="CT56" i="4"/>
  <c r="CT45" i="4"/>
  <c r="CT25" i="4"/>
  <c r="CU6" i="4"/>
  <c r="CU7" i="4" l="1"/>
  <c r="CU5" i="4" a="1"/>
  <c r="CU5" i="4" s="1"/>
  <c r="CU34" i="4"/>
  <c r="CU14" i="4"/>
  <c r="CU54" i="4"/>
  <c r="CU24" i="4"/>
  <c r="CU43" i="4"/>
  <c r="CU44" i="4"/>
  <c r="CU53" i="4"/>
  <c r="CU22" i="4"/>
  <c r="CU51" i="4"/>
  <c r="CU23" i="4"/>
  <c r="CU41" i="4"/>
  <c r="CU13" i="4"/>
  <c r="CU42" i="4"/>
  <c r="CU52" i="4"/>
  <c r="CU33" i="4"/>
  <c r="CU11" i="4"/>
  <c r="CU12" i="4"/>
  <c r="CU31" i="4"/>
  <c r="CU21" i="4"/>
  <c r="CU32" i="4"/>
  <c r="CU10" i="4"/>
  <c r="CU50" i="4"/>
  <c r="CU59" i="4"/>
  <c r="CU30" i="4"/>
  <c r="CU58" i="4"/>
  <c r="CU28" i="4"/>
  <c r="CU18" i="4"/>
  <c r="CU56" i="4"/>
  <c r="CU40" i="4"/>
  <c r="CU29" i="4"/>
  <c r="CU8" i="4"/>
  <c r="CU37" i="4"/>
  <c r="CU27" i="4"/>
  <c r="CU49" i="4"/>
  <c r="CU39" i="4"/>
  <c r="CU57" i="4"/>
  <c r="CU17" i="4"/>
  <c r="CU46" i="4"/>
  <c r="CU25" i="4"/>
  <c r="CU36" i="4"/>
  <c r="CU16" i="4"/>
  <c r="CU55" i="4"/>
  <c r="CU15" i="4"/>
  <c r="CU38" i="4"/>
  <c r="CU47" i="4"/>
  <c r="CU26" i="4"/>
  <c r="CU9" i="4"/>
  <c r="CU19" i="4"/>
  <c r="CU20" i="4"/>
  <c r="CU48" i="4"/>
  <c r="CU45" i="4"/>
  <c r="CU35" i="4"/>
  <c r="CV6" i="4"/>
  <c r="CV7" i="4" l="1"/>
  <c r="CV5" i="4" a="1"/>
  <c r="CV5" i="4" s="1"/>
  <c r="CV44" i="4"/>
  <c r="CV34" i="4"/>
  <c r="CV54" i="4"/>
  <c r="CV24" i="4"/>
  <c r="CV43" i="4"/>
  <c r="CV53" i="4"/>
  <c r="CV14" i="4"/>
  <c r="CV23" i="4"/>
  <c r="CV13" i="4"/>
  <c r="CV22" i="4"/>
  <c r="CV51" i="4"/>
  <c r="CV33" i="4"/>
  <c r="CV52" i="4"/>
  <c r="CV12" i="4"/>
  <c r="CV11" i="4"/>
  <c r="CV39" i="4"/>
  <c r="CV10" i="4"/>
  <c r="CV49" i="4"/>
  <c r="CV30" i="4"/>
  <c r="CV38" i="4"/>
  <c r="CV31" i="4"/>
  <c r="CV21" i="4"/>
  <c r="CV40" i="4"/>
  <c r="CV32" i="4"/>
  <c r="CV41" i="4"/>
  <c r="CV20" i="4"/>
  <c r="CV19" i="4"/>
  <c r="CV8" i="4"/>
  <c r="CV37" i="4"/>
  <c r="CV29" i="4"/>
  <c r="CV57" i="4"/>
  <c r="CV50" i="4"/>
  <c r="CV58" i="4"/>
  <c r="CV56" i="4"/>
  <c r="CV45" i="4"/>
  <c r="CV35" i="4"/>
  <c r="CV42" i="4"/>
  <c r="CV48" i="4"/>
  <c r="CV36" i="4"/>
  <c r="CV26" i="4"/>
  <c r="CV9" i="4"/>
  <c r="CV17" i="4"/>
  <c r="CV55" i="4"/>
  <c r="CV25" i="4"/>
  <c r="CV18" i="4"/>
  <c r="CV27" i="4"/>
  <c r="CV28" i="4"/>
  <c r="CV59" i="4"/>
  <c r="CV47" i="4"/>
  <c r="CV16" i="4"/>
  <c r="CV46" i="4"/>
  <c r="CV15" i="4"/>
  <c r="CW6" i="4"/>
  <c r="CW7" i="4" l="1"/>
  <c r="CW5" i="4" a="1"/>
  <c r="CW5" i="4" s="1"/>
  <c r="CW24" i="4"/>
  <c r="CW14" i="4"/>
  <c r="CW44" i="4"/>
  <c r="CW34" i="4"/>
  <c r="CW54" i="4"/>
  <c r="CW52" i="4"/>
  <c r="CW33" i="4"/>
  <c r="CW13" i="4"/>
  <c r="CW41" i="4"/>
  <c r="CW42" i="4"/>
  <c r="CW43" i="4"/>
  <c r="CW23" i="4"/>
  <c r="CW53" i="4"/>
  <c r="CW51" i="4"/>
  <c r="CW32" i="4"/>
  <c r="CW31" i="4"/>
  <c r="CW20" i="4"/>
  <c r="CW12" i="4"/>
  <c r="CW50" i="4"/>
  <c r="CW22" i="4"/>
  <c r="CW29" i="4"/>
  <c r="CW21" i="4"/>
  <c r="CW10" i="4"/>
  <c r="CW59" i="4"/>
  <c r="CW39" i="4"/>
  <c r="CW47" i="4"/>
  <c r="CW40" i="4"/>
  <c r="CW49" i="4"/>
  <c r="CW48" i="4"/>
  <c r="CW16" i="4"/>
  <c r="CW30" i="4"/>
  <c r="CW38" i="4"/>
  <c r="CW25" i="4"/>
  <c r="CW46" i="4"/>
  <c r="CW8" i="4"/>
  <c r="CW15" i="4"/>
  <c r="CW37" i="4"/>
  <c r="CW28" i="4"/>
  <c r="CW11" i="4"/>
  <c r="CW19" i="4"/>
  <c r="CW9" i="4"/>
  <c r="CW57" i="4"/>
  <c r="CW26" i="4"/>
  <c r="CW35" i="4"/>
  <c r="CW58" i="4"/>
  <c r="CW18" i="4"/>
  <c r="CW17" i="4"/>
  <c r="CW55" i="4"/>
  <c r="CW36" i="4"/>
  <c r="CW56" i="4"/>
  <c r="CW45" i="4"/>
  <c r="CW27" i="4"/>
  <c r="CX6" i="4"/>
  <c r="CX5" i="4" l="1" a="1"/>
  <c r="CX5" i="4" s="1"/>
  <c r="CX7" i="4"/>
  <c r="CX54" i="4"/>
  <c r="CX44" i="4"/>
  <c r="CX43" i="4"/>
  <c r="CX24" i="4"/>
  <c r="CX33" i="4"/>
  <c r="CX14" i="4"/>
  <c r="CX41" i="4"/>
  <c r="CX53" i="4"/>
  <c r="CX23" i="4"/>
  <c r="CX12" i="4"/>
  <c r="CX34" i="4"/>
  <c r="CX13" i="4"/>
  <c r="CX52" i="4"/>
  <c r="CX42" i="4"/>
  <c r="CX32" i="4"/>
  <c r="CX21" i="4"/>
  <c r="CX50" i="4"/>
  <c r="CX22" i="4"/>
  <c r="CX51" i="4"/>
  <c r="CX11" i="4"/>
  <c r="CX10" i="4"/>
  <c r="CX31" i="4"/>
  <c r="CX19" i="4"/>
  <c r="CX40" i="4"/>
  <c r="CX39" i="4"/>
  <c r="CX46" i="4"/>
  <c r="CX30" i="4"/>
  <c r="CX59" i="4"/>
  <c r="CX9" i="4"/>
  <c r="CX28" i="4"/>
  <c r="CX18" i="4"/>
  <c r="CX49" i="4"/>
  <c r="CX27" i="4"/>
  <c r="CX55" i="4"/>
  <c r="CX48" i="4"/>
  <c r="CX36" i="4"/>
  <c r="CX20" i="4"/>
  <c r="CX16" i="4"/>
  <c r="CX56" i="4"/>
  <c r="CX45" i="4"/>
  <c r="CX26" i="4"/>
  <c r="CX35" i="4"/>
  <c r="CX58" i="4"/>
  <c r="CX17" i="4"/>
  <c r="CX8" i="4"/>
  <c r="CX37" i="4"/>
  <c r="CX38" i="4"/>
  <c r="CX47" i="4"/>
  <c r="CX29" i="4"/>
  <c r="CX57" i="4"/>
  <c r="CX15" i="4"/>
  <c r="CX25" i="4"/>
  <c r="CY6" i="4"/>
  <c r="CY5" i="4" l="1" a="1"/>
  <c r="CY5" i="4" s="1"/>
  <c r="CY7" i="4"/>
  <c r="CY24" i="4"/>
  <c r="CY14" i="4"/>
  <c r="CY54" i="4"/>
  <c r="CY44" i="4"/>
  <c r="CY34" i="4"/>
  <c r="CY33" i="4"/>
  <c r="CY12" i="4"/>
  <c r="CY32" i="4"/>
  <c r="CY43" i="4"/>
  <c r="CY13" i="4"/>
  <c r="CY53" i="4"/>
  <c r="CY23" i="4"/>
  <c r="CY40" i="4"/>
  <c r="CY41" i="4"/>
  <c r="CY21" i="4"/>
  <c r="CY30" i="4"/>
  <c r="CY59" i="4"/>
  <c r="CY31" i="4"/>
  <c r="CY9" i="4"/>
  <c r="CY48" i="4"/>
  <c r="CY38" i="4"/>
  <c r="CY11" i="4"/>
  <c r="CY39" i="4"/>
  <c r="CY58" i="4"/>
  <c r="CY17" i="4"/>
  <c r="CY49" i="4"/>
  <c r="CY47" i="4"/>
  <c r="CY29" i="4"/>
  <c r="CY19" i="4"/>
  <c r="CY28" i="4"/>
  <c r="CY57" i="4"/>
  <c r="CY20" i="4"/>
  <c r="CY22" i="4"/>
  <c r="CY18" i="4"/>
  <c r="CY16" i="4"/>
  <c r="CY26" i="4"/>
  <c r="CY35" i="4"/>
  <c r="CY25" i="4"/>
  <c r="CY51" i="4"/>
  <c r="CY56" i="4"/>
  <c r="CY36" i="4"/>
  <c r="CY42" i="4"/>
  <c r="CY50" i="4"/>
  <c r="CY37" i="4"/>
  <c r="CY8" i="4"/>
  <c r="CY45" i="4"/>
  <c r="CY10" i="4"/>
  <c r="CY55" i="4"/>
  <c r="CY46" i="4"/>
  <c r="CY52" i="4"/>
  <c r="CY15" i="4"/>
  <c r="CY27" i="4"/>
  <c r="CZ6" i="4"/>
  <c r="CZ7" i="4" l="1"/>
  <c r="CZ5" i="4" a="1"/>
  <c r="CZ5" i="4" s="1"/>
  <c r="CZ23" i="4"/>
  <c r="CZ34" i="4"/>
  <c r="CZ44" i="4"/>
  <c r="CZ54" i="4"/>
  <c r="CZ53" i="4"/>
  <c r="CZ43" i="4"/>
  <c r="CZ33" i="4"/>
  <c r="CZ24" i="4"/>
  <c r="CZ42" i="4"/>
  <c r="CZ22" i="4"/>
  <c r="CZ14" i="4"/>
  <c r="CZ13" i="4"/>
  <c r="CZ52" i="4"/>
  <c r="CZ32" i="4"/>
  <c r="CZ51" i="4"/>
  <c r="CZ11" i="4"/>
  <c r="CZ31" i="4"/>
  <c r="CZ50" i="4"/>
  <c r="CZ41" i="4"/>
  <c r="CZ21" i="4"/>
  <c r="CZ39" i="4"/>
  <c r="CZ10" i="4"/>
  <c r="CZ30" i="4"/>
  <c r="CZ9" i="4"/>
  <c r="CZ59" i="4"/>
  <c r="CZ29" i="4"/>
  <c r="CZ8" i="4"/>
  <c r="CZ12" i="4"/>
  <c r="CZ40" i="4"/>
  <c r="CZ48" i="4"/>
  <c r="CZ20" i="4"/>
  <c r="CZ38" i="4"/>
  <c r="CZ17" i="4"/>
  <c r="CZ19" i="4"/>
  <c r="CZ37" i="4"/>
  <c r="CZ16" i="4"/>
  <c r="CZ47" i="4"/>
  <c r="CZ45" i="4"/>
  <c r="CZ27" i="4"/>
  <c r="CZ49" i="4"/>
  <c r="CZ18" i="4"/>
  <c r="CZ36" i="4"/>
  <c r="CZ15" i="4"/>
  <c r="CZ55" i="4"/>
  <c r="CZ56" i="4"/>
  <c r="CZ57" i="4"/>
  <c r="CZ46" i="4"/>
  <c r="CZ28" i="4"/>
  <c r="CZ35" i="4"/>
  <c r="CZ25" i="4"/>
  <c r="CZ26" i="4"/>
  <c r="CZ58" i="4"/>
  <c r="DA6" i="4"/>
  <c r="DA7" i="4" l="1"/>
  <c r="DA5" i="4" a="1"/>
  <c r="DA5" i="4" s="1"/>
  <c r="DA53" i="4"/>
  <c r="DA43" i="4"/>
  <c r="DA44" i="4"/>
  <c r="DA54" i="4"/>
  <c r="DA14" i="4"/>
  <c r="DA34" i="4"/>
  <c r="DA33" i="4"/>
  <c r="DA23" i="4"/>
  <c r="DA13" i="4"/>
  <c r="DA52" i="4"/>
  <c r="DA42" i="4"/>
  <c r="DA24" i="4"/>
  <c r="DA41" i="4"/>
  <c r="DA30" i="4"/>
  <c r="DA12" i="4"/>
  <c r="DA22" i="4"/>
  <c r="DA32" i="4"/>
  <c r="DA50" i="4"/>
  <c r="DA31" i="4"/>
  <c r="DA51" i="4"/>
  <c r="DA21" i="4"/>
  <c r="DA11" i="4"/>
  <c r="DA10" i="4"/>
  <c r="DA29" i="4"/>
  <c r="DA19" i="4"/>
  <c r="DA20" i="4"/>
  <c r="DA47" i="4"/>
  <c r="DA36" i="4"/>
  <c r="DA9" i="4"/>
  <c r="DA48" i="4"/>
  <c r="DA28" i="4"/>
  <c r="DA18" i="4"/>
  <c r="DA59" i="4"/>
  <c r="DA38" i="4"/>
  <c r="DA8" i="4"/>
  <c r="DA25" i="4"/>
  <c r="DA17" i="4"/>
  <c r="DA26" i="4"/>
  <c r="DA35" i="4"/>
  <c r="DA58" i="4"/>
  <c r="DA56" i="4"/>
  <c r="DA16" i="4"/>
  <c r="DA45" i="4"/>
  <c r="DA39" i="4"/>
  <c r="DA15" i="4"/>
  <c r="DA27" i="4"/>
  <c r="DA37" i="4"/>
  <c r="DA40" i="4"/>
  <c r="DA49" i="4"/>
  <c r="DA55" i="4"/>
  <c r="DA46" i="4"/>
  <c r="DA57" i="4"/>
  <c r="DB6" i="4"/>
  <c r="DB7" i="4" l="1"/>
  <c r="DB5" i="4" a="1"/>
  <c r="DB5" i="4" s="1"/>
  <c r="DB24" i="4"/>
  <c r="DB34" i="4"/>
  <c r="DB14" i="4"/>
  <c r="DB54" i="4"/>
  <c r="DB33" i="4"/>
  <c r="DB13" i="4"/>
  <c r="DB43" i="4"/>
  <c r="DB52" i="4"/>
  <c r="DB53" i="4"/>
  <c r="DB22" i="4"/>
  <c r="DB44" i="4"/>
  <c r="DB23" i="4"/>
  <c r="DB42" i="4"/>
  <c r="DB30" i="4"/>
  <c r="DB41" i="4"/>
  <c r="DB11" i="4"/>
  <c r="DB59" i="4"/>
  <c r="DB12" i="4"/>
  <c r="DB31" i="4"/>
  <c r="DB32" i="4"/>
  <c r="DB50" i="4"/>
  <c r="DB49" i="4"/>
  <c r="DB39" i="4"/>
  <c r="DB9" i="4"/>
  <c r="DB51" i="4"/>
  <c r="DB20" i="4"/>
  <c r="DB8" i="4"/>
  <c r="DB56" i="4"/>
  <c r="DB40" i="4"/>
  <c r="DB48" i="4"/>
  <c r="DB28" i="4"/>
  <c r="DB18" i="4"/>
  <c r="DB29" i="4"/>
  <c r="DB38" i="4"/>
  <c r="DB17" i="4"/>
  <c r="DB16" i="4"/>
  <c r="DB10" i="4"/>
  <c r="DB57" i="4"/>
  <c r="DB21" i="4"/>
  <c r="DB46" i="4"/>
  <c r="DB35" i="4"/>
  <c r="DB27" i="4"/>
  <c r="DB26" i="4"/>
  <c r="DB25" i="4"/>
  <c r="DB36" i="4"/>
  <c r="DB58" i="4"/>
  <c r="DB37" i="4"/>
  <c r="DB19" i="4"/>
  <c r="DB47" i="4"/>
  <c r="DB45" i="4"/>
  <c r="DB15" i="4"/>
  <c r="DB55" i="4"/>
  <c r="DC6" i="4"/>
  <c r="DC5" i="4" l="1" a="1"/>
  <c r="DC5" i="4" s="1"/>
  <c r="DC7" i="4"/>
  <c r="DC44" i="4"/>
  <c r="DC24" i="4"/>
  <c r="DC54" i="4"/>
  <c r="DC34" i="4"/>
  <c r="DC33" i="4"/>
  <c r="DC42" i="4"/>
  <c r="DC53" i="4"/>
  <c r="DC43" i="4"/>
  <c r="DC13" i="4"/>
  <c r="DC52" i="4"/>
  <c r="DC23" i="4"/>
  <c r="DC14" i="4"/>
  <c r="DC22" i="4"/>
  <c r="DC31" i="4"/>
  <c r="DC51" i="4"/>
  <c r="DC41" i="4"/>
  <c r="DC20" i="4"/>
  <c r="DC50" i="4"/>
  <c r="DC21" i="4"/>
  <c r="DC11" i="4"/>
  <c r="DC12" i="4"/>
  <c r="DC40" i="4"/>
  <c r="DC58" i="4"/>
  <c r="DC59" i="4"/>
  <c r="DC49" i="4"/>
  <c r="DC39" i="4"/>
  <c r="DC29" i="4"/>
  <c r="DC32" i="4"/>
  <c r="DC38" i="4"/>
  <c r="DC8" i="4"/>
  <c r="DC27" i="4"/>
  <c r="DC46" i="4"/>
  <c r="DC36" i="4"/>
  <c r="DC30" i="4"/>
  <c r="DC19" i="4"/>
  <c r="DC48" i="4"/>
  <c r="DC37" i="4"/>
  <c r="DC47" i="4"/>
  <c r="DC28" i="4"/>
  <c r="DC55" i="4"/>
  <c r="DC9" i="4"/>
  <c r="DC57" i="4"/>
  <c r="DC26" i="4"/>
  <c r="DC16" i="4"/>
  <c r="DC45" i="4"/>
  <c r="DC25" i="4"/>
  <c r="DC18" i="4"/>
  <c r="DC10" i="4"/>
  <c r="DC56" i="4"/>
  <c r="DC15" i="4"/>
  <c r="DC17" i="4"/>
  <c r="DC35" i="4"/>
  <c r="DD6" i="4"/>
  <c r="DD5" i="4" l="1" a="1"/>
  <c r="DD5" i="4" s="1"/>
  <c r="DD7" i="4"/>
  <c r="DD54" i="4"/>
  <c r="DD34" i="4"/>
  <c r="DD24" i="4"/>
  <c r="DD13" i="4"/>
  <c r="DD33" i="4"/>
  <c r="DD53" i="4"/>
  <c r="DD43" i="4"/>
  <c r="DD44" i="4"/>
  <c r="DD42" i="4"/>
  <c r="DD14" i="4"/>
  <c r="DD23" i="4"/>
  <c r="DD52" i="4"/>
  <c r="DD22" i="4"/>
  <c r="DD12" i="4"/>
  <c r="DD11" i="4"/>
  <c r="DD32" i="4"/>
  <c r="DD41" i="4"/>
  <c r="DD51" i="4"/>
  <c r="DD50" i="4"/>
  <c r="DD40" i="4"/>
  <c r="DD10" i="4"/>
  <c r="DD9" i="4"/>
  <c r="DD21" i="4"/>
  <c r="DD29" i="4"/>
  <c r="DD59" i="4"/>
  <c r="DD57" i="4"/>
  <c r="DD31" i="4"/>
  <c r="DD38" i="4"/>
  <c r="DD28" i="4"/>
  <c r="DD8" i="4"/>
  <c r="DD17" i="4"/>
  <c r="DD30" i="4"/>
  <c r="DD39" i="4"/>
  <c r="DD47" i="4"/>
  <c r="DD56" i="4"/>
  <c r="DD25" i="4"/>
  <c r="DD19" i="4"/>
  <c r="DD58" i="4"/>
  <c r="DD18" i="4"/>
  <c r="DD27" i="4"/>
  <c r="DD45" i="4"/>
  <c r="DD49" i="4"/>
  <c r="DD20" i="4"/>
  <c r="DD48" i="4"/>
  <c r="DD37" i="4"/>
  <c r="DD26" i="4"/>
  <c r="DD35" i="4"/>
  <c r="DD15" i="4"/>
  <c r="DD16" i="4"/>
  <c r="DD55" i="4"/>
  <c r="DD36" i="4"/>
  <c r="DD46" i="4"/>
  <c r="DE6" i="4"/>
  <c r="DE7" i="4" l="1"/>
  <c r="DE5" i="4" a="1"/>
  <c r="DE5" i="4" s="1"/>
  <c r="DE14" i="4"/>
  <c r="DE24" i="4"/>
  <c r="DE43" i="4"/>
  <c r="DE54" i="4"/>
  <c r="DE44" i="4"/>
  <c r="DE13" i="4"/>
  <c r="DE23" i="4"/>
  <c r="DE53" i="4"/>
  <c r="DE33" i="4"/>
  <c r="DE32" i="4"/>
  <c r="DE34" i="4"/>
  <c r="DE52" i="4"/>
  <c r="DE22" i="4"/>
  <c r="DE12" i="4"/>
  <c r="DE11" i="4"/>
  <c r="DE31" i="4"/>
  <c r="DE50" i="4"/>
  <c r="DE42" i="4"/>
  <c r="DE41" i="4"/>
  <c r="DE21" i="4"/>
  <c r="DE51" i="4"/>
  <c r="DE58" i="4"/>
  <c r="DE20" i="4"/>
  <c r="DE10" i="4"/>
  <c r="DE29" i="4"/>
  <c r="DE19" i="4"/>
  <c r="DE49" i="4"/>
  <c r="DE59" i="4"/>
  <c r="DE37" i="4"/>
  <c r="DE48" i="4"/>
  <c r="DE17" i="4"/>
  <c r="DE47" i="4"/>
  <c r="DE57" i="4"/>
  <c r="DE18" i="4"/>
  <c r="DE27" i="4"/>
  <c r="DE16" i="4"/>
  <c r="DE39" i="4"/>
  <c r="DE35" i="4"/>
  <c r="DE36" i="4"/>
  <c r="DE38" i="4"/>
  <c r="DE28" i="4"/>
  <c r="DE26" i="4"/>
  <c r="DE8" i="4"/>
  <c r="DE30" i="4"/>
  <c r="DE9" i="4"/>
  <c r="DE40" i="4"/>
  <c r="DE56" i="4"/>
  <c r="DE45" i="4"/>
  <c r="DE25" i="4"/>
  <c r="DE15" i="4"/>
  <c r="DE55" i="4"/>
  <c r="DE46" i="4"/>
  <c r="DF6" i="4"/>
  <c r="DF7" i="4" l="1"/>
  <c r="DF5" i="4" a="1"/>
  <c r="DF5" i="4" s="1"/>
  <c r="DF53" i="4"/>
  <c r="DF54" i="4"/>
  <c r="DF43" i="4"/>
  <c r="DF34" i="4"/>
  <c r="DF52" i="4"/>
  <c r="DF14" i="4"/>
  <c r="DF23" i="4"/>
  <c r="DF13" i="4"/>
  <c r="DF33" i="4"/>
  <c r="DF51" i="4"/>
  <c r="DF42" i="4"/>
  <c r="DF24" i="4"/>
  <c r="DF44" i="4"/>
  <c r="DF32" i="4"/>
  <c r="DF40" i="4"/>
  <c r="DF22" i="4"/>
  <c r="DF20" i="4"/>
  <c r="DF11" i="4"/>
  <c r="DF30" i="4"/>
  <c r="DF10" i="4"/>
  <c r="DF49" i="4"/>
  <c r="DF12" i="4"/>
  <c r="DF21" i="4"/>
  <c r="DF59" i="4"/>
  <c r="DF41" i="4"/>
  <c r="DF57" i="4"/>
  <c r="DF8" i="4"/>
  <c r="DF47" i="4"/>
  <c r="DF39" i="4"/>
  <c r="DF48" i="4"/>
  <c r="DF37" i="4"/>
  <c r="DF27" i="4"/>
  <c r="DF9" i="4"/>
  <c r="DF17" i="4"/>
  <c r="DF15" i="4"/>
  <c r="DF18" i="4"/>
  <c r="DF35" i="4"/>
  <c r="DF31" i="4"/>
  <c r="DF50" i="4"/>
  <c r="DF58" i="4"/>
  <c r="DF55" i="4"/>
  <c r="DF19" i="4"/>
  <c r="DF26" i="4"/>
  <c r="DF16" i="4"/>
  <c r="DF36" i="4"/>
  <c r="DF38" i="4"/>
  <c r="DF28" i="4"/>
  <c r="DF29" i="4"/>
  <c r="DF45" i="4"/>
  <c r="DF56" i="4"/>
  <c r="DF46" i="4"/>
  <c r="DF25" i="4"/>
  <c r="DG6" i="4"/>
  <c r="DG7" i="4" l="1"/>
  <c r="DG5" i="4" a="1"/>
  <c r="DG5" i="4" s="1"/>
  <c r="DG54" i="4"/>
  <c r="DG33" i="4"/>
  <c r="DG34" i="4"/>
  <c r="DG24" i="4"/>
  <c r="DG53" i="4"/>
  <c r="DG14" i="4"/>
  <c r="DG44" i="4"/>
  <c r="DG51" i="4"/>
  <c r="DG42" i="4"/>
  <c r="DG23" i="4"/>
  <c r="DG43" i="4"/>
  <c r="DG13" i="4"/>
  <c r="DG52" i="4"/>
  <c r="DG50" i="4"/>
  <c r="DG12" i="4"/>
  <c r="DG21" i="4"/>
  <c r="DG11" i="4"/>
  <c r="DG49" i="4"/>
  <c r="DG59" i="4"/>
  <c r="DG22" i="4"/>
  <c r="DG32" i="4"/>
  <c r="DG30" i="4"/>
  <c r="DG41" i="4"/>
  <c r="DG31" i="4"/>
  <c r="DG58" i="4"/>
  <c r="DG20" i="4"/>
  <c r="DG39" i="4"/>
  <c r="DG48" i="4"/>
  <c r="DG28" i="4"/>
  <c r="DG18" i="4"/>
  <c r="DG37" i="4"/>
  <c r="DG10" i="4"/>
  <c r="DG8" i="4"/>
  <c r="DG29" i="4"/>
  <c r="DG46" i="4"/>
  <c r="DG25" i="4"/>
  <c r="DG27" i="4"/>
  <c r="DG56" i="4"/>
  <c r="DG38" i="4"/>
  <c r="DG16" i="4"/>
  <c r="DG9" i="4"/>
  <c r="DG57" i="4"/>
  <c r="DG17" i="4"/>
  <c r="DG55" i="4"/>
  <c r="DG26" i="4"/>
  <c r="DG40" i="4"/>
  <c r="DG45" i="4"/>
  <c r="DG35" i="4"/>
  <c r="DG47" i="4"/>
  <c r="DG36" i="4"/>
  <c r="DG19" i="4"/>
  <c r="DG15" i="4"/>
  <c r="DH6" i="4"/>
  <c r="DH7" i="4" l="1"/>
  <c r="DH5" i="4" a="1"/>
  <c r="DH5" i="4" s="1"/>
  <c r="DH44" i="4"/>
  <c r="DH34" i="4"/>
  <c r="DH24" i="4"/>
  <c r="DH43" i="4"/>
  <c r="DH54" i="4"/>
  <c r="DH52" i="4"/>
  <c r="DH14" i="4"/>
  <c r="DH22" i="4"/>
  <c r="DH12" i="4"/>
  <c r="DH51" i="4"/>
  <c r="DH23" i="4"/>
  <c r="DH53" i="4"/>
  <c r="DH13" i="4"/>
  <c r="DH42" i="4"/>
  <c r="DH33" i="4"/>
  <c r="DH41" i="4"/>
  <c r="DH40" i="4"/>
  <c r="DH32" i="4"/>
  <c r="DH11" i="4"/>
  <c r="DH10" i="4"/>
  <c r="DH29" i="4"/>
  <c r="DH31" i="4"/>
  <c r="DH20" i="4"/>
  <c r="DH48" i="4"/>
  <c r="DH39" i="4"/>
  <c r="DH49" i="4"/>
  <c r="DH59" i="4"/>
  <c r="DH46" i="4"/>
  <c r="DH21" i="4"/>
  <c r="DH30" i="4"/>
  <c r="DH19" i="4"/>
  <c r="DH17" i="4"/>
  <c r="DH9" i="4"/>
  <c r="DH37" i="4"/>
  <c r="DH55" i="4"/>
  <c r="DH50" i="4"/>
  <c r="DH56" i="4"/>
  <c r="DH45" i="4"/>
  <c r="DH35" i="4"/>
  <c r="DH8" i="4"/>
  <c r="DH57" i="4"/>
  <c r="DH26" i="4"/>
  <c r="DH16" i="4"/>
  <c r="DH15" i="4"/>
  <c r="DH58" i="4"/>
  <c r="DH18" i="4"/>
  <c r="DH28" i="4"/>
  <c r="DH27" i="4"/>
  <c r="DH36" i="4"/>
  <c r="DH47" i="4"/>
  <c r="DH25" i="4"/>
  <c r="DH38" i="4"/>
  <c r="DI6" i="4"/>
  <c r="DI5" i="4" l="1" a="1"/>
  <c r="DI5" i="4" s="1"/>
  <c r="DI7" i="4"/>
  <c r="DI53" i="4"/>
  <c r="DI24" i="4"/>
  <c r="DI14" i="4"/>
  <c r="DI44" i="4"/>
  <c r="DI43" i="4"/>
  <c r="DI54" i="4"/>
  <c r="DI34" i="4"/>
  <c r="DI23" i="4"/>
  <c r="DI51" i="4"/>
  <c r="DI33" i="4"/>
  <c r="DI13" i="4"/>
  <c r="DI52" i="4"/>
  <c r="DI30" i="4"/>
  <c r="DI32" i="4"/>
  <c r="DI21" i="4"/>
  <c r="DI40" i="4"/>
  <c r="DI22" i="4"/>
  <c r="DI10" i="4"/>
  <c r="DI41" i="4"/>
  <c r="DI50" i="4"/>
  <c r="DI20" i="4"/>
  <c r="DI42" i="4"/>
  <c r="DI12" i="4"/>
  <c r="DI29" i="4"/>
  <c r="DI31" i="4"/>
  <c r="DI59" i="4"/>
  <c r="DI49" i="4"/>
  <c r="DI36" i="4"/>
  <c r="DI58" i="4"/>
  <c r="DI8" i="4"/>
  <c r="DI9" i="4"/>
  <c r="DI47" i="4"/>
  <c r="DI39" i="4"/>
  <c r="DI37" i="4"/>
  <c r="DI25" i="4"/>
  <c r="DI38" i="4"/>
  <c r="DI56" i="4"/>
  <c r="DI55" i="4"/>
  <c r="DI18" i="4"/>
  <c r="DI16" i="4"/>
  <c r="DI19" i="4"/>
  <c r="DI17" i="4"/>
  <c r="DI26" i="4"/>
  <c r="DI28" i="4"/>
  <c r="DI57" i="4"/>
  <c r="DI11" i="4"/>
  <c r="DI48" i="4"/>
  <c r="DI27" i="4"/>
  <c r="DI35" i="4"/>
  <c r="DI15" i="4"/>
  <c r="DI46" i="4"/>
  <c r="DI45" i="4"/>
  <c r="DJ6" i="4"/>
  <c r="DJ5" i="4" l="1" a="1"/>
  <c r="DJ5" i="4" s="1"/>
  <c r="DJ7" i="4"/>
  <c r="DJ54" i="4"/>
  <c r="DJ24" i="4"/>
  <c r="DJ14" i="4"/>
  <c r="DJ44" i="4"/>
  <c r="DJ23" i="4"/>
  <c r="DJ32" i="4"/>
  <c r="DJ13" i="4"/>
  <c r="DJ52" i="4"/>
  <c r="DJ42" i="4"/>
  <c r="DJ53" i="4"/>
  <c r="DJ33" i="4"/>
  <c r="DJ34" i="4"/>
  <c r="DJ43" i="4"/>
  <c r="DJ31" i="4"/>
  <c r="DJ21" i="4"/>
  <c r="DJ20" i="4"/>
  <c r="DJ10" i="4"/>
  <c r="DJ11" i="4"/>
  <c r="DJ30" i="4"/>
  <c r="DJ22" i="4"/>
  <c r="DJ39" i="4"/>
  <c r="DJ9" i="4"/>
  <c r="DJ19" i="4"/>
  <c r="DJ50" i="4"/>
  <c r="DJ59" i="4"/>
  <c r="DJ28" i="4"/>
  <c r="DJ18" i="4"/>
  <c r="DJ41" i="4"/>
  <c r="DJ58" i="4"/>
  <c r="DJ40" i="4"/>
  <c r="DJ38" i="4"/>
  <c r="DJ57" i="4"/>
  <c r="DJ47" i="4"/>
  <c r="DJ8" i="4"/>
  <c r="DJ15" i="4"/>
  <c r="DJ49" i="4"/>
  <c r="DJ55" i="4"/>
  <c r="DJ12" i="4"/>
  <c r="DJ26" i="4"/>
  <c r="DJ45" i="4"/>
  <c r="DJ51" i="4"/>
  <c r="DJ27" i="4"/>
  <c r="DJ56" i="4"/>
  <c r="DJ46" i="4"/>
  <c r="DJ36" i="4"/>
  <c r="DJ29" i="4"/>
  <c r="DJ25" i="4"/>
  <c r="DJ48" i="4"/>
  <c r="DJ35" i="4"/>
  <c r="DJ37" i="4"/>
  <c r="DJ17" i="4"/>
  <c r="DJ16" i="4"/>
  <c r="DK6" i="4"/>
  <c r="DK5" i="4" l="1" a="1"/>
  <c r="DK5" i="4" s="1"/>
  <c r="DK7" i="4"/>
  <c r="DK14" i="4"/>
  <c r="DK24" i="4"/>
  <c r="DK54" i="4"/>
  <c r="DK44" i="4"/>
  <c r="DK34" i="4"/>
  <c r="DK43" i="4"/>
  <c r="DK52" i="4"/>
  <c r="DK51" i="4"/>
  <c r="DK53" i="4"/>
  <c r="DK13" i="4"/>
  <c r="DK42" i="4"/>
  <c r="DK23" i="4"/>
  <c r="DK33" i="4"/>
  <c r="DK32" i="4"/>
  <c r="DK11" i="4"/>
  <c r="DK50" i="4"/>
  <c r="DK20" i="4"/>
  <c r="DK59" i="4"/>
  <c r="DK22" i="4"/>
  <c r="DK10" i="4"/>
  <c r="DK41" i="4"/>
  <c r="DK31" i="4"/>
  <c r="DK30" i="4"/>
  <c r="DK29" i="4"/>
  <c r="DK12" i="4"/>
  <c r="DK40" i="4"/>
  <c r="DK58" i="4"/>
  <c r="DK56" i="4"/>
  <c r="DK49" i="4"/>
  <c r="DK9" i="4"/>
  <c r="DK39" i="4"/>
  <c r="DK48" i="4"/>
  <c r="DK38" i="4"/>
  <c r="DK28" i="4"/>
  <c r="DK18" i="4"/>
  <c r="DK19" i="4"/>
  <c r="DK47" i="4"/>
  <c r="DK21" i="4"/>
  <c r="DK55" i="4"/>
  <c r="DK45" i="4"/>
  <c r="DK15" i="4"/>
  <c r="DK17" i="4"/>
  <c r="DK8" i="4"/>
  <c r="DK46" i="4"/>
  <c r="DK16" i="4"/>
  <c r="DK35" i="4"/>
  <c r="DK57" i="4"/>
  <c r="DK26" i="4"/>
  <c r="DK37" i="4"/>
  <c r="DK36" i="4"/>
  <c r="DK27" i="4"/>
  <c r="DK25" i="4"/>
  <c r="DL6" i="4"/>
  <c r="DL7" i="4" l="1"/>
  <c r="DL5" i="4" a="1"/>
  <c r="DL5" i="4" s="1"/>
  <c r="DL34" i="4"/>
  <c r="DL54" i="4"/>
  <c r="DL44" i="4"/>
  <c r="DL24" i="4"/>
  <c r="DL14" i="4"/>
  <c r="DL13" i="4"/>
  <c r="DL42" i="4"/>
  <c r="DL32" i="4"/>
  <c r="DL53" i="4"/>
  <c r="DL22" i="4"/>
  <c r="DL43" i="4"/>
  <c r="DL33" i="4"/>
  <c r="DL23" i="4"/>
  <c r="DL52" i="4"/>
  <c r="DL50" i="4"/>
  <c r="DL12" i="4"/>
  <c r="DL51" i="4"/>
  <c r="DL41" i="4"/>
  <c r="DL31" i="4"/>
  <c r="DL11" i="4"/>
  <c r="DL59" i="4"/>
  <c r="DL39" i="4"/>
  <c r="DL21" i="4"/>
  <c r="DL20" i="4"/>
  <c r="DL30" i="4"/>
  <c r="DL29" i="4"/>
  <c r="DL17" i="4"/>
  <c r="DL48" i="4"/>
  <c r="DL28" i="4"/>
  <c r="DL57" i="4"/>
  <c r="DL58" i="4"/>
  <c r="DL49" i="4"/>
  <c r="DL18" i="4"/>
  <c r="DL56" i="4"/>
  <c r="DL26" i="4"/>
  <c r="DL45" i="4"/>
  <c r="DL40" i="4"/>
  <c r="DL27" i="4"/>
  <c r="DL8" i="4"/>
  <c r="DL47" i="4"/>
  <c r="DL35" i="4"/>
  <c r="DL19" i="4"/>
  <c r="DL37" i="4"/>
  <c r="DL46" i="4"/>
  <c r="DL16" i="4"/>
  <c r="DL9" i="4"/>
  <c r="DL38" i="4"/>
  <c r="DL10" i="4"/>
  <c r="DL36" i="4"/>
  <c r="DL55" i="4"/>
  <c r="DL25" i="4"/>
  <c r="DL15" i="4"/>
  <c r="DM6" i="4"/>
  <c r="DM7" i="4" l="1"/>
  <c r="DM5" i="4" a="1"/>
  <c r="DM5" i="4" s="1"/>
  <c r="DM24" i="4"/>
  <c r="DM54" i="4"/>
  <c r="DM34" i="4"/>
  <c r="DM53" i="4"/>
  <c r="DM43" i="4"/>
  <c r="DM33" i="4"/>
  <c r="DM44" i="4"/>
  <c r="DM14" i="4"/>
  <c r="DM13" i="4"/>
  <c r="DM42" i="4"/>
  <c r="DM52" i="4"/>
  <c r="DM23" i="4"/>
  <c r="DM22" i="4"/>
  <c r="DM41" i="4"/>
  <c r="DM40" i="4"/>
  <c r="DM51" i="4"/>
  <c r="DM39" i="4"/>
  <c r="DM21" i="4"/>
  <c r="DM30" i="4"/>
  <c r="DM31" i="4"/>
  <c r="DM32" i="4"/>
  <c r="DM50" i="4"/>
  <c r="DM11" i="4"/>
  <c r="DM12" i="4"/>
  <c r="DM20" i="4"/>
  <c r="DM9" i="4"/>
  <c r="DM49" i="4"/>
  <c r="DM48" i="4"/>
  <c r="DM59" i="4"/>
  <c r="DM47" i="4"/>
  <c r="DM58" i="4"/>
  <c r="DM18" i="4"/>
  <c r="DM15" i="4"/>
  <c r="DM28" i="4"/>
  <c r="DM25" i="4"/>
  <c r="DM38" i="4"/>
  <c r="DM10" i="4"/>
  <c r="DM17" i="4"/>
  <c r="DM45" i="4"/>
  <c r="DM27" i="4"/>
  <c r="DM36" i="4"/>
  <c r="DM26" i="4"/>
  <c r="DM55" i="4"/>
  <c r="DM29" i="4"/>
  <c r="DM57" i="4"/>
  <c r="DM37" i="4"/>
  <c r="DM19" i="4"/>
  <c r="DM8" i="4"/>
  <c r="DM56" i="4"/>
  <c r="DM46" i="4"/>
  <c r="DM35" i="4"/>
  <c r="DM16" i="4"/>
  <c r="DN6" i="4"/>
  <c r="DN7" i="4" l="1"/>
  <c r="DN5" i="4" a="1"/>
  <c r="DN5" i="4" s="1"/>
  <c r="DN23" i="4"/>
  <c r="DN24" i="4"/>
  <c r="DN54" i="4"/>
  <c r="DN43" i="4"/>
  <c r="DN44" i="4"/>
  <c r="DN34" i="4"/>
  <c r="DN32" i="4"/>
  <c r="DN33" i="4"/>
  <c r="DN13" i="4"/>
  <c r="DN53" i="4"/>
  <c r="DN14" i="4"/>
  <c r="DN52" i="4"/>
  <c r="DN50" i="4"/>
  <c r="DN42" i="4"/>
  <c r="DN12" i="4"/>
  <c r="DN51" i="4"/>
  <c r="DN59" i="4"/>
  <c r="DN22" i="4"/>
  <c r="DN41" i="4"/>
  <c r="DN30" i="4"/>
  <c r="DN11" i="4"/>
  <c r="DN10" i="4"/>
  <c r="DN49" i="4"/>
  <c r="DN39" i="4"/>
  <c r="DN9" i="4"/>
  <c r="DN19" i="4"/>
  <c r="DN29" i="4"/>
  <c r="DN27" i="4"/>
  <c r="DN40" i="4"/>
  <c r="DN8" i="4"/>
  <c r="DN57" i="4"/>
  <c r="DN46" i="4"/>
  <c r="DN21" i="4"/>
  <c r="DN38" i="4"/>
  <c r="DN16" i="4"/>
  <c r="DN56" i="4"/>
  <c r="DN36" i="4"/>
  <c r="DN31" i="4"/>
  <c r="DN17" i="4"/>
  <c r="DN47" i="4"/>
  <c r="DN45" i="4"/>
  <c r="DN25" i="4"/>
  <c r="DN48" i="4"/>
  <c r="DN18" i="4"/>
  <c r="DN55" i="4"/>
  <c r="DN20" i="4"/>
  <c r="DN37" i="4"/>
  <c r="DN58" i="4"/>
  <c r="DN28" i="4"/>
  <c r="DN15" i="4"/>
  <c r="DN26" i="4"/>
  <c r="DN35" i="4"/>
  <c r="DO6" i="4"/>
  <c r="DO7" i="4" l="1"/>
  <c r="DO5" i="4" a="1"/>
  <c r="DO5" i="4" s="1"/>
  <c r="DO34" i="4"/>
  <c r="DO54" i="4"/>
  <c r="DO24" i="4"/>
  <c r="DO14" i="4"/>
  <c r="DO44" i="4"/>
  <c r="DO43" i="4"/>
  <c r="DO42" i="4"/>
  <c r="DO33" i="4"/>
  <c r="DO13" i="4"/>
  <c r="DO53" i="4"/>
  <c r="DO23" i="4"/>
  <c r="DO41" i="4"/>
  <c r="DO50" i="4"/>
  <c r="DO51" i="4"/>
  <c r="DO11" i="4"/>
  <c r="DO52" i="4"/>
  <c r="DO21" i="4"/>
  <c r="DO32" i="4"/>
  <c r="DO29" i="4"/>
  <c r="DO40" i="4"/>
  <c r="DO49" i="4"/>
  <c r="DO58" i="4"/>
  <c r="DO10" i="4"/>
  <c r="DO19" i="4"/>
  <c r="DO9" i="4"/>
  <c r="DO39" i="4"/>
  <c r="DO38" i="4"/>
  <c r="DO28" i="4"/>
  <c r="DO18" i="4"/>
  <c r="DO47" i="4"/>
  <c r="DO17" i="4"/>
  <c r="DO30" i="4"/>
  <c r="DO12" i="4"/>
  <c r="DO45" i="4"/>
  <c r="DO35" i="4"/>
  <c r="DO15" i="4"/>
  <c r="DO22" i="4"/>
  <c r="DO59" i="4"/>
  <c r="DO46" i="4"/>
  <c r="DO16" i="4"/>
  <c r="DO55" i="4"/>
  <c r="DO26" i="4"/>
  <c r="DO31" i="4"/>
  <c r="DO48" i="4"/>
  <c r="DO37" i="4"/>
  <c r="DO56" i="4"/>
  <c r="DO25" i="4"/>
  <c r="DO57" i="4"/>
  <c r="DO27" i="4"/>
  <c r="DO8" i="4"/>
  <c r="DO20" i="4"/>
  <c r="DO36" i="4"/>
  <c r="DP6" i="4"/>
  <c r="DP7" i="4" l="1"/>
  <c r="DP5" i="4" a="1"/>
  <c r="DP5" i="4" s="1"/>
  <c r="DP44" i="4"/>
  <c r="DP34" i="4"/>
  <c r="DP24" i="4"/>
  <c r="DP14" i="4"/>
  <c r="DP54" i="4"/>
  <c r="DP53" i="4"/>
  <c r="DP43" i="4"/>
  <c r="DP33" i="4"/>
  <c r="DP12" i="4"/>
  <c r="DP22" i="4"/>
  <c r="DP52" i="4"/>
  <c r="DP42" i="4"/>
  <c r="DP23" i="4"/>
  <c r="DP13" i="4"/>
  <c r="DP51" i="4"/>
  <c r="DP11" i="4"/>
  <c r="DP21" i="4"/>
  <c r="DP20" i="4"/>
  <c r="DP50" i="4"/>
  <c r="DP40" i="4"/>
  <c r="DP29" i="4"/>
  <c r="DP41" i="4"/>
  <c r="DP31" i="4"/>
  <c r="DP58" i="4"/>
  <c r="DP30" i="4"/>
  <c r="DP49" i="4"/>
  <c r="DP27" i="4"/>
  <c r="DP48" i="4"/>
  <c r="DP38" i="4"/>
  <c r="DP57" i="4"/>
  <c r="DP8" i="4"/>
  <c r="DP32" i="4"/>
  <c r="DP59" i="4"/>
  <c r="DP19" i="4"/>
  <c r="DP9" i="4"/>
  <c r="DP39" i="4"/>
  <c r="DP47" i="4"/>
  <c r="DP37" i="4"/>
  <c r="DP17" i="4"/>
  <c r="DP56" i="4"/>
  <c r="DP25" i="4"/>
  <c r="DP15" i="4"/>
  <c r="DP10" i="4"/>
  <c r="DP18" i="4"/>
  <c r="DP16" i="4"/>
  <c r="DP46" i="4"/>
  <c r="DP36" i="4"/>
  <c r="DP26" i="4"/>
  <c r="DP55" i="4"/>
  <c r="DP28" i="4"/>
  <c r="DP45" i="4"/>
  <c r="DP35" i="4"/>
  <c r="DQ6" i="4"/>
  <c r="DQ7" i="4" l="1"/>
  <c r="DQ5" i="4" a="1"/>
  <c r="DQ5" i="4" s="1"/>
  <c r="DQ53" i="4"/>
  <c r="DQ54" i="4"/>
  <c r="DQ14" i="4"/>
  <c r="DQ44" i="4"/>
  <c r="DQ34" i="4"/>
  <c r="DQ24" i="4"/>
  <c r="DQ52" i="4"/>
  <c r="DQ33" i="4"/>
  <c r="DQ12" i="4"/>
  <c r="DQ42" i="4"/>
  <c r="DQ13" i="4"/>
  <c r="DQ23" i="4"/>
  <c r="DQ43" i="4"/>
  <c r="DQ32" i="4"/>
  <c r="DQ22" i="4"/>
  <c r="DQ30" i="4"/>
  <c r="DQ10" i="4"/>
  <c r="DQ59" i="4"/>
  <c r="DQ49" i="4"/>
  <c r="DQ50" i="4"/>
  <c r="DQ40" i="4"/>
  <c r="DQ19" i="4"/>
  <c r="DQ51" i="4"/>
  <c r="DQ11" i="4"/>
  <c r="DQ20" i="4"/>
  <c r="DQ29" i="4"/>
  <c r="DQ8" i="4"/>
  <c r="DQ26" i="4"/>
  <c r="DQ48" i="4"/>
  <c r="DQ21" i="4"/>
  <c r="DQ9" i="4"/>
  <c r="DQ58" i="4"/>
  <c r="DQ38" i="4"/>
  <c r="DQ16" i="4"/>
  <c r="DQ47" i="4"/>
  <c r="DQ17" i="4"/>
  <c r="DQ31" i="4"/>
  <c r="DQ41" i="4"/>
  <c r="DQ55" i="4"/>
  <c r="DQ28" i="4"/>
  <c r="DQ57" i="4"/>
  <c r="DQ36" i="4"/>
  <c r="DQ37" i="4"/>
  <c r="DQ39" i="4"/>
  <c r="DQ27" i="4"/>
  <c r="DQ35" i="4"/>
  <c r="DQ25" i="4"/>
  <c r="DQ46" i="4"/>
  <c r="DQ45" i="4"/>
  <c r="DQ56" i="4"/>
  <c r="DQ15" i="4"/>
  <c r="DQ18" i="4"/>
  <c r="DR6" i="4"/>
  <c r="DR7" i="4" l="1"/>
  <c r="DR5" i="4" a="1"/>
  <c r="DR5" i="4" s="1"/>
  <c r="DR24" i="4"/>
  <c r="DR43" i="4"/>
  <c r="DR54" i="4"/>
  <c r="DR44" i="4"/>
  <c r="DR23" i="4"/>
  <c r="DR33" i="4"/>
  <c r="DR13" i="4"/>
  <c r="DR14" i="4"/>
  <c r="DR52" i="4"/>
  <c r="DR53" i="4"/>
  <c r="DR41" i="4"/>
  <c r="DR34" i="4"/>
  <c r="DR42" i="4"/>
  <c r="DR51" i="4"/>
  <c r="DR21" i="4"/>
  <c r="DR22" i="4"/>
  <c r="DR32" i="4"/>
  <c r="DR31" i="4"/>
  <c r="DR12" i="4"/>
  <c r="DR11" i="4"/>
  <c r="DR20" i="4"/>
  <c r="DR40" i="4"/>
  <c r="DR9" i="4"/>
  <c r="DR30" i="4"/>
  <c r="DR10" i="4"/>
  <c r="DR37" i="4"/>
  <c r="DR49" i="4"/>
  <c r="DR28" i="4"/>
  <c r="DR18" i="4"/>
  <c r="DR19" i="4"/>
  <c r="DR8" i="4"/>
  <c r="DR26" i="4"/>
  <c r="DR17" i="4"/>
  <c r="DR48" i="4"/>
  <c r="DR35" i="4"/>
  <c r="DR58" i="4"/>
  <c r="DR46" i="4"/>
  <c r="DR50" i="4"/>
  <c r="DR59" i="4"/>
  <c r="DR29" i="4"/>
  <c r="DR45" i="4"/>
  <c r="DR16" i="4"/>
  <c r="DR55" i="4"/>
  <c r="DR38" i="4"/>
  <c r="DR47" i="4"/>
  <c r="DR15" i="4"/>
  <c r="DR57" i="4"/>
  <c r="DR25" i="4"/>
  <c r="DR36" i="4"/>
  <c r="DR56" i="4"/>
  <c r="DR39" i="4"/>
  <c r="DR27" i="4"/>
  <c r="DS6" i="4"/>
  <c r="DS5" i="4" l="1" a="1"/>
  <c r="DS5" i="4" s="1"/>
  <c r="DS7" i="4"/>
  <c r="DS33" i="4"/>
  <c r="DS24" i="4"/>
  <c r="DS54" i="4"/>
  <c r="DS53" i="4"/>
  <c r="DS34" i="4"/>
  <c r="DS14" i="4"/>
  <c r="DS13" i="4"/>
  <c r="DS52" i="4"/>
  <c r="DS51" i="4"/>
  <c r="DS43" i="4"/>
  <c r="DS23" i="4"/>
  <c r="DS44" i="4"/>
  <c r="DS22" i="4"/>
  <c r="DS30" i="4"/>
  <c r="DS50" i="4"/>
  <c r="DS32" i="4"/>
  <c r="DS41" i="4"/>
  <c r="DS42" i="4"/>
  <c r="DS11" i="4"/>
  <c r="DS20" i="4"/>
  <c r="DS39" i="4"/>
  <c r="DS40" i="4"/>
  <c r="DS9" i="4"/>
  <c r="DS31" i="4"/>
  <c r="DS48" i="4"/>
  <c r="DS36" i="4"/>
  <c r="DS49" i="4"/>
  <c r="DS8" i="4"/>
  <c r="DS12" i="4"/>
  <c r="DS21" i="4"/>
  <c r="DS58" i="4"/>
  <c r="DS28" i="4"/>
  <c r="DS18" i="4"/>
  <c r="DS56" i="4"/>
  <c r="DS29" i="4"/>
  <c r="DS37" i="4"/>
  <c r="DS16" i="4"/>
  <c r="DS27" i="4"/>
  <c r="DS17" i="4"/>
  <c r="DS45" i="4"/>
  <c r="DS35" i="4"/>
  <c r="DS38" i="4"/>
  <c r="DS55" i="4"/>
  <c r="DS26" i="4"/>
  <c r="DS15" i="4"/>
  <c r="DS59" i="4"/>
  <c r="DS19" i="4"/>
  <c r="DS47" i="4"/>
  <c r="DS10" i="4"/>
  <c r="DS57" i="4"/>
  <c r="DS25" i="4"/>
  <c r="DS46" i="4"/>
  <c r="DT6" i="4"/>
  <c r="DT5" i="4" l="1" a="1"/>
  <c r="DT5" i="4" s="1"/>
  <c r="DT7" i="4"/>
  <c r="DT34" i="4"/>
  <c r="DT44" i="4"/>
  <c r="DT24" i="4"/>
  <c r="DT14" i="4"/>
  <c r="DT54" i="4"/>
  <c r="DT52" i="4"/>
  <c r="DT23" i="4"/>
  <c r="DT22" i="4"/>
  <c r="DT43" i="4"/>
  <c r="DT42" i="4"/>
  <c r="DT51" i="4"/>
  <c r="DT53" i="4"/>
  <c r="DT13" i="4"/>
  <c r="DT33" i="4"/>
  <c r="DT40" i="4"/>
  <c r="DT32" i="4"/>
  <c r="DT12" i="4"/>
  <c r="DT41" i="4"/>
  <c r="DT50" i="4"/>
  <c r="DT11" i="4"/>
  <c r="DT10" i="4"/>
  <c r="DT21" i="4"/>
  <c r="DT59" i="4"/>
  <c r="DT49" i="4"/>
  <c r="DT48" i="4"/>
  <c r="DT38" i="4"/>
  <c r="DT30" i="4"/>
  <c r="DT20" i="4"/>
  <c r="DT9" i="4"/>
  <c r="DT39" i="4"/>
  <c r="DT29" i="4"/>
  <c r="DT19" i="4"/>
  <c r="DT57" i="4"/>
  <c r="DT17" i="4"/>
  <c r="DT47" i="4"/>
  <c r="DT56" i="4"/>
  <c r="DT46" i="4"/>
  <c r="DT36" i="4"/>
  <c r="DT55" i="4"/>
  <c r="DT31" i="4"/>
  <c r="DT28" i="4"/>
  <c r="DT26" i="4"/>
  <c r="DT25" i="4"/>
  <c r="DT45" i="4"/>
  <c r="DT16" i="4"/>
  <c r="DT18" i="4"/>
  <c r="DT8" i="4"/>
  <c r="DT27" i="4"/>
  <c r="DT58" i="4"/>
  <c r="DT37" i="4"/>
  <c r="DT35" i="4"/>
  <c r="DT15" i="4"/>
  <c r="DU6" i="4"/>
  <c r="DU5" i="4" l="1" a="1"/>
  <c r="DU5" i="4" s="1"/>
  <c r="DU7" i="4"/>
  <c r="DU44" i="4"/>
  <c r="DU34" i="4"/>
  <c r="DU54" i="4"/>
  <c r="DU43" i="4"/>
  <c r="DU42" i="4"/>
  <c r="DU24" i="4"/>
  <c r="DU13" i="4"/>
  <c r="DU52" i="4"/>
  <c r="DU14" i="4"/>
  <c r="DU12" i="4"/>
  <c r="DU53" i="4"/>
  <c r="DU23" i="4"/>
  <c r="DU33" i="4"/>
  <c r="DU31" i="4"/>
  <c r="DU50" i="4"/>
  <c r="DU32" i="4"/>
  <c r="DU21" i="4"/>
  <c r="DU51" i="4"/>
  <c r="DU30" i="4"/>
  <c r="DU49" i="4"/>
  <c r="DU20" i="4"/>
  <c r="DU22" i="4"/>
  <c r="DU11" i="4"/>
  <c r="DU41" i="4"/>
  <c r="DU59" i="4"/>
  <c r="DU10" i="4"/>
  <c r="DU19" i="4"/>
  <c r="DU9" i="4"/>
  <c r="DU39" i="4"/>
  <c r="DU29" i="4"/>
  <c r="DU38" i="4"/>
  <c r="DU8" i="4"/>
  <c r="DU58" i="4"/>
  <c r="DU55" i="4"/>
  <c r="DU45" i="4"/>
  <c r="DU15" i="4"/>
  <c r="DU25" i="4"/>
  <c r="DU46" i="4"/>
  <c r="DU36" i="4"/>
  <c r="DU48" i="4"/>
  <c r="DU57" i="4"/>
  <c r="DU28" i="4"/>
  <c r="DU27" i="4"/>
  <c r="DU37" i="4"/>
  <c r="DU18" i="4"/>
  <c r="DU56" i="4"/>
  <c r="DU16" i="4"/>
  <c r="DU47" i="4"/>
  <c r="DU26" i="4"/>
  <c r="DU35" i="4"/>
  <c r="DU40" i="4"/>
  <c r="DU17" i="4"/>
  <c r="DV6" i="4"/>
  <c r="DV7" i="4" l="1"/>
  <c r="DV5" i="4" a="1"/>
  <c r="DV5" i="4" s="1"/>
  <c r="DV34" i="4"/>
  <c r="DV54" i="4"/>
  <c r="DV24" i="4"/>
  <c r="DV14" i="4"/>
  <c r="DV43" i="4"/>
  <c r="DV52" i="4"/>
  <c r="DV32" i="4"/>
  <c r="DV51" i="4"/>
  <c r="DV53" i="4"/>
  <c r="DV13" i="4"/>
  <c r="DV33" i="4"/>
  <c r="DV44" i="4"/>
  <c r="DV23" i="4"/>
  <c r="DV40" i="4"/>
  <c r="DV11" i="4"/>
  <c r="DV42" i="4"/>
  <c r="DV12" i="4"/>
  <c r="DV10" i="4"/>
  <c r="DV21" i="4"/>
  <c r="DV50" i="4"/>
  <c r="DV22" i="4"/>
  <c r="DV59" i="4"/>
  <c r="DV28" i="4"/>
  <c r="DV39" i="4"/>
  <c r="DV58" i="4"/>
  <c r="DV57" i="4"/>
  <c r="DV47" i="4"/>
  <c r="DV26" i="4"/>
  <c r="DV29" i="4"/>
  <c r="DV18" i="4"/>
  <c r="DV41" i="4"/>
  <c r="DV31" i="4"/>
  <c r="DV30" i="4"/>
  <c r="DV19" i="4"/>
  <c r="DV9" i="4"/>
  <c r="DV16" i="4"/>
  <c r="DV49" i="4"/>
  <c r="DV38" i="4"/>
  <c r="DV8" i="4"/>
  <c r="DV27" i="4"/>
  <c r="DV25" i="4"/>
  <c r="DV20" i="4"/>
  <c r="DV56" i="4"/>
  <c r="DV17" i="4"/>
  <c r="DV48" i="4"/>
  <c r="DV37" i="4"/>
  <c r="DV46" i="4"/>
  <c r="DV35" i="4"/>
  <c r="DV55" i="4"/>
  <c r="DV36" i="4"/>
  <c r="DV45" i="4"/>
  <c r="DV15" i="4"/>
  <c r="DW6" i="4"/>
  <c r="DW5" i="4" l="1" a="1"/>
  <c r="DW5" i="4" s="1"/>
  <c r="DW7" i="4"/>
  <c r="DW33" i="4"/>
  <c r="DW54" i="4"/>
  <c r="DW24" i="4"/>
  <c r="DW14" i="4"/>
  <c r="DW34" i="4"/>
  <c r="DW53" i="4"/>
  <c r="DW13" i="4"/>
  <c r="DW22" i="4"/>
  <c r="DW41" i="4"/>
  <c r="DW23" i="4"/>
  <c r="DW52" i="4"/>
  <c r="DW44" i="4"/>
  <c r="DW43" i="4"/>
  <c r="DW51" i="4"/>
  <c r="DW31" i="4"/>
  <c r="DW11" i="4"/>
  <c r="DW50" i="4"/>
  <c r="DW49" i="4"/>
  <c r="DW10" i="4"/>
  <c r="DW59" i="4"/>
  <c r="DW20" i="4"/>
  <c r="DW42" i="4"/>
  <c r="DW32" i="4"/>
  <c r="DW29" i="4"/>
  <c r="DW48" i="4"/>
  <c r="DW18" i="4"/>
  <c r="DW40" i="4"/>
  <c r="DW8" i="4"/>
  <c r="DW38" i="4"/>
  <c r="DW57" i="4"/>
  <c r="DW16" i="4"/>
  <c r="DW39" i="4"/>
  <c r="DW37" i="4"/>
  <c r="DW55" i="4"/>
  <c r="DW30" i="4"/>
  <c r="DW28" i="4"/>
  <c r="DW12" i="4"/>
  <c r="DW21" i="4"/>
  <c r="DW9" i="4"/>
  <c r="DW19" i="4"/>
  <c r="DW27" i="4"/>
  <c r="DW26" i="4"/>
  <c r="DW35" i="4"/>
  <c r="DW15" i="4"/>
  <c r="DW58" i="4"/>
  <c r="DW47" i="4"/>
  <c r="DW56" i="4"/>
  <c r="DW46" i="4"/>
  <c r="DW36" i="4"/>
  <c r="DW45" i="4"/>
  <c r="DW25" i="4"/>
  <c r="DW17" i="4"/>
  <c r="DX6" i="4"/>
  <c r="DX5" i="4" l="1" a="1"/>
  <c r="DX5" i="4" s="1"/>
  <c r="DX7" i="4"/>
  <c r="DX43" i="4"/>
  <c r="DX44" i="4"/>
  <c r="DX34" i="4"/>
  <c r="DX53" i="4"/>
  <c r="DX54" i="4"/>
  <c r="DX24" i="4"/>
  <c r="DX51" i="4"/>
  <c r="DX33" i="4"/>
  <c r="DX13" i="4"/>
  <c r="DX42" i="4"/>
  <c r="DX22" i="4"/>
  <c r="DX23" i="4"/>
  <c r="DX14" i="4"/>
  <c r="DX52" i="4"/>
  <c r="DX41" i="4"/>
  <c r="DX59" i="4"/>
  <c r="DX32" i="4"/>
  <c r="DX11" i="4"/>
  <c r="DX31" i="4"/>
  <c r="DX21" i="4"/>
  <c r="DX30" i="4"/>
  <c r="DX38" i="4"/>
  <c r="DX39" i="4"/>
  <c r="DX10" i="4"/>
  <c r="DX9" i="4"/>
  <c r="DX20" i="4"/>
  <c r="DX28" i="4"/>
  <c r="DX58" i="4"/>
  <c r="DX49" i="4"/>
  <c r="DX17" i="4"/>
  <c r="DX56" i="4"/>
  <c r="DX45" i="4"/>
  <c r="DX15" i="4"/>
  <c r="DX50" i="4"/>
  <c r="DX40" i="4"/>
  <c r="DX55" i="4"/>
  <c r="DX12" i="4"/>
  <c r="DX16" i="4"/>
  <c r="DX35" i="4"/>
  <c r="DX57" i="4"/>
  <c r="DX18" i="4"/>
  <c r="DX48" i="4"/>
  <c r="DX8" i="4"/>
  <c r="DX29" i="4"/>
  <c r="DX46" i="4"/>
  <c r="DX27" i="4"/>
  <c r="DX36" i="4"/>
  <c r="DX19" i="4"/>
  <c r="DX37" i="4"/>
  <c r="DX47" i="4"/>
  <c r="DX25" i="4"/>
  <c r="DX26" i="4"/>
  <c r="DY6" i="4"/>
  <c r="DY7" i="4" l="1"/>
  <c r="DY5" i="4" a="1"/>
  <c r="DY5" i="4" s="1"/>
  <c r="DY24" i="4"/>
  <c r="DY14" i="4"/>
  <c r="DY43" i="4"/>
  <c r="DY54" i="4"/>
  <c r="DY44" i="4"/>
  <c r="DY13" i="4"/>
  <c r="DY41" i="4"/>
  <c r="DY32" i="4"/>
  <c r="DY33" i="4"/>
  <c r="DY23" i="4"/>
  <c r="DY51" i="4"/>
  <c r="DY53" i="4"/>
  <c r="DY52" i="4"/>
  <c r="DY42" i="4"/>
  <c r="DY34" i="4"/>
  <c r="DY22" i="4"/>
  <c r="DY50" i="4"/>
  <c r="DY12" i="4"/>
  <c r="DY30" i="4"/>
  <c r="DY11" i="4"/>
  <c r="DY49" i="4"/>
  <c r="DY39" i="4"/>
  <c r="DY9" i="4"/>
  <c r="DY21" i="4"/>
  <c r="DY58" i="4"/>
  <c r="DY40" i="4"/>
  <c r="DY10" i="4"/>
  <c r="DY56" i="4"/>
  <c r="DY48" i="4"/>
  <c r="DY17" i="4"/>
  <c r="DY47" i="4"/>
  <c r="DY27" i="4"/>
  <c r="DY31" i="4"/>
  <c r="DY20" i="4"/>
  <c r="DY8" i="4"/>
  <c r="DY59" i="4"/>
  <c r="DY28" i="4"/>
  <c r="DY18" i="4"/>
  <c r="DY57" i="4"/>
  <c r="DY36" i="4"/>
  <c r="DY25" i="4"/>
  <c r="DY29" i="4"/>
  <c r="DY37" i="4"/>
  <c r="DY46" i="4"/>
  <c r="DY16" i="4"/>
  <c r="DY45" i="4"/>
  <c r="DY38" i="4"/>
  <c r="DY19" i="4"/>
  <c r="DY35" i="4"/>
  <c r="DY55" i="4"/>
  <c r="DY26" i="4"/>
  <c r="DY15" i="4"/>
  <c r="DZ6" i="4"/>
  <c r="DZ7" i="4" l="1"/>
  <c r="DZ5" i="4" a="1"/>
  <c r="DZ5" i="4" s="1"/>
  <c r="DZ54" i="4"/>
  <c r="DZ24" i="4"/>
  <c r="DZ44" i="4"/>
  <c r="DZ53" i="4"/>
  <c r="DZ34" i="4"/>
  <c r="DZ52" i="4"/>
  <c r="DZ42" i="4"/>
  <c r="DZ14" i="4"/>
  <c r="DZ23" i="4"/>
  <c r="DZ13" i="4"/>
  <c r="DZ43" i="4"/>
  <c r="DZ33" i="4"/>
  <c r="DZ22" i="4"/>
  <c r="DZ51" i="4"/>
  <c r="DZ31" i="4"/>
  <c r="DZ11" i="4"/>
  <c r="DZ12" i="4"/>
  <c r="DZ21" i="4"/>
  <c r="DZ41" i="4"/>
  <c r="DZ50" i="4"/>
  <c r="DZ40" i="4"/>
  <c r="DZ19" i="4"/>
  <c r="DZ58" i="4"/>
  <c r="DZ39" i="4"/>
  <c r="DZ20" i="4"/>
  <c r="DZ29" i="4"/>
  <c r="DZ9" i="4"/>
  <c r="DZ32" i="4"/>
  <c r="DZ49" i="4"/>
  <c r="DZ27" i="4"/>
  <c r="DZ57" i="4"/>
  <c r="DZ30" i="4"/>
  <c r="DZ28" i="4"/>
  <c r="DZ37" i="4"/>
  <c r="DZ59" i="4"/>
  <c r="DZ18" i="4"/>
  <c r="DZ56" i="4"/>
  <c r="DZ46" i="4"/>
  <c r="DZ15" i="4"/>
  <c r="DZ17" i="4"/>
  <c r="DZ36" i="4"/>
  <c r="DZ55" i="4"/>
  <c r="DZ38" i="4"/>
  <c r="DZ45" i="4"/>
  <c r="DZ47" i="4"/>
  <c r="DZ25" i="4"/>
  <c r="DZ8" i="4"/>
  <c r="DZ10" i="4"/>
  <c r="DZ48" i="4"/>
  <c r="DZ35" i="4"/>
  <c r="DZ26" i="4"/>
  <c r="DZ16" i="4"/>
  <c r="EA6" i="4"/>
  <c r="EA7" i="4" l="1"/>
  <c r="EA5" i="4" a="1"/>
  <c r="EA5" i="4" s="1"/>
  <c r="EA54" i="4"/>
  <c r="EA34" i="4"/>
  <c r="EA43" i="4"/>
  <c r="EA44" i="4"/>
  <c r="EA33" i="4"/>
  <c r="EA52" i="4"/>
  <c r="EA24" i="4"/>
  <c r="EA14" i="4"/>
  <c r="EA53" i="4"/>
  <c r="EA23" i="4"/>
  <c r="EA42" i="4"/>
  <c r="EA13" i="4"/>
  <c r="EA12" i="4"/>
  <c r="EA50" i="4"/>
  <c r="EA10" i="4"/>
  <c r="EA49" i="4"/>
  <c r="EA32" i="4"/>
  <c r="EA22" i="4"/>
  <c r="EA31" i="4"/>
  <c r="EA51" i="4"/>
  <c r="EA29" i="4"/>
  <c r="EA11" i="4"/>
  <c r="EA40" i="4"/>
  <c r="EA19" i="4"/>
  <c r="EA9" i="4"/>
  <c r="EA39" i="4"/>
  <c r="EA58" i="4"/>
  <c r="EA28" i="4"/>
  <c r="EA18" i="4"/>
  <c r="EA8" i="4"/>
  <c r="EA47" i="4"/>
  <c r="EA59" i="4"/>
  <c r="EA48" i="4"/>
  <c r="EA38" i="4"/>
  <c r="EA57" i="4"/>
  <c r="EA21" i="4"/>
  <c r="EA30" i="4"/>
  <c r="EA45" i="4"/>
  <c r="EA35" i="4"/>
  <c r="EA46" i="4"/>
  <c r="EA55" i="4"/>
  <c r="EA41" i="4"/>
  <c r="EA56" i="4"/>
  <c r="EA36" i="4"/>
  <c r="EA20" i="4"/>
  <c r="EA27" i="4"/>
  <c r="EA16" i="4"/>
  <c r="EA25" i="4"/>
  <c r="EA26" i="4"/>
  <c r="EA37" i="4"/>
  <c r="EA17" i="4"/>
  <c r="EA15" i="4"/>
  <c r="EB6" i="4"/>
  <c r="EB7" i="4" l="1"/>
  <c r="EB5" i="4" a="1"/>
  <c r="EB5" i="4" s="1"/>
  <c r="EB34" i="4"/>
  <c r="EB24" i="4"/>
  <c r="EB14" i="4"/>
  <c r="EB44" i="4"/>
  <c r="EB54" i="4"/>
  <c r="EB43" i="4"/>
  <c r="EB52" i="4"/>
  <c r="EB22" i="4"/>
  <c r="EB12" i="4"/>
  <c r="EB13" i="4"/>
  <c r="EB33" i="4"/>
  <c r="EB53" i="4"/>
  <c r="EB23" i="4"/>
  <c r="EB42" i="4"/>
  <c r="EB41" i="4"/>
  <c r="EB32" i="4"/>
  <c r="EB49" i="4"/>
  <c r="EB39" i="4"/>
  <c r="EB51" i="4"/>
  <c r="EB10" i="4"/>
  <c r="EB21" i="4"/>
  <c r="EB50" i="4"/>
  <c r="EB11" i="4"/>
  <c r="EB40" i="4"/>
  <c r="EB9" i="4"/>
  <c r="EB31" i="4"/>
  <c r="EB20" i="4"/>
  <c r="EB59" i="4"/>
  <c r="EB19" i="4"/>
  <c r="EB58" i="4"/>
  <c r="EB56" i="4"/>
  <c r="EB30" i="4"/>
  <c r="EB57" i="4"/>
  <c r="EB17" i="4"/>
  <c r="EB37" i="4"/>
  <c r="EB27" i="4"/>
  <c r="EB8" i="4"/>
  <c r="EB16" i="4"/>
  <c r="EB29" i="4"/>
  <c r="EB38" i="4"/>
  <c r="EB47" i="4"/>
  <c r="EB46" i="4"/>
  <c r="EB36" i="4"/>
  <c r="EB15" i="4"/>
  <c r="EB26" i="4"/>
  <c r="EB18" i="4"/>
  <c r="EB48" i="4"/>
  <c r="EB28" i="4"/>
  <c r="EB25" i="4"/>
  <c r="EB55" i="4"/>
  <c r="EB45" i="4"/>
  <c r="EB35" i="4"/>
  <c r="EC6" i="4"/>
  <c r="EC5" i="4" l="1" a="1"/>
  <c r="EC5" i="4" s="1"/>
  <c r="EC7" i="4"/>
  <c r="EC43" i="4"/>
  <c r="EC44" i="4"/>
  <c r="EC54" i="4"/>
  <c r="EC41" i="4"/>
  <c r="EC34" i="4"/>
  <c r="EC53" i="4"/>
  <c r="EC52" i="4"/>
  <c r="EC42" i="4"/>
  <c r="EC32" i="4"/>
  <c r="EC33" i="4"/>
  <c r="EC13" i="4"/>
  <c r="EC24" i="4"/>
  <c r="EC23" i="4"/>
  <c r="EC14" i="4"/>
  <c r="EC11" i="4"/>
  <c r="EC21" i="4"/>
  <c r="EC51" i="4"/>
  <c r="EC29" i="4"/>
  <c r="EC30" i="4"/>
  <c r="EC22" i="4"/>
  <c r="EC50" i="4"/>
  <c r="EC59" i="4"/>
  <c r="EC12" i="4"/>
  <c r="EC40" i="4"/>
  <c r="EC38" i="4"/>
  <c r="EC19" i="4"/>
  <c r="EC10" i="4"/>
  <c r="EC58" i="4"/>
  <c r="EC9" i="4"/>
  <c r="EC31" i="4"/>
  <c r="EC49" i="4"/>
  <c r="EC37" i="4"/>
  <c r="EC48" i="4"/>
  <c r="EC55" i="4"/>
  <c r="EC26" i="4"/>
  <c r="EC35" i="4"/>
  <c r="EC17" i="4"/>
  <c r="EC8" i="4"/>
  <c r="EC56" i="4"/>
  <c r="EC16" i="4"/>
  <c r="EC28" i="4"/>
  <c r="EC20" i="4"/>
  <c r="EC39" i="4"/>
  <c r="EC47" i="4"/>
  <c r="EC18" i="4"/>
  <c r="EC57" i="4"/>
  <c r="EC36" i="4"/>
  <c r="EC15" i="4"/>
  <c r="EC45" i="4"/>
  <c r="EC27" i="4"/>
  <c r="EC25" i="4"/>
  <c r="EC46" i="4"/>
  <c r="ED6" i="4"/>
  <c r="ED5" i="4" l="1" a="1"/>
  <c r="ED5" i="4" s="1"/>
  <c r="ED7" i="4"/>
  <c r="ED24" i="4"/>
  <c r="ED54" i="4"/>
  <c r="ED34" i="4"/>
  <c r="ED44" i="4"/>
  <c r="ED53" i="4"/>
  <c r="ED23" i="4"/>
  <c r="ED43" i="4"/>
  <c r="ED13" i="4"/>
  <c r="ED14" i="4"/>
  <c r="ED52" i="4"/>
  <c r="ED42" i="4"/>
  <c r="ED33" i="4"/>
  <c r="ED51" i="4"/>
  <c r="ED31" i="4"/>
  <c r="ED11" i="4"/>
  <c r="ED40" i="4"/>
  <c r="ED50" i="4"/>
  <c r="ED32" i="4"/>
  <c r="ED12" i="4"/>
  <c r="ED39" i="4"/>
  <c r="ED21" i="4"/>
  <c r="ED20" i="4"/>
  <c r="ED22" i="4"/>
  <c r="ED41" i="4"/>
  <c r="ED30" i="4"/>
  <c r="ED10" i="4"/>
  <c r="ED49" i="4"/>
  <c r="ED58" i="4"/>
  <c r="ED28" i="4"/>
  <c r="ED18" i="4"/>
  <c r="ED57" i="4"/>
  <c r="ED38" i="4"/>
  <c r="ED59" i="4"/>
  <c r="ED48" i="4"/>
  <c r="ED19" i="4"/>
  <c r="ED56" i="4"/>
  <c r="ED46" i="4"/>
  <c r="ED36" i="4"/>
  <c r="ED15" i="4"/>
  <c r="ED25" i="4"/>
  <c r="ED47" i="4"/>
  <c r="ED37" i="4"/>
  <c r="ED27" i="4"/>
  <c r="ED16" i="4"/>
  <c r="ED45" i="4"/>
  <c r="ED35" i="4"/>
  <c r="ED17" i="4"/>
  <c r="ED29" i="4"/>
  <c r="ED9" i="4"/>
  <c r="ED26" i="4"/>
  <c r="ED8" i="4"/>
  <c r="ED55" i="4"/>
  <c r="EE6" i="4"/>
  <c r="EE5" i="4" l="1" a="1"/>
  <c r="EE5" i="4" s="1"/>
  <c r="EE7" i="4"/>
  <c r="EE33" i="4"/>
  <c r="EE23" i="4"/>
  <c r="EE44" i="4"/>
  <c r="EE24" i="4"/>
  <c r="EE53" i="4"/>
  <c r="EE54" i="4"/>
  <c r="EE34" i="4"/>
  <c r="EE42" i="4"/>
  <c r="EE43" i="4"/>
  <c r="EE13" i="4"/>
  <c r="EE14" i="4"/>
  <c r="EE52" i="4"/>
  <c r="EE11" i="4"/>
  <c r="EE40" i="4"/>
  <c r="EE32" i="4"/>
  <c r="EE12" i="4"/>
  <c r="EE51" i="4"/>
  <c r="EE41" i="4"/>
  <c r="EE30" i="4"/>
  <c r="EE20" i="4"/>
  <c r="EE22" i="4"/>
  <c r="EE21" i="4"/>
  <c r="EE50" i="4"/>
  <c r="EE9" i="4"/>
  <c r="EE19" i="4"/>
  <c r="EE46" i="4"/>
  <c r="EE26" i="4"/>
  <c r="EE49" i="4"/>
  <c r="EE39" i="4"/>
  <c r="EE29" i="4"/>
  <c r="EE48" i="4"/>
  <c r="EE8" i="4"/>
  <c r="EE10" i="4"/>
  <c r="EE58" i="4"/>
  <c r="EE47" i="4"/>
  <c r="EE38" i="4"/>
  <c r="EE28" i="4"/>
  <c r="EE55" i="4"/>
  <c r="EE45" i="4"/>
  <c r="EE17" i="4"/>
  <c r="EE31" i="4"/>
  <c r="EE59" i="4"/>
  <c r="EE36" i="4"/>
  <c r="EE16" i="4"/>
  <c r="EE57" i="4"/>
  <c r="EE56" i="4"/>
  <c r="EE37" i="4"/>
  <c r="EE18" i="4"/>
  <c r="EE15" i="4"/>
  <c r="EE27" i="4"/>
  <c r="EE25" i="4"/>
  <c r="EE35" i="4"/>
  <c r="EF6" i="4"/>
  <c r="EF7" i="4" l="1"/>
  <c r="EF5" i="4" a="1"/>
  <c r="EF5" i="4" s="1"/>
  <c r="EF14" i="4"/>
  <c r="EF34" i="4"/>
  <c r="EF44" i="4"/>
  <c r="EF24" i="4"/>
  <c r="EF54" i="4"/>
  <c r="EF33" i="4"/>
  <c r="EF53" i="4"/>
  <c r="EF43" i="4"/>
  <c r="EF13" i="4"/>
  <c r="EF23" i="4"/>
  <c r="EF52" i="4"/>
  <c r="EF42" i="4"/>
  <c r="EF51" i="4"/>
  <c r="EF31" i="4"/>
  <c r="EF32" i="4"/>
  <c r="EF22" i="4"/>
  <c r="EF41" i="4"/>
  <c r="EF50" i="4"/>
  <c r="EF11" i="4"/>
  <c r="EF49" i="4"/>
  <c r="EF9" i="4"/>
  <c r="EF40" i="4"/>
  <c r="EF59" i="4"/>
  <c r="EF30" i="4"/>
  <c r="EF39" i="4"/>
  <c r="EF29" i="4"/>
  <c r="EF19" i="4"/>
  <c r="EF12" i="4"/>
  <c r="EF38" i="4"/>
  <c r="EF8" i="4"/>
  <c r="EF20" i="4"/>
  <c r="EF58" i="4"/>
  <c r="EF57" i="4"/>
  <c r="EF17" i="4"/>
  <c r="EF46" i="4"/>
  <c r="EF36" i="4"/>
  <c r="EF25" i="4"/>
  <c r="EF28" i="4"/>
  <c r="EF21" i="4"/>
  <c r="EF37" i="4"/>
  <c r="EF56" i="4"/>
  <c r="EF47" i="4"/>
  <c r="EF45" i="4"/>
  <c r="EF35" i="4"/>
  <c r="EF16" i="4"/>
  <c r="EF18" i="4"/>
  <c r="EF48" i="4"/>
  <c r="EF10" i="4"/>
  <c r="EF26" i="4"/>
  <c r="EF27" i="4"/>
  <c r="EF15" i="4"/>
  <c r="EF55" i="4"/>
  <c r="EG6" i="4"/>
  <c r="EG7" i="4" l="1"/>
  <c r="EG5" i="4" a="1"/>
  <c r="EG5" i="4" s="1"/>
  <c r="EG44" i="4"/>
  <c r="EG14" i="4"/>
  <c r="EG54" i="4"/>
  <c r="EG34" i="4"/>
  <c r="EG53" i="4"/>
  <c r="EG33" i="4"/>
  <c r="EG13" i="4"/>
  <c r="EG23" i="4"/>
  <c r="EG24" i="4"/>
  <c r="EG22" i="4"/>
  <c r="EG32" i="4"/>
  <c r="EG51" i="4"/>
  <c r="EG43" i="4"/>
  <c r="EG52" i="4"/>
  <c r="EG11" i="4"/>
  <c r="EG50" i="4"/>
  <c r="EG41" i="4"/>
  <c r="EG10" i="4"/>
  <c r="EG40" i="4"/>
  <c r="EG58" i="4"/>
  <c r="EG30" i="4"/>
  <c r="EG20" i="4"/>
  <c r="EG59" i="4"/>
  <c r="EG39" i="4"/>
  <c r="EG9" i="4"/>
  <c r="EG12" i="4"/>
  <c r="EG57" i="4"/>
  <c r="EG49" i="4"/>
  <c r="EG18" i="4"/>
  <c r="EG17" i="4"/>
  <c r="EG42" i="4"/>
  <c r="EG21" i="4"/>
  <c r="EG28" i="4"/>
  <c r="EG27" i="4"/>
  <c r="EG45" i="4"/>
  <c r="EG56" i="4"/>
  <c r="EG29" i="4"/>
  <c r="EG35" i="4"/>
  <c r="EG15" i="4"/>
  <c r="EG19" i="4"/>
  <c r="EG48" i="4"/>
  <c r="EG25" i="4"/>
  <c r="EG46" i="4"/>
  <c r="EG37" i="4"/>
  <c r="EG47" i="4"/>
  <c r="EG31" i="4"/>
  <c r="EG8" i="4"/>
  <c r="EG38" i="4"/>
  <c r="EG26" i="4"/>
  <c r="EG16" i="4"/>
  <c r="EG55" i="4"/>
  <c r="EG36" i="4"/>
  <c r="EH6" i="4"/>
  <c r="EH5" i="4" l="1" a="1"/>
  <c r="EH5" i="4" s="1"/>
  <c r="EH7" i="4"/>
  <c r="EH24" i="4"/>
  <c r="EH34" i="4"/>
  <c r="EH54" i="4"/>
  <c r="EH13" i="4"/>
  <c r="EH52" i="4"/>
  <c r="EH32" i="4"/>
  <c r="EH43" i="4"/>
  <c r="EH23" i="4"/>
  <c r="EH44" i="4"/>
  <c r="EH42" i="4"/>
  <c r="EH51" i="4"/>
  <c r="EH53" i="4"/>
  <c r="EH33" i="4"/>
  <c r="EH14" i="4"/>
  <c r="EH31" i="4"/>
  <c r="EH22" i="4"/>
  <c r="EH40" i="4"/>
  <c r="EH41" i="4"/>
  <c r="EH21" i="4"/>
  <c r="EH20" i="4"/>
  <c r="EH10" i="4"/>
  <c r="EH59" i="4"/>
  <c r="EH12" i="4"/>
  <c r="EH29" i="4"/>
  <c r="EH19" i="4"/>
  <c r="EH9" i="4"/>
  <c r="EH58" i="4"/>
  <c r="EH30" i="4"/>
  <c r="EH8" i="4"/>
  <c r="EH47" i="4"/>
  <c r="EH48" i="4"/>
  <c r="EH27" i="4"/>
  <c r="EH28" i="4"/>
  <c r="EH17" i="4"/>
  <c r="EH16" i="4"/>
  <c r="EH55" i="4"/>
  <c r="EH38" i="4"/>
  <c r="EH49" i="4"/>
  <c r="EH46" i="4"/>
  <c r="EH39" i="4"/>
  <c r="EH50" i="4"/>
  <c r="EH57" i="4"/>
  <c r="EH25" i="4"/>
  <c r="EH56" i="4"/>
  <c r="EH26" i="4"/>
  <c r="EH15" i="4"/>
  <c r="EH18" i="4"/>
  <c r="EH11" i="4"/>
  <c r="EH35" i="4"/>
  <c r="EH36" i="4"/>
  <c r="EH37" i="4"/>
  <c r="EH45" i="4"/>
  <c r="EI6" i="4"/>
  <c r="EI7" i="4" l="1"/>
  <c r="EI5" i="4" a="1"/>
  <c r="EI5" i="4" s="1"/>
  <c r="EI54" i="4"/>
  <c r="EI44" i="4"/>
  <c r="EI34" i="4"/>
  <c r="EI24" i="4"/>
  <c r="EI43" i="4"/>
  <c r="EI52" i="4"/>
  <c r="EI33" i="4"/>
  <c r="EI32" i="4"/>
  <c r="EI14" i="4"/>
  <c r="EI13" i="4"/>
  <c r="EI42" i="4"/>
  <c r="EI53" i="4"/>
  <c r="EI23" i="4"/>
  <c r="EI22" i="4"/>
  <c r="EI51" i="4"/>
  <c r="EI50" i="4"/>
  <c r="EI41" i="4"/>
  <c r="EI31" i="4"/>
  <c r="EI12" i="4"/>
  <c r="EI49" i="4"/>
  <c r="EI21" i="4"/>
  <c r="EI11" i="4"/>
  <c r="EI19" i="4"/>
  <c r="EI9" i="4"/>
  <c r="EI20" i="4"/>
  <c r="EI10" i="4"/>
  <c r="EI48" i="4"/>
  <c r="EI40" i="4"/>
  <c r="EI58" i="4"/>
  <c r="EI17" i="4"/>
  <c r="EI28" i="4"/>
  <c r="EI35" i="4"/>
  <c r="EI29" i="4"/>
  <c r="EI8" i="4"/>
  <c r="EI39" i="4"/>
  <c r="EI16" i="4"/>
  <c r="EI55" i="4"/>
  <c r="EI37" i="4"/>
  <c r="EI27" i="4"/>
  <c r="EI46" i="4"/>
  <c r="EI18" i="4"/>
  <c r="EI36" i="4"/>
  <c r="EI57" i="4"/>
  <c r="EI47" i="4"/>
  <c r="EI26" i="4"/>
  <c r="EI30" i="4"/>
  <c r="EI38" i="4"/>
  <c r="EI59" i="4"/>
  <c r="EI45" i="4"/>
  <c r="EI56" i="4"/>
  <c r="EI25" i="4"/>
  <c r="EI15" i="4"/>
  <c r="EJ6" i="4"/>
  <c r="EJ7" i="4" l="1"/>
  <c r="EJ5" i="4" a="1"/>
  <c r="EJ5" i="4" s="1"/>
  <c r="EJ44" i="4"/>
  <c r="EJ43" i="4"/>
  <c r="EJ34" i="4"/>
  <c r="EJ54" i="4"/>
  <c r="EJ24" i="4"/>
  <c r="EJ13" i="4"/>
  <c r="EJ42" i="4"/>
  <c r="EJ14" i="4"/>
  <c r="EJ33" i="4"/>
  <c r="EJ51" i="4"/>
  <c r="EJ52" i="4"/>
  <c r="EJ22" i="4"/>
  <c r="EJ53" i="4"/>
  <c r="EJ23" i="4"/>
  <c r="EJ11" i="4"/>
  <c r="EJ40" i="4"/>
  <c r="EJ41" i="4"/>
  <c r="EJ30" i="4"/>
  <c r="EJ29" i="4"/>
  <c r="EJ50" i="4"/>
  <c r="EJ20" i="4"/>
  <c r="EJ21" i="4"/>
  <c r="EJ31" i="4"/>
  <c r="EJ59" i="4"/>
  <c r="EJ58" i="4"/>
  <c r="EJ39" i="4"/>
  <c r="EJ9" i="4"/>
  <c r="EJ38" i="4"/>
  <c r="EJ48" i="4"/>
  <c r="EJ32" i="4"/>
  <c r="EJ49" i="4"/>
  <c r="EJ28" i="4"/>
  <c r="EJ18" i="4"/>
  <c r="EJ27" i="4"/>
  <c r="EJ10" i="4"/>
  <c r="EJ47" i="4"/>
  <c r="EJ17" i="4"/>
  <c r="EJ37" i="4"/>
  <c r="EJ26" i="4"/>
  <c r="EJ56" i="4"/>
  <c r="EJ16" i="4"/>
  <c r="EJ45" i="4"/>
  <c r="EJ12" i="4"/>
  <c r="EJ8" i="4"/>
  <c r="EJ25" i="4"/>
  <c r="EJ35" i="4"/>
  <c r="EJ46" i="4"/>
  <c r="EJ19" i="4"/>
  <c r="EJ57" i="4"/>
  <c r="EJ36" i="4"/>
  <c r="EJ15" i="4"/>
  <c r="EJ55" i="4"/>
  <c r="EK6" i="4"/>
  <c r="EK7" i="4" l="1"/>
  <c r="EK5" i="4" a="1"/>
  <c r="EK5" i="4" s="1"/>
  <c r="EK14" i="4"/>
  <c r="EK53" i="4"/>
  <c r="EK24" i="4"/>
  <c r="EK44" i="4"/>
  <c r="EK43" i="4"/>
  <c r="EK54" i="4"/>
  <c r="EK34" i="4"/>
  <c r="EK33" i="4"/>
  <c r="EK32" i="4"/>
  <c r="EK52" i="4"/>
  <c r="EK51" i="4"/>
  <c r="EK12" i="4"/>
  <c r="EK23" i="4"/>
  <c r="EK13" i="4"/>
  <c r="EK31" i="4"/>
  <c r="EK30" i="4"/>
  <c r="EK41" i="4"/>
  <c r="EK11" i="4"/>
  <c r="EK59" i="4"/>
  <c r="EK42" i="4"/>
  <c r="EK40" i="4"/>
  <c r="EK10" i="4"/>
  <c r="EK19" i="4"/>
  <c r="EK39" i="4"/>
  <c r="EK22" i="4"/>
  <c r="EK50" i="4"/>
  <c r="EK21" i="4"/>
  <c r="EK49" i="4"/>
  <c r="EK57" i="4"/>
  <c r="EK37" i="4"/>
  <c r="EK9" i="4"/>
  <c r="EK8" i="4"/>
  <c r="EK29" i="4"/>
  <c r="EK38" i="4"/>
  <c r="EK47" i="4"/>
  <c r="EK46" i="4"/>
  <c r="EK36" i="4"/>
  <c r="EK16" i="4"/>
  <c r="EK58" i="4"/>
  <c r="EK48" i="4"/>
  <c r="EK28" i="4"/>
  <c r="EK18" i="4"/>
  <c r="EK56" i="4"/>
  <c r="EK35" i="4"/>
  <c r="EK45" i="4"/>
  <c r="EK20" i="4"/>
  <c r="EK27" i="4"/>
  <c r="EK17" i="4"/>
  <c r="EK55" i="4"/>
  <c r="EK15" i="4"/>
  <c r="EK25" i="4"/>
  <c r="EK26" i="4"/>
  <c r="EL6" i="4"/>
  <c r="EL7" i="4" l="1"/>
  <c r="EL5" i="4" a="1"/>
  <c r="EL5" i="4" s="1"/>
  <c r="EL54" i="4"/>
  <c r="EL24" i="4"/>
  <c r="EL53" i="4"/>
  <c r="EL44" i="4"/>
  <c r="EL42" i="4"/>
  <c r="EL12" i="4"/>
  <c r="EL51" i="4"/>
  <c r="EL23" i="4"/>
  <c r="EL13" i="4"/>
  <c r="EL43" i="4"/>
  <c r="EL34" i="4"/>
  <c r="EL14" i="4"/>
  <c r="EL33" i="4"/>
  <c r="EL52" i="4"/>
  <c r="EL22" i="4"/>
  <c r="EL41" i="4"/>
  <c r="EL50" i="4"/>
  <c r="EL40" i="4"/>
  <c r="EL21" i="4"/>
  <c r="EL11" i="4"/>
  <c r="EL20" i="4"/>
  <c r="EL29" i="4"/>
  <c r="EL32" i="4"/>
  <c r="EL31" i="4"/>
  <c r="EL19" i="4"/>
  <c r="EL9" i="4"/>
  <c r="EL49" i="4"/>
  <c r="EL30" i="4"/>
  <c r="EL28" i="4"/>
  <c r="EL57" i="4"/>
  <c r="EL46" i="4"/>
  <c r="EL18" i="4"/>
  <c r="EL8" i="4"/>
  <c r="EL55" i="4"/>
  <c r="EL39" i="4"/>
  <c r="EL59" i="4"/>
  <c r="EL35" i="4"/>
  <c r="EL47" i="4"/>
  <c r="EL56" i="4"/>
  <c r="EL36" i="4"/>
  <c r="EL45" i="4"/>
  <c r="EL25" i="4"/>
  <c r="EL27" i="4"/>
  <c r="EL38" i="4"/>
  <c r="EL26" i="4"/>
  <c r="EL17" i="4"/>
  <c r="EL58" i="4"/>
  <c r="EL48" i="4"/>
  <c r="EL37" i="4"/>
  <c r="EL16" i="4"/>
  <c r="EL15" i="4"/>
  <c r="EL10" i="4"/>
  <c r="EM6" i="4"/>
  <c r="EM5" i="4" l="1" a="1"/>
  <c r="EM5" i="4" s="1"/>
  <c r="EM7" i="4"/>
  <c r="EM23" i="4"/>
  <c r="EM14" i="4"/>
  <c r="EM54" i="4"/>
  <c r="EM53" i="4"/>
  <c r="EM43" i="4"/>
  <c r="EM33" i="4"/>
  <c r="EM34" i="4"/>
  <c r="EM13" i="4"/>
  <c r="EM12" i="4"/>
  <c r="EM24" i="4"/>
  <c r="EM44" i="4"/>
  <c r="EM52" i="4"/>
  <c r="EM22" i="4"/>
  <c r="EM51" i="4"/>
  <c r="EM32" i="4"/>
  <c r="EM21" i="4"/>
  <c r="EM29" i="4"/>
  <c r="EM20" i="4"/>
  <c r="EM11" i="4"/>
  <c r="EM41" i="4"/>
  <c r="EM50" i="4"/>
  <c r="EM9" i="4"/>
  <c r="EM58" i="4"/>
  <c r="EM40" i="4"/>
  <c r="EM49" i="4"/>
  <c r="EM42" i="4"/>
  <c r="EM10" i="4"/>
  <c r="EM37" i="4"/>
  <c r="EM19" i="4"/>
  <c r="EM8" i="4"/>
  <c r="EM31" i="4"/>
  <c r="EM39" i="4"/>
  <c r="EM28" i="4"/>
  <c r="EM18" i="4"/>
  <c r="EM27" i="4"/>
  <c r="EM56" i="4"/>
  <c r="EM48" i="4"/>
  <c r="EM30" i="4"/>
  <c r="EM16" i="4"/>
  <c r="EM45" i="4"/>
  <c r="EM57" i="4"/>
  <c r="EM59" i="4"/>
  <c r="EM26" i="4"/>
  <c r="EM47" i="4"/>
  <c r="EM17" i="4"/>
  <c r="EM55" i="4"/>
  <c r="EM25" i="4"/>
  <c r="EM36" i="4"/>
  <c r="EM15" i="4"/>
  <c r="EM35" i="4"/>
  <c r="EM38" i="4"/>
  <c r="EM46" i="4"/>
  <c r="EN6" i="4"/>
  <c r="EN5" i="4" l="1" a="1"/>
  <c r="EN5" i="4" s="1"/>
  <c r="EN7" i="4"/>
  <c r="EN54" i="4"/>
  <c r="EN24" i="4"/>
  <c r="EN14" i="4"/>
  <c r="EN34" i="4"/>
  <c r="EN43" i="4"/>
  <c r="EN23" i="4"/>
  <c r="EN33" i="4"/>
  <c r="EN44" i="4"/>
  <c r="EN52" i="4"/>
  <c r="EN53" i="4"/>
  <c r="EN13" i="4"/>
  <c r="EN51" i="4"/>
  <c r="EN50" i="4"/>
  <c r="EN11" i="4"/>
  <c r="EN40" i="4"/>
  <c r="EN22" i="4"/>
  <c r="EN21" i="4"/>
  <c r="EN59" i="4"/>
  <c r="EN42" i="4"/>
  <c r="EN10" i="4"/>
  <c r="EN32" i="4"/>
  <c r="EN41" i="4"/>
  <c r="EN31" i="4"/>
  <c r="EN20" i="4"/>
  <c r="EN49" i="4"/>
  <c r="EN9" i="4"/>
  <c r="EN39" i="4"/>
  <c r="EN36" i="4"/>
  <c r="EN30" i="4"/>
  <c r="EN19" i="4"/>
  <c r="EN57" i="4"/>
  <c r="EN47" i="4"/>
  <c r="EN27" i="4"/>
  <c r="EN35" i="4"/>
  <c r="EN58" i="4"/>
  <c r="EN37" i="4"/>
  <c r="EN56" i="4"/>
  <c r="EN46" i="4"/>
  <c r="EN26" i="4"/>
  <c r="EN12" i="4"/>
  <c r="EN28" i="4"/>
  <c r="EN48" i="4"/>
  <c r="EN38" i="4"/>
  <c r="EN29" i="4"/>
  <c r="EN45" i="4"/>
  <c r="EN16" i="4"/>
  <c r="EN18" i="4"/>
  <c r="EN8" i="4"/>
  <c r="EN55" i="4"/>
  <c r="EN17" i="4"/>
  <c r="EN25" i="4"/>
  <c r="EN15" i="4"/>
  <c r="EO6" i="4"/>
  <c r="EO5" i="4" l="1" a="1"/>
  <c r="EO5" i="4" s="1"/>
  <c r="EO7" i="4"/>
  <c r="EO44" i="4"/>
  <c r="EO34" i="4"/>
  <c r="EO54" i="4"/>
  <c r="EO14" i="4"/>
  <c r="EO43" i="4"/>
  <c r="EO24" i="4"/>
  <c r="EO52" i="4"/>
  <c r="EO42" i="4"/>
  <c r="EO33" i="4"/>
  <c r="EO13" i="4"/>
  <c r="EO53" i="4"/>
  <c r="EO23" i="4"/>
  <c r="EO31" i="4"/>
  <c r="EO21" i="4"/>
  <c r="EO22" i="4"/>
  <c r="EO41" i="4"/>
  <c r="EO11" i="4"/>
  <c r="EO32" i="4"/>
  <c r="EO30" i="4"/>
  <c r="EO10" i="4"/>
  <c r="EO12" i="4"/>
  <c r="EO50" i="4"/>
  <c r="EO40" i="4"/>
  <c r="EO48" i="4"/>
  <c r="EO51" i="4"/>
  <c r="EO49" i="4"/>
  <c r="EO19" i="4"/>
  <c r="EO39" i="4"/>
  <c r="EO38" i="4"/>
  <c r="EO20" i="4"/>
  <c r="EO29" i="4"/>
  <c r="EO58" i="4"/>
  <c r="EO8" i="4"/>
  <c r="EO47" i="4"/>
  <c r="EO16" i="4"/>
  <c r="EO59" i="4"/>
  <c r="EO55" i="4"/>
  <c r="EO45" i="4"/>
  <c r="EO17" i="4"/>
  <c r="EO25" i="4"/>
  <c r="EO18" i="4"/>
  <c r="EO36" i="4"/>
  <c r="EO15" i="4"/>
  <c r="EO56" i="4"/>
  <c r="EO27" i="4"/>
  <c r="EO57" i="4"/>
  <c r="EO46" i="4"/>
  <c r="EO28" i="4"/>
  <c r="EO9" i="4"/>
  <c r="EO37" i="4"/>
  <c r="EO26" i="4"/>
  <c r="EO35" i="4"/>
  <c r="EP6" i="4"/>
  <c r="EP7" i="4" l="1"/>
  <c r="EP5" i="4" a="1"/>
  <c r="EP5" i="4" s="1"/>
  <c r="EP54" i="4"/>
  <c r="EP24" i="4"/>
  <c r="EP44" i="4"/>
  <c r="EP34" i="4"/>
  <c r="EP53" i="4"/>
  <c r="EP23" i="4"/>
  <c r="EP12" i="4"/>
  <c r="EP43" i="4"/>
  <c r="EP32" i="4"/>
  <c r="EP14" i="4"/>
  <c r="EP33" i="4"/>
  <c r="EP13" i="4"/>
  <c r="EP52" i="4"/>
  <c r="EP22" i="4"/>
  <c r="EP50" i="4"/>
  <c r="EP30" i="4"/>
  <c r="EP42" i="4"/>
  <c r="EP21" i="4"/>
  <c r="EP40" i="4"/>
  <c r="EP49" i="4"/>
  <c r="EP51" i="4"/>
  <c r="EP10" i="4"/>
  <c r="EP11" i="4"/>
  <c r="EP29" i="4"/>
  <c r="EP19" i="4"/>
  <c r="EP41" i="4"/>
  <c r="EP9" i="4"/>
  <c r="EP20" i="4"/>
  <c r="EP59" i="4"/>
  <c r="EP58" i="4"/>
  <c r="EP38" i="4"/>
  <c r="EP18" i="4"/>
  <c r="EP31" i="4"/>
  <c r="EP39" i="4"/>
  <c r="EP48" i="4"/>
  <c r="EP36" i="4"/>
  <c r="EP26" i="4"/>
  <c r="EP15" i="4"/>
  <c r="EP27" i="4"/>
  <c r="EP16" i="4"/>
  <c r="EP28" i="4"/>
  <c r="EP56" i="4"/>
  <c r="EP37" i="4"/>
  <c r="EP55" i="4"/>
  <c r="EP35" i="4"/>
  <c r="EP46" i="4"/>
  <c r="EP57" i="4"/>
  <c r="EP17" i="4"/>
  <c r="EP8" i="4"/>
  <c r="EP47" i="4"/>
  <c r="EP25" i="4"/>
  <c r="EP45" i="4"/>
  <c r="EQ6" i="4"/>
  <c r="EQ7" i="4" l="1"/>
  <c r="EQ5" i="4" a="1"/>
  <c r="EQ5" i="4" s="1"/>
  <c r="EQ53" i="4"/>
  <c r="EQ14" i="4"/>
  <c r="EQ34" i="4"/>
  <c r="EQ54" i="4"/>
  <c r="EQ24" i="4"/>
  <c r="EQ44" i="4"/>
  <c r="EQ22" i="4"/>
  <c r="EQ23" i="4"/>
  <c r="EQ43" i="4"/>
  <c r="EQ33" i="4"/>
  <c r="EQ13" i="4"/>
  <c r="EQ42" i="4"/>
  <c r="EQ52" i="4"/>
  <c r="EQ41" i="4"/>
  <c r="EQ51" i="4"/>
  <c r="EQ11" i="4"/>
  <c r="EQ40" i="4"/>
  <c r="EQ12" i="4"/>
  <c r="EQ31" i="4"/>
  <c r="EQ32" i="4"/>
  <c r="EQ20" i="4"/>
  <c r="EQ50" i="4"/>
  <c r="EQ30" i="4"/>
  <c r="EQ10" i="4"/>
  <c r="EQ21" i="4"/>
  <c r="EQ9" i="4"/>
  <c r="EQ28" i="4"/>
  <c r="EQ47" i="4"/>
  <c r="EQ58" i="4"/>
  <c r="EQ49" i="4"/>
  <c r="EQ48" i="4"/>
  <c r="EQ38" i="4"/>
  <c r="EQ18" i="4"/>
  <c r="EQ59" i="4"/>
  <c r="EQ16" i="4"/>
  <c r="EQ56" i="4"/>
  <c r="EQ55" i="4"/>
  <c r="EQ8" i="4"/>
  <c r="EQ45" i="4"/>
  <c r="EQ37" i="4"/>
  <c r="EQ26" i="4"/>
  <c r="EQ15" i="4"/>
  <c r="EQ19" i="4"/>
  <c r="EQ35" i="4"/>
  <c r="EQ57" i="4"/>
  <c r="EQ39" i="4"/>
  <c r="EQ29" i="4"/>
  <c r="EQ27" i="4"/>
  <c r="EQ46" i="4"/>
  <c r="EQ25" i="4"/>
  <c r="EQ36" i="4"/>
  <c r="EQ17" i="4"/>
  <c r="ER6" i="4"/>
  <c r="ER5" i="4" l="1" a="1"/>
  <c r="ER5" i="4" s="1"/>
  <c r="ER7" i="4"/>
  <c r="ER43" i="4"/>
  <c r="ER24" i="4"/>
  <c r="ER53" i="4"/>
  <c r="ER44" i="4"/>
  <c r="ER34" i="4"/>
  <c r="ER42" i="4"/>
  <c r="ER23" i="4"/>
  <c r="ER22" i="4"/>
  <c r="ER52" i="4"/>
  <c r="ER51" i="4"/>
  <c r="ER13" i="4"/>
  <c r="ER33" i="4"/>
  <c r="ER14" i="4"/>
  <c r="ER54" i="4"/>
  <c r="ER41" i="4"/>
  <c r="ER12" i="4"/>
  <c r="ER10" i="4"/>
  <c r="ER40" i="4"/>
  <c r="ER39" i="4"/>
  <c r="ER20" i="4"/>
  <c r="ER49" i="4"/>
  <c r="ER30" i="4"/>
  <c r="ER58" i="4"/>
  <c r="ER56" i="4"/>
  <c r="ER28" i="4"/>
  <c r="ER57" i="4"/>
  <c r="ER21" i="4"/>
  <c r="ER50" i="4"/>
  <c r="ER18" i="4"/>
  <c r="ER9" i="4"/>
  <c r="ER37" i="4"/>
  <c r="ER46" i="4"/>
  <c r="ER25" i="4"/>
  <c r="ER19" i="4"/>
  <c r="ER17" i="4"/>
  <c r="ER35" i="4"/>
  <c r="ER32" i="4"/>
  <c r="ER31" i="4"/>
  <c r="ER47" i="4"/>
  <c r="ER16" i="4"/>
  <c r="ER15" i="4"/>
  <c r="ER27" i="4"/>
  <c r="ER29" i="4"/>
  <c r="ER45" i="4"/>
  <c r="ER8" i="4"/>
  <c r="ER48" i="4"/>
  <c r="ER38" i="4"/>
  <c r="ER26" i="4"/>
  <c r="ER11" i="4"/>
  <c r="ER55" i="4"/>
  <c r="ER59" i="4"/>
  <c r="ER36" i="4"/>
  <c r="ES6" i="4"/>
  <c r="ES7" i="4" l="1"/>
  <c r="ES5" i="4" a="1"/>
  <c r="ES5" i="4" s="1"/>
  <c r="ES54" i="4"/>
  <c r="ES44" i="4"/>
  <c r="ES33" i="4"/>
  <c r="ES53" i="4"/>
  <c r="ES43" i="4"/>
  <c r="ES13" i="4"/>
  <c r="ES52" i="4"/>
  <c r="ES34" i="4"/>
  <c r="ES24" i="4"/>
  <c r="ES14" i="4"/>
  <c r="ES42" i="4"/>
  <c r="ES23" i="4"/>
  <c r="ES51" i="4"/>
  <c r="ES31" i="4"/>
  <c r="ES40" i="4"/>
  <c r="ES59" i="4"/>
  <c r="ES39" i="4"/>
  <c r="ES41" i="4"/>
  <c r="ES21" i="4"/>
  <c r="ES22" i="4"/>
  <c r="ES32" i="4"/>
  <c r="ES12" i="4"/>
  <c r="ES19" i="4"/>
  <c r="ES30" i="4"/>
  <c r="ES20" i="4"/>
  <c r="ES9" i="4"/>
  <c r="ES29" i="4"/>
  <c r="ES49" i="4"/>
  <c r="ES10" i="4"/>
  <c r="ES50" i="4"/>
  <c r="ES17" i="4"/>
  <c r="ES45" i="4"/>
  <c r="ES28" i="4"/>
  <c r="ES56" i="4"/>
  <c r="ES18" i="4"/>
  <c r="ES47" i="4"/>
  <c r="ES27" i="4"/>
  <c r="ES36" i="4"/>
  <c r="ES26" i="4"/>
  <c r="ES55" i="4"/>
  <c r="ES58" i="4"/>
  <c r="ES38" i="4"/>
  <c r="ES11" i="4"/>
  <c r="ES8" i="4"/>
  <c r="ES57" i="4"/>
  <c r="ES48" i="4"/>
  <c r="ES46" i="4"/>
  <c r="ES16" i="4"/>
  <c r="ES37" i="4"/>
  <c r="ES25" i="4"/>
  <c r="ES15" i="4"/>
  <c r="ES35" i="4"/>
  <c r="ET6" i="4"/>
  <c r="ET7" i="4" l="1"/>
  <c r="ET5" i="4" a="1"/>
  <c r="ET5" i="4" s="1"/>
  <c r="ET24" i="4"/>
  <c r="ET33" i="4"/>
  <c r="ET23" i="4"/>
  <c r="ET14" i="4"/>
  <c r="ET34" i="4"/>
  <c r="ET54" i="4"/>
  <c r="ET43" i="4"/>
  <c r="ET41" i="4"/>
  <c r="ET44" i="4"/>
  <c r="ET13" i="4"/>
  <c r="ET53" i="4"/>
  <c r="ET52" i="4"/>
  <c r="ET51" i="4"/>
  <c r="ET12" i="4"/>
  <c r="ET31" i="4"/>
  <c r="ET20" i="4"/>
  <c r="ET42" i="4"/>
  <c r="ET50" i="4"/>
  <c r="ET30" i="4"/>
  <c r="ET9" i="4"/>
  <c r="ET48" i="4"/>
  <c r="ET22" i="4"/>
  <c r="ET29" i="4"/>
  <c r="ET40" i="4"/>
  <c r="ET59" i="4"/>
  <c r="ET19" i="4"/>
  <c r="ET58" i="4"/>
  <c r="ET32" i="4"/>
  <c r="ET21" i="4"/>
  <c r="ET11" i="4"/>
  <c r="ET10" i="4"/>
  <c r="ET17" i="4"/>
  <c r="ET47" i="4"/>
  <c r="ET8" i="4"/>
  <c r="ET28" i="4"/>
  <c r="ET35" i="4"/>
  <c r="ET38" i="4"/>
  <c r="ET37" i="4"/>
  <c r="ET55" i="4"/>
  <c r="ET56" i="4"/>
  <c r="ET46" i="4"/>
  <c r="ET26" i="4"/>
  <c r="ET16" i="4"/>
  <c r="ET36" i="4"/>
  <c r="ET49" i="4"/>
  <c r="ET39" i="4"/>
  <c r="ET18" i="4"/>
  <c r="ET27" i="4"/>
  <c r="ET25" i="4"/>
  <c r="ET57" i="4"/>
  <c r="ET15" i="4"/>
  <c r="ET45" i="4"/>
  <c r="EU6" i="4"/>
  <c r="EU7" i="4" l="1"/>
  <c r="EU5" i="4" a="1"/>
  <c r="EU5" i="4" s="1"/>
  <c r="EU44" i="4"/>
  <c r="EU34" i="4"/>
  <c r="EU24" i="4"/>
  <c r="EU54" i="4"/>
  <c r="EU52" i="4"/>
  <c r="EU42" i="4"/>
  <c r="EU13" i="4"/>
  <c r="EU43" i="4"/>
  <c r="EU33" i="4"/>
  <c r="EU23" i="4"/>
  <c r="EU14" i="4"/>
  <c r="EU53" i="4"/>
  <c r="EU41" i="4"/>
  <c r="EU11" i="4"/>
  <c r="EU12" i="4"/>
  <c r="EU31" i="4"/>
  <c r="EU22" i="4"/>
  <c r="EU21" i="4"/>
  <c r="EU32" i="4"/>
  <c r="EU50" i="4"/>
  <c r="EU40" i="4"/>
  <c r="EU20" i="4"/>
  <c r="EU58" i="4"/>
  <c r="EU38" i="4"/>
  <c r="EU19" i="4"/>
  <c r="EU59" i="4"/>
  <c r="EU28" i="4"/>
  <c r="EU46" i="4"/>
  <c r="EU51" i="4"/>
  <c r="EU49" i="4"/>
  <c r="EU57" i="4"/>
  <c r="EU9" i="4"/>
  <c r="EU29" i="4"/>
  <c r="EU18" i="4"/>
  <c r="EU27" i="4"/>
  <c r="EU8" i="4"/>
  <c r="EU37" i="4"/>
  <c r="EU45" i="4"/>
  <c r="EU17" i="4"/>
  <c r="EU56" i="4"/>
  <c r="EU25" i="4"/>
  <c r="EU35" i="4"/>
  <c r="EU48" i="4"/>
  <c r="EU10" i="4"/>
  <c r="EU30" i="4"/>
  <c r="EU39" i="4"/>
  <c r="EU47" i="4"/>
  <c r="EU55" i="4"/>
  <c r="EU36" i="4"/>
  <c r="EU26" i="4"/>
  <c r="EU16" i="4"/>
  <c r="EU15" i="4"/>
  <c r="EV6" i="4"/>
  <c r="EV7" i="4" l="1"/>
  <c r="EV5" i="4" a="1"/>
  <c r="EV5" i="4" s="1"/>
  <c r="EV54" i="4"/>
  <c r="EV44" i="4"/>
  <c r="EV34" i="4"/>
  <c r="EV24" i="4"/>
  <c r="EV13" i="4"/>
  <c r="EV33" i="4"/>
  <c r="EV52" i="4"/>
  <c r="EV23" i="4"/>
  <c r="EV32" i="4"/>
  <c r="EV22" i="4"/>
  <c r="EV12" i="4"/>
  <c r="EV42" i="4"/>
  <c r="EV53" i="4"/>
  <c r="EV43" i="4"/>
  <c r="EV14" i="4"/>
  <c r="EV51" i="4"/>
  <c r="EV31" i="4"/>
  <c r="EV40" i="4"/>
  <c r="EV11" i="4"/>
  <c r="EV50" i="4"/>
  <c r="EV10" i="4"/>
  <c r="EV59" i="4"/>
  <c r="EV30" i="4"/>
  <c r="EV41" i="4"/>
  <c r="EV21" i="4"/>
  <c r="EV9" i="4"/>
  <c r="EV49" i="4"/>
  <c r="EV8" i="4"/>
  <c r="EV17" i="4"/>
  <c r="EV37" i="4"/>
  <c r="EV20" i="4"/>
  <c r="EV39" i="4"/>
  <c r="EV58" i="4"/>
  <c r="EV48" i="4"/>
  <c r="EV38" i="4"/>
  <c r="EV47" i="4"/>
  <c r="EV36" i="4"/>
  <c r="EV19" i="4"/>
  <c r="EV26" i="4"/>
  <c r="EV35" i="4"/>
  <c r="EV25" i="4"/>
  <c r="EV57" i="4"/>
  <c r="EV46" i="4"/>
  <c r="EV29" i="4"/>
  <c r="EV56" i="4"/>
  <c r="EV18" i="4"/>
  <c r="EV28" i="4"/>
  <c r="EV27" i="4"/>
  <c r="EV55" i="4"/>
  <c r="EV15" i="4"/>
  <c r="EV16" i="4"/>
  <c r="EV45" i="4"/>
  <c r="EW6" i="4"/>
  <c r="EW5" i="4" l="1" a="1"/>
  <c r="EW5" i="4" s="1"/>
  <c r="EW7" i="4"/>
  <c r="EW44" i="4"/>
  <c r="EW34" i="4"/>
  <c r="EW54" i="4"/>
  <c r="EW33" i="4"/>
  <c r="EW43" i="4"/>
  <c r="EW52" i="4"/>
  <c r="EW32" i="4"/>
  <c r="EW22" i="4"/>
  <c r="EW41" i="4"/>
  <c r="EW53" i="4"/>
  <c r="EW24" i="4"/>
  <c r="EW13" i="4"/>
  <c r="EW23" i="4"/>
  <c r="EW14" i="4"/>
  <c r="EW42" i="4"/>
  <c r="EW51" i="4"/>
  <c r="EW11" i="4"/>
  <c r="EW12" i="4"/>
  <c r="EW10" i="4"/>
  <c r="EW49" i="4"/>
  <c r="EW50" i="4"/>
  <c r="EW31" i="4"/>
  <c r="EW20" i="4"/>
  <c r="EW30" i="4"/>
  <c r="EW58" i="4"/>
  <c r="EW40" i="4"/>
  <c r="EW39" i="4"/>
  <c r="EW59" i="4"/>
  <c r="EW29" i="4"/>
  <c r="EW21" i="4"/>
  <c r="EW37" i="4"/>
  <c r="EW48" i="4"/>
  <c r="EW27" i="4"/>
  <c r="EW36" i="4"/>
  <c r="EW47" i="4"/>
  <c r="EW17" i="4"/>
  <c r="EW19" i="4"/>
  <c r="EW25" i="4"/>
  <c r="EW28" i="4"/>
  <c r="EW18" i="4"/>
  <c r="EW57" i="4"/>
  <c r="EW56" i="4"/>
  <c r="EW16" i="4"/>
  <c r="EW8" i="4"/>
  <c r="EW38" i="4"/>
  <c r="EW46" i="4"/>
  <c r="EW35" i="4"/>
  <c r="EW45" i="4"/>
  <c r="EW55" i="4"/>
  <c r="EW15" i="4"/>
  <c r="EW9" i="4"/>
  <c r="EW26" i="4"/>
  <c r="EX6" i="4"/>
  <c r="EX5" i="4" l="1" a="1"/>
  <c r="EX5" i="4" s="1"/>
  <c r="EX7" i="4"/>
  <c r="EX24" i="4"/>
  <c r="EX44" i="4"/>
  <c r="EX34" i="4"/>
  <c r="EX14" i="4"/>
  <c r="EX54" i="4"/>
  <c r="EX43" i="4"/>
  <c r="EX23" i="4"/>
  <c r="EX33" i="4"/>
  <c r="EX52" i="4"/>
  <c r="EX51" i="4"/>
  <c r="EX42" i="4"/>
  <c r="EX53" i="4"/>
  <c r="EX13" i="4"/>
  <c r="EX21" i="4"/>
  <c r="EX11" i="4"/>
  <c r="EX41" i="4"/>
  <c r="EX32" i="4"/>
  <c r="EX22" i="4"/>
  <c r="EX40" i="4"/>
  <c r="EX49" i="4"/>
  <c r="EX48" i="4"/>
  <c r="EX20" i="4"/>
  <c r="EX29" i="4"/>
  <c r="EX31" i="4"/>
  <c r="EX10" i="4"/>
  <c r="EX19" i="4"/>
  <c r="EX58" i="4"/>
  <c r="EX38" i="4"/>
  <c r="EX18" i="4"/>
  <c r="EX47" i="4"/>
  <c r="EX39" i="4"/>
  <c r="EX9" i="4"/>
  <c r="EX28" i="4"/>
  <c r="EX30" i="4"/>
  <c r="EX50" i="4"/>
  <c r="EX12" i="4"/>
  <c r="EX25" i="4"/>
  <c r="EX15" i="4"/>
  <c r="EX55" i="4"/>
  <c r="EX36" i="4"/>
  <c r="EX37" i="4"/>
  <c r="EX17" i="4"/>
  <c r="EX26" i="4"/>
  <c r="EX59" i="4"/>
  <c r="EX16" i="4"/>
  <c r="EX8" i="4"/>
  <c r="EX57" i="4"/>
  <c r="EX27" i="4"/>
  <c r="EX56" i="4"/>
  <c r="EX45" i="4"/>
  <c r="EX46" i="4"/>
  <c r="EX35" i="4"/>
  <c r="EY6" i="4"/>
  <c r="EY5" i="4" l="1" a="1"/>
  <c r="EY5" i="4" s="1"/>
  <c r="EY7" i="4"/>
  <c r="EY14" i="4"/>
  <c r="EY24" i="4"/>
  <c r="EY23" i="4"/>
  <c r="EY43" i="4"/>
  <c r="EY54" i="4"/>
  <c r="EY44" i="4"/>
  <c r="EY52" i="4"/>
  <c r="EY33" i="4"/>
  <c r="EY51" i="4"/>
  <c r="EY53" i="4"/>
  <c r="EY13" i="4"/>
  <c r="EY34" i="4"/>
  <c r="EY22" i="4"/>
  <c r="EY12" i="4"/>
  <c r="EY20" i="4"/>
  <c r="EY11" i="4"/>
  <c r="EY31" i="4"/>
  <c r="EY29" i="4"/>
  <c r="EY10" i="4"/>
  <c r="EY32" i="4"/>
  <c r="EY21" i="4"/>
  <c r="EY50" i="4"/>
  <c r="EY40" i="4"/>
  <c r="EY39" i="4"/>
  <c r="EY41" i="4"/>
  <c r="EY30" i="4"/>
  <c r="EY49" i="4"/>
  <c r="EY9" i="4"/>
  <c r="EY42" i="4"/>
  <c r="EY26" i="4"/>
  <c r="EY19" i="4"/>
  <c r="EY8" i="4"/>
  <c r="EY57" i="4"/>
  <c r="EY38" i="4"/>
  <c r="EY28" i="4"/>
  <c r="EY47" i="4"/>
  <c r="EY27" i="4"/>
  <c r="EY46" i="4"/>
  <c r="EY16" i="4"/>
  <c r="EY17" i="4"/>
  <c r="EY36" i="4"/>
  <c r="EY58" i="4"/>
  <c r="EY18" i="4"/>
  <c r="EY56" i="4"/>
  <c r="EY45" i="4"/>
  <c r="EY48" i="4"/>
  <c r="EY59" i="4"/>
  <c r="EY37" i="4"/>
  <c r="EY15" i="4"/>
  <c r="EY55" i="4"/>
  <c r="EY35" i="4"/>
  <c r="EY25" i="4"/>
  <c r="EZ6" i="4"/>
  <c r="EZ7" i="4" l="1"/>
  <c r="EZ5" i="4" a="1"/>
  <c r="EZ5" i="4" s="1"/>
  <c r="EZ54" i="4"/>
  <c r="EZ34" i="4"/>
  <c r="EZ14" i="4"/>
  <c r="EZ53" i="4"/>
  <c r="EZ23" i="4"/>
  <c r="EZ43" i="4"/>
  <c r="EZ33" i="4"/>
  <c r="EZ42" i="4"/>
  <c r="EZ52" i="4"/>
  <c r="EZ13" i="4"/>
  <c r="EZ24" i="4"/>
  <c r="EZ44" i="4"/>
  <c r="EZ11" i="4"/>
  <c r="EZ22" i="4"/>
  <c r="EZ31" i="4"/>
  <c r="EZ32" i="4"/>
  <c r="EZ40" i="4"/>
  <c r="EZ59" i="4"/>
  <c r="EZ51" i="4"/>
  <c r="EZ12" i="4"/>
  <c r="EZ21" i="4"/>
  <c r="EZ50" i="4"/>
  <c r="EZ29" i="4"/>
  <c r="EZ19" i="4"/>
  <c r="EZ30" i="4"/>
  <c r="EZ10" i="4"/>
  <c r="EZ47" i="4"/>
  <c r="EZ27" i="4"/>
  <c r="EZ20" i="4"/>
  <c r="EZ9" i="4"/>
  <c r="EZ49" i="4"/>
  <c r="EZ8" i="4"/>
  <c r="EZ56" i="4"/>
  <c r="EZ55" i="4"/>
  <c r="EZ45" i="4"/>
  <c r="EZ35" i="4"/>
  <c r="EZ15" i="4"/>
  <c r="EZ41" i="4"/>
  <c r="EZ39" i="4"/>
  <c r="EZ46" i="4"/>
  <c r="EZ17" i="4"/>
  <c r="EZ16" i="4"/>
  <c r="EZ37" i="4"/>
  <c r="EZ36" i="4"/>
  <c r="EZ48" i="4"/>
  <c r="EZ58" i="4"/>
  <c r="EZ28" i="4"/>
  <c r="EZ18" i="4"/>
  <c r="EZ57" i="4"/>
  <c r="EZ38" i="4"/>
  <c r="EZ26" i="4"/>
  <c r="EZ25" i="4"/>
  <c r="FA6" i="4"/>
  <c r="FA5" i="4" l="1" a="1"/>
  <c r="FA5" i="4" s="1"/>
  <c r="FA7" i="4"/>
  <c r="FA34" i="4"/>
  <c r="FA44" i="4"/>
  <c r="FA33" i="4"/>
  <c r="FA54" i="4"/>
  <c r="FA43" i="4"/>
  <c r="FA53" i="4"/>
  <c r="FA24" i="4"/>
  <c r="FA23" i="4"/>
  <c r="FA52" i="4"/>
  <c r="FA14" i="4"/>
  <c r="FA42" i="4"/>
  <c r="FA13" i="4"/>
  <c r="FA12" i="4"/>
  <c r="FA22" i="4"/>
  <c r="FA11" i="4"/>
  <c r="FA50" i="4"/>
  <c r="FA21" i="4"/>
  <c r="FA10" i="4"/>
  <c r="FA40" i="4"/>
  <c r="FA41" i="4"/>
  <c r="FA28" i="4"/>
  <c r="FA29" i="4"/>
  <c r="FA9" i="4"/>
  <c r="FA31" i="4"/>
  <c r="FA57" i="4"/>
  <c r="FA27" i="4"/>
  <c r="FA17" i="4"/>
  <c r="FA20" i="4"/>
  <c r="FA8" i="4"/>
  <c r="FA38" i="4"/>
  <c r="FA37" i="4"/>
  <c r="FA25" i="4"/>
  <c r="FA48" i="4"/>
  <c r="FA56" i="4"/>
  <c r="FA36" i="4"/>
  <c r="FA26" i="4"/>
  <c r="FA58" i="4"/>
  <c r="FA32" i="4"/>
  <c r="FA30" i="4"/>
  <c r="FA49" i="4"/>
  <c r="FA39" i="4"/>
  <c r="FA55" i="4"/>
  <c r="FA15" i="4"/>
  <c r="FA19" i="4"/>
  <c r="FA51" i="4"/>
  <c r="FA16" i="4"/>
  <c r="FA35" i="4"/>
  <c r="FA47" i="4"/>
  <c r="FA59" i="4"/>
  <c r="FA18" i="4"/>
  <c r="FA46" i="4"/>
  <c r="FA45" i="4"/>
  <c r="FB6" i="4"/>
  <c r="FB7" i="4" l="1"/>
  <c r="FB5" i="4" a="1"/>
  <c r="FB5" i="4" s="1"/>
  <c r="FB33" i="4"/>
  <c r="FB44" i="4"/>
  <c r="FB24" i="4"/>
  <c r="FB54" i="4"/>
  <c r="FB14" i="4"/>
  <c r="FB53" i="4"/>
  <c r="FB34" i="4"/>
  <c r="FB13" i="4"/>
  <c r="FB52" i="4"/>
  <c r="FB23" i="4"/>
  <c r="FB43" i="4"/>
  <c r="FB32" i="4"/>
  <c r="FB50" i="4"/>
  <c r="FB42" i="4"/>
  <c r="FB22" i="4"/>
  <c r="FB51" i="4"/>
  <c r="FB11" i="4"/>
  <c r="FB30" i="4"/>
  <c r="FB12" i="4"/>
  <c r="FB40" i="4"/>
  <c r="FB10" i="4"/>
  <c r="FB21" i="4"/>
  <c r="FB49" i="4"/>
  <c r="FB31" i="4"/>
  <c r="FB9" i="4"/>
  <c r="FB41" i="4"/>
  <c r="FB20" i="4"/>
  <c r="FB19" i="4"/>
  <c r="FB39" i="4"/>
  <c r="FB18" i="4"/>
  <c r="FB27" i="4"/>
  <c r="FB48" i="4"/>
  <c r="FB28" i="4"/>
  <c r="FB36" i="4"/>
  <c r="FB59" i="4"/>
  <c r="FB35" i="4"/>
  <c r="FB58" i="4"/>
  <c r="FB47" i="4"/>
  <c r="FB17" i="4"/>
  <c r="FB55" i="4"/>
  <c r="FB25" i="4"/>
  <c r="FB15" i="4"/>
  <c r="FB29" i="4"/>
  <c r="FB26" i="4"/>
  <c r="FB57" i="4"/>
  <c r="FB46" i="4"/>
  <c r="FB38" i="4"/>
  <c r="FB8" i="4"/>
  <c r="FB37" i="4"/>
  <c r="FB45" i="4"/>
  <c r="FB56" i="4"/>
  <c r="FB16" i="4"/>
  <c r="FC6" i="4"/>
  <c r="FC7" i="4" l="1"/>
  <c r="FC5" i="4" a="1"/>
  <c r="FC5" i="4" s="1"/>
  <c r="FC44" i="4"/>
  <c r="FC54" i="4"/>
  <c r="FC14" i="4"/>
  <c r="FC53" i="4"/>
  <c r="FC24" i="4"/>
  <c r="FC33" i="4"/>
  <c r="FC34" i="4"/>
  <c r="FC13" i="4"/>
  <c r="FC12" i="4"/>
  <c r="FC52" i="4"/>
  <c r="FC43" i="4"/>
  <c r="FC23" i="4"/>
  <c r="FC20" i="4"/>
  <c r="FC22" i="4"/>
  <c r="FC41" i="4"/>
  <c r="FC51" i="4"/>
  <c r="FC40" i="4"/>
  <c r="FC32" i="4"/>
  <c r="FC59" i="4"/>
  <c r="FC21" i="4"/>
  <c r="FC50" i="4"/>
  <c r="FC38" i="4"/>
  <c r="FC42" i="4"/>
  <c r="FC39" i="4"/>
  <c r="FC56" i="4"/>
  <c r="FC36" i="4"/>
  <c r="FC47" i="4"/>
  <c r="FC8" i="4"/>
  <c r="FC11" i="4"/>
  <c r="FC29" i="4"/>
  <c r="FC9" i="4"/>
  <c r="FC28" i="4"/>
  <c r="FC18" i="4"/>
  <c r="FC27" i="4"/>
  <c r="FC31" i="4"/>
  <c r="FC45" i="4"/>
  <c r="FC48" i="4"/>
  <c r="FC49" i="4"/>
  <c r="FC17" i="4"/>
  <c r="FC55" i="4"/>
  <c r="FC30" i="4"/>
  <c r="FC57" i="4"/>
  <c r="FC46" i="4"/>
  <c r="FC26" i="4"/>
  <c r="FC25" i="4"/>
  <c r="FC15" i="4"/>
  <c r="FC10" i="4"/>
  <c r="FC16" i="4"/>
  <c r="FC37" i="4"/>
  <c r="FC19" i="4"/>
  <c r="FC58" i="4"/>
  <c r="FC35" i="4"/>
  <c r="FD6" i="4"/>
  <c r="FD7" i="4" l="1"/>
  <c r="FD5" i="4" a="1"/>
  <c r="FD5" i="4" s="1"/>
  <c r="FD34" i="4"/>
  <c r="FD24" i="4"/>
  <c r="FD53" i="4"/>
  <c r="FD54" i="4"/>
  <c r="FD13" i="4"/>
  <c r="FD22" i="4"/>
  <c r="FD43" i="4"/>
  <c r="FD33" i="4"/>
  <c r="FD42" i="4"/>
  <c r="FD14" i="4"/>
  <c r="FD23" i="4"/>
  <c r="FD44" i="4"/>
  <c r="FD52" i="4"/>
  <c r="FD51" i="4"/>
  <c r="FD32" i="4"/>
  <c r="FD40" i="4"/>
  <c r="FD50" i="4"/>
  <c r="FD41" i="4"/>
  <c r="FD12" i="4"/>
  <c r="FD39" i="4"/>
  <c r="FD9" i="4"/>
  <c r="FD20" i="4"/>
  <c r="FD21" i="4"/>
  <c r="FD30" i="4"/>
  <c r="FD10" i="4"/>
  <c r="FD59" i="4"/>
  <c r="FD38" i="4"/>
  <c r="FD17" i="4"/>
  <c r="FD11" i="4"/>
  <c r="FD28" i="4"/>
  <c r="FD18" i="4"/>
  <c r="FD47" i="4"/>
  <c r="FD37" i="4"/>
  <c r="FD56" i="4"/>
  <c r="FD36" i="4"/>
  <c r="FD31" i="4"/>
  <c r="FD8" i="4"/>
  <c r="FD25" i="4"/>
  <c r="FD46" i="4"/>
  <c r="FD16" i="4"/>
  <c r="FD29" i="4"/>
  <c r="FD48" i="4"/>
  <c r="FD35" i="4"/>
  <c r="FD45" i="4"/>
  <c r="FD26" i="4"/>
  <c r="FD49" i="4"/>
  <c r="FD19" i="4"/>
  <c r="FD27" i="4"/>
  <c r="FD57" i="4"/>
  <c r="FD55" i="4"/>
  <c r="FD58" i="4"/>
  <c r="FD15" i="4"/>
  <c r="FE6" i="4"/>
  <c r="FE7" i="4" l="1"/>
  <c r="FE5" i="4" a="1"/>
  <c r="FE5" i="4" s="1"/>
  <c r="FE54" i="4"/>
  <c r="FE34" i="4"/>
  <c r="FE14" i="4"/>
  <c r="FE43" i="4"/>
  <c r="FE53" i="4"/>
  <c r="FE23" i="4"/>
  <c r="FE32" i="4"/>
  <c r="FE44" i="4"/>
  <c r="FE22" i="4"/>
  <c r="FE24" i="4"/>
  <c r="FE13" i="4"/>
  <c r="FE52" i="4"/>
  <c r="FE33" i="4"/>
  <c r="FE31" i="4"/>
  <c r="FE40" i="4"/>
  <c r="FE50" i="4"/>
  <c r="FE12" i="4"/>
  <c r="FE41" i="4"/>
  <c r="FE11" i="4"/>
  <c r="FE59" i="4"/>
  <c r="FE29" i="4"/>
  <c r="FE21" i="4"/>
  <c r="FE42" i="4"/>
  <c r="FE51" i="4"/>
  <c r="FE39" i="4"/>
  <c r="FE49" i="4"/>
  <c r="FE9" i="4"/>
  <c r="FE10" i="4"/>
  <c r="FE46" i="4"/>
  <c r="FE58" i="4"/>
  <c r="FE38" i="4"/>
  <c r="FE57" i="4"/>
  <c r="FE47" i="4"/>
  <c r="FE27" i="4"/>
  <c r="FE18" i="4"/>
  <c r="FE17" i="4"/>
  <c r="FE55" i="4"/>
  <c r="FE8" i="4"/>
  <c r="FE16" i="4"/>
  <c r="FE45" i="4"/>
  <c r="FE35" i="4"/>
  <c r="FE19" i="4"/>
  <c r="FE37" i="4"/>
  <c r="FE36" i="4"/>
  <c r="FE48" i="4"/>
  <c r="FE28" i="4"/>
  <c r="FE30" i="4"/>
  <c r="FE20" i="4"/>
  <c r="FE15" i="4"/>
  <c r="FE26" i="4"/>
  <c r="FE25" i="4"/>
  <c r="FE56" i="4"/>
  <c r="FF6" i="4"/>
  <c r="FF7" i="4" l="1"/>
  <c r="FF5" i="4" a="1"/>
  <c r="FF5" i="4" s="1"/>
  <c r="FF53" i="4"/>
  <c r="FF33" i="4"/>
  <c r="FF24" i="4"/>
  <c r="FF44" i="4"/>
  <c r="FF54" i="4"/>
  <c r="FF13" i="4"/>
  <c r="FF14" i="4"/>
  <c r="FF23" i="4"/>
  <c r="FF32" i="4"/>
  <c r="FF43" i="4"/>
  <c r="FF42" i="4"/>
  <c r="FF34" i="4"/>
  <c r="FF52" i="4"/>
  <c r="FF12" i="4"/>
  <c r="FF30" i="4"/>
  <c r="FF51" i="4"/>
  <c r="FF11" i="4"/>
  <c r="FF50" i="4"/>
  <c r="FF49" i="4"/>
  <c r="FF31" i="4"/>
  <c r="FF20" i="4"/>
  <c r="FF22" i="4"/>
  <c r="FF40" i="4"/>
  <c r="FF58" i="4"/>
  <c r="FF38" i="4"/>
  <c r="FF10" i="4"/>
  <c r="FF29" i="4"/>
  <c r="FF9" i="4"/>
  <c r="FF48" i="4"/>
  <c r="FF47" i="4"/>
  <c r="FF27" i="4"/>
  <c r="FF8" i="4"/>
  <c r="FF57" i="4"/>
  <c r="FF16" i="4"/>
  <c r="FF25" i="4"/>
  <c r="FF28" i="4"/>
  <c r="FF37" i="4"/>
  <c r="FF41" i="4"/>
  <c r="FF39" i="4"/>
  <c r="FF18" i="4"/>
  <c r="FF21" i="4"/>
  <c r="FF17" i="4"/>
  <c r="FF56" i="4"/>
  <c r="FF19" i="4"/>
  <c r="FF46" i="4"/>
  <c r="FF55" i="4"/>
  <c r="FF35" i="4"/>
  <c r="FF59" i="4"/>
  <c r="FF45" i="4"/>
  <c r="FF15" i="4"/>
  <c r="FF26" i="4"/>
  <c r="FF36" i="4"/>
  <c r="FG6" i="4"/>
  <c r="FG5" i="4" l="1" a="1"/>
  <c r="FG5" i="4" s="1"/>
  <c r="FG7" i="4"/>
  <c r="FG53" i="4"/>
  <c r="FG54" i="4"/>
  <c r="FG44" i="4"/>
  <c r="FG23" i="4"/>
  <c r="FG34" i="4"/>
  <c r="FG43" i="4"/>
  <c r="FG52" i="4"/>
  <c r="FG14" i="4"/>
  <c r="FG24" i="4"/>
  <c r="FG33" i="4"/>
  <c r="FG13" i="4"/>
  <c r="FG42" i="4"/>
  <c r="FG32" i="4"/>
  <c r="FG12" i="4"/>
  <c r="FG50" i="4"/>
  <c r="FG31" i="4"/>
  <c r="FG11" i="4"/>
  <c r="FG21" i="4"/>
  <c r="FG41" i="4"/>
  <c r="FG22" i="4"/>
  <c r="FG40" i="4"/>
  <c r="FG30" i="4"/>
  <c r="FG20" i="4"/>
  <c r="FG10" i="4"/>
  <c r="FG19" i="4"/>
  <c r="FG58" i="4"/>
  <c r="FG59" i="4"/>
  <c r="FG29" i="4"/>
  <c r="FG18" i="4"/>
  <c r="FG46" i="4"/>
  <c r="FG28" i="4"/>
  <c r="FG49" i="4"/>
  <c r="FG37" i="4"/>
  <c r="FG47" i="4"/>
  <c r="FG36" i="4"/>
  <c r="FG45" i="4"/>
  <c r="FG35" i="4"/>
  <c r="FG8" i="4"/>
  <c r="FG26" i="4"/>
  <c r="FG51" i="4"/>
  <c r="FG57" i="4"/>
  <c r="FG16" i="4"/>
  <c r="FG55" i="4"/>
  <c r="FG25" i="4"/>
  <c r="FG9" i="4"/>
  <c r="FG48" i="4"/>
  <c r="FG38" i="4"/>
  <c r="FG39" i="4"/>
  <c r="FG15" i="4"/>
  <c r="FG17" i="4"/>
  <c r="FG56" i="4"/>
  <c r="FG27" i="4"/>
  <c r="FH6" i="4"/>
  <c r="FH5" i="4" l="1" a="1"/>
  <c r="FH5" i="4" s="1"/>
  <c r="FH7" i="4"/>
  <c r="FH43" i="4"/>
  <c r="FH54" i="4"/>
  <c r="FH34" i="4"/>
  <c r="FH44" i="4"/>
  <c r="FH53" i="4"/>
  <c r="FH52" i="4"/>
  <c r="FH24" i="4"/>
  <c r="FH23" i="4"/>
  <c r="FH12" i="4"/>
  <c r="FH33" i="4"/>
  <c r="FH13" i="4"/>
  <c r="FH14" i="4"/>
  <c r="FH41" i="4"/>
  <c r="FH42" i="4"/>
  <c r="FH31" i="4"/>
  <c r="FH40" i="4"/>
  <c r="FH20" i="4"/>
  <c r="FH59" i="4"/>
  <c r="FH51" i="4"/>
  <c r="FH11" i="4"/>
  <c r="FH32" i="4"/>
  <c r="FH22" i="4"/>
  <c r="FH50" i="4"/>
  <c r="FH30" i="4"/>
  <c r="FH21" i="4"/>
  <c r="FH49" i="4"/>
  <c r="FH58" i="4"/>
  <c r="FH10" i="4"/>
  <c r="FH48" i="4"/>
  <c r="FH27" i="4"/>
  <c r="FH39" i="4"/>
  <c r="FH8" i="4"/>
  <c r="FH37" i="4"/>
  <c r="FH17" i="4"/>
  <c r="FH19" i="4"/>
  <c r="FH9" i="4"/>
  <c r="FH47" i="4"/>
  <c r="FH29" i="4"/>
  <c r="FH36" i="4"/>
  <c r="FH56" i="4"/>
  <c r="FH18" i="4"/>
  <c r="FH57" i="4"/>
  <c r="FH28" i="4"/>
  <c r="FH26" i="4"/>
  <c r="FH25" i="4"/>
  <c r="FH15" i="4"/>
  <c r="FH55" i="4"/>
  <c r="FH38" i="4"/>
  <c r="FH46" i="4"/>
  <c r="FH45" i="4"/>
  <c r="FH16" i="4"/>
  <c r="FH35" i="4"/>
  <c r="FI6" i="4"/>
  <c r="FI5" i="4" l="1" a="1"/>
  <c r="FI5" i="4" s="1"/>
  <c r="FI7" i="4"/>
  <c r="FI44" i="4"/>
  <c r="FI34" i="4"/>
  <c r="FI54" i="4"/>
  <c r="FI43" i="4"/>
  <c r="FI24" i="4"/>
  <c r="FI13" i="4"/>
  <c r="FI33" i="4"/>
  <c r="FI53" i="4"/>
  <c r="FI23" i="4"/>
  <c r="FI22" i="4"/>
  <c r="FI14" i="4"/>
  <c r="FI52" i="4"/>
  <c r="FI42" i="4"/>
  <c r="FI32" i="4"/>
  <c r="FI11" i="4"/>
  <c r="FI41" i="4"/>
  <c r="FI31" i="4"/>
  <c r="FI40" i="4"/>
  <c r="FI39" i="4"/>
  <c r="FI10" i="4"/>
  <c r="FI21" i="4"/>
  <c r="FI59" i="4"/>
  <c r="FI30" i="4"/>
  <c r="FI9" i="4"/>
  <c r="FI50" i="4"/>
  <c r="FI58" i="4"/>
  <c r="FI36" i="4"/>
  <c r="FI17" i="4"/>
  <c r="FI51" i="4"/>
  <c r="FI12" i="4"/>
  <c r="FI19" i="4"/>
  <c r="FI27" i="4"/>
  <c r="FI38" i="4"/>
  <c r="FI48" i="4"/>
  <c r="FI29" i="4"/>
  <c r="FI37" i="4"/>
  <c r="FI16" i="4"/>
  <c r="FI20" i="4"/>
  <c r="FI8" i="4"/>
  <c r="FI56" i="4"/>
  <c r="FI57" i="4"/>
  <c r="FI45" i="4"/>
  <c r="FI49" i="4"/>
  <c r="FI28" i="4"/>
  <c r="FI18" i="4"/>
  <c r="FI25" i="4"/>
  <c r="FI47" i="4"/>
  <c r="FI15" i="4"/>
  <c r="FI26" i="4"/>
  <c r="FI55" i="4"/>
  <c r="FI46" i="4"/>
  <c r="FI35" i="4"/>
  <c r="FJ6" i="4"/>
  <c r="FJ7" i="4" l="1"/>
  <c r="FJ5" i="4" a="1"/>
  <c r="FJ5" i="4" s="1"/>
  <c r="FJ53" i="4"/>
  <c r="FJ54" i="4"/>
  <c r="FJ44" i="4"/>
  <c r="FJ24" i="4"/>
  <c r="FJ34" i="4"/>
  <c r="FJ43" i="4"/>
  <c r="FJ33" i="4"/>
  <c r="FJ52" i="4"/>
  <c r="FJ14" i="4"/>
  <c r="FJ12" i="4"/>
  <c r="FJ23" i="4"/>
  <c r="FJ42" i="4"/>
  <c r="FJ13" i="4"/>
  <c r="FJ50" i="4"/>
  <c r="FJ22" i="4"/>
  <c r="FJ51" i="4"/>
  <c r="FJ11" i="4"/>
  <c r="FJ40" i="4"/>
  <c r="FJ41" i="4"/>
  <c r="FJ21" i="4"/>
  <c r="FJ20" i="4"/>
  <c r="FJ32" i="4"/>
  <c r="FJ31" i="4"/>
  <c r="FJ30" i="4"/>
  <c r="FJ49" i="4"/>
  <c r="FJ29" i="4"/>
  <c r="FJ19" i="4"/>
  <c r="FJ59" i="4"/>
  <c r="FJ10" i="4"/>
  <c r="FJ58" i="4"/>
  <c r="FJ39" i="4"/>
  <c r="FJ18" i="4"/>
  <c r="FJ47" i="4"/>
  <c r="FJ27" i="4"/>
  <c r="FJ17" i="4"/>
  <c r="FJ55" i="4"/>
  <c r="FJ25" i="4"/>
  <c r="FJ15" i="4"/>
  <c r="FJ57" i="4"/>
  <c r="FJ46" i="4"/>
  <c r="FJ16" i="4"/>
  <c r="FJ26" i="4"/>
  <c r="FJ56" i="4"/>
  <c r="FJ8" i="4"/>
  <c r="FJ48" i="4"/>
  <c r="FJ28" i="4"/>
  <c r="FJ9" i="4"/>
  <c r="FJ37" i="4"/>
  <c r="FJ45" i="4"/>
  <c r="FJ38" i="4"/>
  <c r="FJ36" i="4"/>
  <c r="FJ35" i="4"/>
  <c r="FK6" i="4"/>
  <c r="FK7" i="4" l="1"/>
  <c r="FK5" i="4" a="1"/>
  <c r="FK5" i="4" s="1"/>
  <c r="FK34" i="4"/>
  <c r="FK43" i="4"/>
  <c r="FK44" i="4"/>
  <c r="FK33" i="4"/>
  <c r="FK54" i="4"/>
  <c r="FK14" i="4"/>
  <c r="FK12" i="4"/>
  <c r="FK23" i="4"/>
  <c r="FK52" i="4"/>
  <c r="FK53" i="4"/>
  <c r="FK24" i="4"/>
  <c r="FK13" i="4"/>
  <c r="FK42" i="4"/>
  <c r="FK21" i="4"/>
  <c r="FK51" i="4"/>
  <c r="FK32" i="4"/>
  <c r="FK40" i="4"/>
  <c r="FK49" i="4"/>
  <c r="FK29" i="4"/>
  <c r="FK9" i="4"/>
  <c r="FK41" i="4"/>
  <c r="FK50" i="4"/>
  <c r="FK30" i="4"/>
  <c r="FK11" i="4"/>
  <c r="FK59" i="4"/>
  <c r="FK19" i="4"/>
  <c r="FK22" i="4"/>
  <c r="FK20" i="4"/>
  <c r="FK58" i="4"/>
  <c r="FK28" i="4"/>
  <c r="FK38" i="4"/>
  <c r="FK57" i="4"/>
  <c r="FK48" i="4"/>
  <c r="FK27" i="4"/>
  <c r="FK17" i="4"/>
  <c r="FK16" i="4"/>
  <c r="FK15" i="4"/>
  <c r="FK47" i="4"/>
  <c r="FK46" i="4"/>
  <c r="FK35" i="4"/>
  <c r="FK31" i="4"/>
  <c r="FK39" i="4"/>
  <c r="FK55" i="4"/>
  <c r="FK37" i="4"/>
  <c r="FK56" i="4"/>
  <c r="FK36" i="4"/>
  <c r="FK10" i="4"/>
  <c r="FK45" i="4"/>
  <c r="FK25" i="4"/>
  <c r="FK8" i="4"/>
  <c r="FK18" i="4"/>
  <c r="FK26" i="4"/>
  <c r="FL6" i="4"/>
  <c r="FL5" i="4" l="1" a="1"/>
  <c r="FL5" i="4" s="1"/>
  <c r="FL7" i="4"/>
  <c r="FL14" i="4"/>
  <c r="FL54" i="4"/>
  <c r="FL44" i="4"/>
  <c r="FL13" i="4"/>
  <c r="FL53" i="4"/>
  <c r="FL32" i="4"/>
  <c r="FL12" i="4"/>
  <c r="FL22" i="4"/>
  <c r="FL34" i="4"/>
  <c r="FL52" i="4"/>
  <c r="FL33" i="4"/>
  <c r="FL24" i="4"/>
  <c r="FL43" i="4"/>
  <c r="FL23" i="4"/>
  <c r="FL51" i="4"/>
  <c r="FL11" i="4"/>
  <c r="FL21" i="4"/>
  <c r="FL40" i="4"/>
  <c r="FL42" i="4"/>
  <c r="FL31" i="4"/>
  <c r="FL30" i="4"/>
  <c r="FL20" i="4"/>
  <c r="FL29" i="4"/>
  <c r="FL50" i="4"/>
  <c r="FL18" i="4"/>
  <c r="FL47" i="4"/>
  <c r="FL48" i="4"/>
  <c r="FL28" i="4"/>
  <c r="FL41" i="4"/>
  <c r="FL58" i="4"/>
  <c r="FL57" i="4"/>
  <c r="FL27" i="4"/>
  <c r="FL59" i="4"/>
  <c r="FL19" i="4"/>
  <c r="FL45" i="4"/>
  <c r="FL38" i="4"/>
  <c r="FL36" i="4"/>
  <c r="FL26" i="4"/>
  <c r="FL55" i="4"/>
  <c r="FL8" i="4"/>
  <c r="FL49" i="4"/>
  <c r="FL56" i="4"/>
  <c r="FL15" i="4"/>
  <c r="FL37" i="4"/>
  <c r="FL17" i="4"/>
  <c r="FL16" i="4"/>
  <c r="FL39" i="4"/>
  <c r="FL35" i="4"/>
  <c r="FL25" i="4"/>
  <c r="FL9" i="4"/>
  <c r="FL10" i="4"/>
  <c r="FL46" i="4"/>
  <c r="FM6" i="4"/>
  <c r="FM7" i="4" l="1"/>
  <c r="FM5" i="4" a="1"/>
  <c r="FM5" i="4" s="1"/>
  <c r="FM14" i="4"/>
  <c r="FM44" i="4"/>
  <c r="FM24" i="4"/>
  <c r="FM54" i="4"/>
  <c r="FM23" i="4"/>
  <c r="FM33" i="4"/>
  <c r="FM52" i="4"/>
  <c r="FM13" i="4"/>
  <c r="FM34" i="4"/>
  <c r="FM51" i="4"/>
  <c r="FM53" i="4"/>
  <c r="FM42" i="4"/>
  <c r="FM43" i="4"/>
  <c r="FM22" i="4"/>
  <c r="FM12" i="4"/>
  <c r="FM21" i="4"/>
  <c r="FM50" i="4"/>
  <c r="FM10" i="4"/>
  <c r="FM39" i="4"/>
  <c r="FM32" i="4"/>
  <c r="FM40" i="4"/>
  <c r="FM20" i="4"/>
  <c r="FM59" i="4"/>
  <c r="FM31" i="4"/>
  <c r="FM11" i="4"/>
  <c r="FM9" i="4"/>
  <c r="FM27" i="4"/>
  <c r="FM37" i="4"/>
  <c r="FM35" i="4"/>
  <c r="FM15" i="4"/>
  <c r="FM25" i="4"/>
  <c r="FM48" i="4"/>
  <c r="FM28" i="4"/>
  <c r="FM56" i="4"/>
  <c r="FM41" i="4"/>
  <c r="FM29" i="4"/>
  <c r="FM18" i="4"/>
  <c r="FM55" i="4"/>
  <c r="FM49" i="4"/>
  <c r="FM57" i="4"/>
  <c r="FM30" i="4"/>
  <c r="FM46" i="4"/>
  <c r="FM26" i="4"/>
  <c r="FM58" i="4"/>
  <c r="FM38" i="4"/>
  <c r="FM47" i="4"/>
  <c r="FM8" i="4"/>
  <c r="FM19" i="4"/>
  <c r="FM45" i="4"/>
  <c r="FM17" i="4"/>
  <c r="FM16" i="4"/>
  <c r="FM36" i="4"/>
  <c r="FN6" i="4"/>
  <c r="FN7" i="4" l="1"/>
  <c r="FN5" i="4" a="1"/>
  <c r="FN5" i="4" s="1"/>
  <c r="FN54" i="4"/>
  <c r="FN23" i="4"/>
  <c r="FN34" i="4"/>
  <c r="FN14" i="4"/>
  <c r="FN33" i="4"/>
  <c r="FN53" i="4"/>
  <c r="FN52" i="4"/>
  <c r="FN44" i="4"/>
  <c r="FN32" i="4"/>
  <c r="FN51" i="4"/>
  <c r="FN43" i="4"/>
  <c r="FN24" i="4"/>
  <c r="FN13" i="4"/>
  <c r="FN42" i="4"/>
  <c r="FN31" i="4"/>
  <c r="FN22" i="4"/>
  <c r="FN30" i="4"/>
  <c r="FN12" i="4"/>
  <c r="FN40" i="4"/>
  <c r="FN59" i="4"/>
  <c r="FN50" i="4"/>
  <c r="FN41" i="4"/>
  <c r="FN19" i="4"/>
  <c r="FN9" i="4"/>
  <c r="FN10" i="4"/>
  <c r="FN21" i="4"/>
  <c r="FN39" i="4"/>
  <c r="FN17" i="4"/>
  <c r="FN26" i="4"/>
  <c r="FN11" i="4"/>
  <c r="FN28" i="4"/>
  <c r="FN8" i="4"/>
  <c r="FN57" i="4"/>
  <c r="FN55" i="4"/>
  <c r="FN38" i="4"/>
  <c r="FN37" i="4"/>
  <c r="FN25" i="4"/>
  <c r="FN46" i="4"/>
  <c r="FN15" i="4"/>
  <c r="FN48" i="4"/>
  <c r="FN47" i="4"/>
  <c r="FN29" i="4"/>
  <c r="FN20" i="4"/>
  <c r="FN49" i="4"/>
  <c r="FN18" i="4"/>
  <c r="FN58" i="4"/>
  <c r="FN36" i="4"/>
  <c r="FN45" i="4"/>
  <c r="FN35" i="4"/>
  <c r="FN16" i="4"/>
  <c r="FN27" i="4"/>
  <c r="FN56" i="4"/>
  <c r="FO6" i="4"/>
  <c r="FO7" i="4" l="1"/>
  <c r="FO5" i="4" a="1"/>
  <c r="FO5" i="4" s="1"/>
  <c r="FO44" i="4"/>
  <c r="FO54" i="4"/>
  <c r="FO53" i="4"/>
  <c r="FO33" i="4"/>
  <c r="FO14" i="4"/>
  <c r="FO34" i="4"/>
  <c r="FO24" i="4"/>
  <c r="FO23" i="4"/>
  <c r="FO52" i="4"/>
  <c r="FO13" i="4"/>
  <c r="FO42" i="4"/>
  <c r="FO43" i="4"/>
  <c r="FO11" i="4"/>
  <c r="FO12" i="4"/>
  <c r="FO51" i="4"/>
  <c r="FO41" i="4"/>
  <c r="FO50" i="4"/>
  <c r="FO40" i="4"/>
  <c r="FO10" i="4"/>
  <c r="FO20" i="4"/>
  <c r="FO22" i="4"/>
  <c r="FO21" i="4"/>
  <c r="FO49" i="4"/>
  <c r="FO39" i="4"/>
  <c r="FO9" i="4"/>
  <c r="FO32" i="4"/>
  <c r="FO29" i="4"/>
  <c r="FO28" i="4"/>
  <c r="FO18" i="4"/>
  <c r="FO56" i="4"/>
  <c r="FO27" i="4"/>
  <c r="FO47" i="4"/>
  <c r="FO19" i="4"/>
  <c r="FO38" i="4"/>
  <c r="FO30" i="4"/>
  <c r="FO17" i="4"/>
  <c r="FO46" i="4"/>
  <c r="FO35" i="4"/>
  <c r="FO15" i="4"/>
  <c r="FO37" i="4"/>
  <c r="FO36" i="4"/>
  <c r="FO45" i="4"/>
  <c r="FO31" i="4"/>
  <c r="FO8" i="4"/>
  <c r="FO58" i="4"/>
  <c r="FO26" i="4"/>
  <c r="FO25" i="4"/>
  <c r="FO48" i="4"/>
  <c r="FO16" i="4"/>
  <c r="FO57" i="4"/>
  <c r="FO55" i="4"/>
  <c r="FO59" i="4"/>
  <c r="FP6" i="4"/>
  <c r="FP7" i="4" l="1"/>
  <c r="FP5" i="4" a="1"/>
  <c r="FP5" i="4" s="1"/>
  <c r="FP54" i="4"/>
  <c r="FP34" i="4"/>
  <c r="FP24" i="4"/>
  <c r="FP14" i="4"/>
  <c r="FP44" i="4"/>
  <c r="FP43" i="4"/>
  <c r="FP51" i="4"/>
  <c r="FP53" i="4"/>
  <c r="FP32" i="4"/>
  <c r="FP33" i="4"/>
  <c r="FP52" i="4"/>
  <c r="FP42" i="4"/>
  <c r="FP23" i="4"/>
  <c r="FP13" i="4"/>
  <c r="FP30" i="4"/>
  <c r="FP22" i="4"/>
  <c r="FP31" i="4"/>
  <c r="FP11" i="4"/>
  <c r="FP12" i="4"/>
  <c r="FP21" i="4"/>
  <c r="FP40" i="4"/>
  <c r="FP10" i="4"/>
  <c r="FP50" i="4"/>
  <c r="FP39" i="4"/>
  <c r="FP49" i="4"/>
  <c r="FP20" i="4"/>
  <c r="FP38" i="4"/>
  <c r="FP48" i="4"/>
  <c r="FP47" i="4"/>
  <c r="FP27" i="4"/>
  <c r="FP59" i="4"/>
  <c r="FP8" i="4"/>
  <c r="FP29" i="4"/>
  <c r="FP19" i="4"/>
  <c r="FP9" i="4"/>
  <c r="FP17" i="4"/>
  <c r="FP26" i="4"/>
  <c r="FP56" i="4"/>
  <c r="FP25" i="4"/>
  <c r="FP18" i="4"/>
  <c r="FP41" i="4"/>
  <c r="FP45" i="4"/>
  <c r="FP35" i="4"/>
  <c r="FP58" i="4"/>
  <c r="FP57" i="4"/>
  <c r="FP37" i="4"/>
  <c r="FP16" i="4"/>
  <c r="FP15" i="4"/>
  <c r="FP55" i="4"/>
  <c r="FP36" i="4"/>
  <c r="FP28" i="4"/>
  <c r="FP46" i="4"/>
  <c r="FQ6" i="4"/>
  <c r="FQ5" i="4" l="1" a="1"/>
  <c r="FQ5" i="4" s="1"/>
  <c r="FQ7" i="4"/>
  <c r="FQ14" i="4"/>
  <c r="FQ34" i="4"/>
  <c r="FQ54" i="4"/>
  <c r="FQ43" i="4"/>
  <c r="FQ44" i="4"/>
  <c r="FQ32" i="4"/>
  <c r="FQ22" i="4"/>
  <c r="FQ23" i="4"/>
  <c r="FQ33" i="4"/>
  <c r="FQ13" i="4"/>
  <c r="FQ52" i="4"/>
  <c r="FQ24" i="4"/>
  <c r="FQ53" i="4"/>
  <c r="FQ42" i="4"/>
  <c r="FQ31" i="4"/>
  <c r="FQ12" i="4"/>
  <c r="FQ11" i="4"/>
  <c r="FQ51" i="4"/>
  <c r="FQ50" i="4"/>
  <c r="FQ40" i="4"/>
  <c r="FQ59" i="4"/>
  <c r="FQ10" i="4"/>
  <c r="FQ29" i="4"/>
  <c r="FQ9" i="4"/>
  <c r="FQ48" i="4"/>
  <c r="FQ21" i="4"/>
  <c r="FQ41" i="4"/>
  <c r="FQ39" i="4"/>
  <c r="FQ19" i="4"/>
  <c r="FQ38" i="4"/>
  <c r="FQ36" i="4"/>
  <c r="FQ27" i="4"/>
  <c r="FQ17" i="4"/>
  <c r="FQ57" i="4"/>
  <c r="FQ15" i="4"/>
  <c r="FQ18" i="4"/>
  <c r="FQ47" i="4"/>
  <c r="FQ55" i="4"/>
  <c r="FQ37" i="4"/>
  <c r="FQ49" i="4"/>
  <c r="FQ8" i="4"/>
  <c r="FQ46" i="4"/>
  <c r="FQ30" i="4"/>
  <c r="FQ20" i="4"/>
  <c r="FQ45" i="4"/>
  <c r="FQ28" i="4"/>
  <c r="FQ26" i="4"/>
  <c r="FQ25" i="4"/>
  <c r="FQ35" i="4"/>
  <c r="FQ58" i="4"/>
  <c r="FQ56" i="4"/>
  <c r="FQ16" i="4"/>
  <c r="FR6" i="4"/>
  <c r="FR5" i="4" l="1" a="1"/>
  <c r="FR5" i="4" s="1"/>
  <c r="FR7" i="4"/>
  <c r="FR53" i="4"/>
  <c r="FR44" i="4"/>
  <c r="FR43" i="4"/>
  <c r="FR33" i="4"/>
  <c r="FR54" i="4"/>
  <c r="FR14" i="4"/>
  <c r="FR24" i="4"/>
  <c r="FR52" i="4"/>
  <c r="FR23" i="4"/>
  <c r="FR42" i="4"/>
  <c r="FR13" i="4"/>
  <c r="FR34" i="4"/>
  <c r="FR30" i="4"/>
  <c r="FR12" i="4"/>
  <c r="FR11" i="4"/>
  <c r="FR50" i="4"/>
  <c r="FR41" i="4"/>
  <c r="FR40" i="4"/>
  <c r="FR32" i="4"/>
  <c r="FR31" i="4"/>
  <c r="FR21" i="4"/>
  <c r="FR51" i="4"/>
  <c r="FR38" i="4"/>
  <c r="FR20" i="4"/>
  <c r="FR49" i="4"/>
  <c r="FR10" i="4"/>
  <c r="FR19" i="4"/>
  <c r="FR29" i="4"/>
  <c r="FR9" i="4"/>
  <c r="FR28" i="4"/>
  <c r="FR18" i="4"/>
  <c r="FR48" i="4"/>
  <c r="FR8" i="4"/>
  <c r="FR26" i="4"/>
  <c r="FR47" i="4"/>
  <c r="FR17" i="4"/>
  <c r="FR35" i="4"/>
  <c r="FR22" i="4"/>
  <c r="FR59" i="4"/>
  <c r="FR39" i="4"/>
  <c r="FR16" i="4"/>
  <c r="FR58" i="4"/>
  <c r="FR55" i="4"/>
  <c r="FR36" i="4"/>
  <c r="FR57" i="4"/>
  <c r="FR37" i="4"/>
  <c r="FR27" i="4"/>
  <c r="FR46" i="4"/>
  <c r="FR45" i="4"/>
  <c r="FR15" i="4"/>
  <c r="FR25" i="4"/>
  <c r="FR56" i="4"/>
  <c r="FS6" i="4"/>
  <c r="FS5" i="4" l="1" a="1"/>
  <c r="FS5" i="4" s="1"/>
  <c r="FS7" i="4"/>
  <c r="FS54" i="4"/>
  <c r="FS33" i="4"/>
  <c r="FS53" i="4"/>
  <c r="FS43" i="4"/>
  <c r="FS34" i="4"/>
  <c r="FS23" i="4"/>
  <c r="FS22" i="4"/>
  <c r="FS13" i="4"/>
  <c r="FS24" i="4"/>
  <c r="FS14" i="4"/>
  <c r="FS52" i="4"/>
  <c r="FS44" i="4"/>
  <c r="FS42" i="4"/>
  <c r="FS41" i="4"/>
  <c r="FS12" i="4"/>
  <c r="FS40" i="4"/>
  <c r="FS31" i="4"/>
  <c r="FS39" i="4"/>
  <c r="FS51" i="4"/>
  <c r="FS11" i="4"/>
  <c r="FS47" i="4"/>
  <c r="FS59" i="4"/>
  <c r="FS49" i="4"/>
  <c r="FS18" i="4"/>
  <c r="FS57" i="4"/>
  <c r="FS27" i="4"/>
  <c r="FS28" i="4"/>
  <c r="FS48" i="4"/>
  <c r="FS20" i="4"/>
  <c r="FS37" i="4"/>
  <c r="FS56" i="4"/>
  <c r="FS32" i="4"/>
  <c r="FS10" i="4"/>
  <c r="FS17" i="4"/>
  <c r="FS35" i="4"/>
  <c r="FS16" i="4"/>
  <c r="FS29" i="4"/>
  <c r="FS38" i="4"/>
  <c r="FS50" i="4"/>
  <c r="FS30" i="4"/>
  <c r="FS9" i="4"/>
  <c r="FS58" i="4"/>
  <c r="FS21" i="4"/>
  <c r="FS19" i="4"/>
  <c r="FS55" i="4"/>
  <c r="FS15" i="4"/>
  <c r="FS26" i="4"/>
  <c r="FS25" i="4"/>
  <c r="FS46" i="4"/>
  <c r="FS36" i="4"/>
  <c r="FS8" i="4"/>
  <c r="FS45" i="4"/>
  <c r="FT6" i="4"/>
  <c r="FT7" i="4" l="1"/>
  <c r="FT5" i="4" a="1"/>
  <c r="FT5" i="4" s="1"/>
  <c r="FT24" i="4"/>
  <c r="FT33" i="4"/>
  <c r="FT54" i="4"/>
  <c r="FT43" i="4"/>
  <c r="FT53" i="4"/>
  <c r="FT23" i="4"/>
  <c r="FT44" i="4"/>
  <c r="FT34" i="4"/>
  <c r="FT14" i="4"/>
  <c r="FT52" i="4"/>
  <c r="FT32" i="4"/>
  <c r="FT41" i="4"/>
  <c r="FT13" i="4"/>
  <c r="FT50" i="4"/>
  <c r="FT51" i="4"/>
  <c r="FT42" i="4"/>
  <c r="FT22" i="4"/>
  <c r="FT40" i="4"/>
  <c r="FT49" i="4"/>
  <c r="FT31" i="4"/>
  <c r="FT21" i="4"/>
  <c r="FT10" i="4"/>
  <c r="FT59" i="4"/>
  <c r="FT11" i="4"/>
  <c r="FT30" i="4"/>
  <c r="FT20" i="4"/>
  <c r="FT9" i="4"/>
  <c r="FT12" i="4"/>
  <c r="FT56" i="4"/>
  <c r="FT48" i="4"/>
  <c r="FT27" i="4"/>
  <c r="FT29" i="4"/>
  <c r="FT58" i="4"/>
  <c r="FT39" i="4"/>
  <c r="FT26" i="4"/>
  <c r="FT25" i="4"/>
  <c r="FT19" i="4"/>
  <c r="FT36" i="4"/>
  <c r="FT55" i="4"/>
  <c r="FT16" i="4"/>
  <c r="FT45" i="4"/>
  <c r="FT57" i="4"/>
  <c r="FT46" i="4"/>
  <c r="FT47" i="4"/>
  <c r="FT38" i="4"/>
  <c r="FT18" i="4"/>
  <c r="FT8" i="4"/>
  <c r="FT35" i="4"/>
  <c r="FT37" i="4"/>
  <c r="FT15" i="4"/>
  <c r="FT28" i="4"/>
  <c r="FT17" i="4"/>
  <c r="FU6" i="4"/>
  <c r="FU7" i="4" l="1"/>
  <c r="FU5" i="4" a="1"/>
  <c r="FU5" i="4" s="1"/>
  <c r="FU34" i="4"/>
  <c r="FU54" i="4"/>
  <c r="FU53" i="4"/>
  <c r="FU14" i="4"/>
  <c r="FU52" i="4"/>
  <c r="FU43" i="4"/>
  <c r="FU23" i="4"/>
  <c r="FU42" i="4"/>
  <c r="FU13" i="4"/>
  <c r="FU44" i="4"/>
  <c r="FU12" i="4"/>
  <c r="FU33" i="4"/>
  <c r="FU24" i="4"/>
  <c r="FU32" i="4"/>
  <c r="FU21" i="4"/>
  <c r="FU50" i="4"/>
  <c r="FU41" i="4"/>
  <c r="FU51" i="4"/>
  <c r="FU31" i="4"/>
  <c r="FU30" i="4"/>
  <c r="FU39" i="4"/>
  <c r="FU40" i="4"/>
  <c r="FU20" i="4"/>
  <c r="FU11" i="4"/>
  <c r="FU19" i="4"/>
  <c r="FU59" i="4"/>
  <c r="FU49" i="4"/>
  <c r="FU9" i="4"/>
  <c r="FU27" i="4"/>
  <c r="FU17" i="4"/>
  <c r="FU36" i="4"/>
  <c r="FU22" i="4"/>
  <c r="FU10" i="4"/>
  <c r="FU29" i="4"/>
  <c r="FU58" i="4"/>
  <c r="FU28" i="4"/>
  <c r="FU57" i="4"/>
  <c r="FU8" i="4"/>
  <c r="FU37" i="4"/>
  <c r="FU45" i="4"/>
  <c r="FU25" i="4"/>
  <c r="FU15" i="4"/>
  <c r="FU48" i="4"/>
  <c r="FU35" i="4"/>
  <c r="FU56" i="4"/>
  <c r="FU55" i="4"/>
  <c r="FU47" i="4"/>
  <c r="FU38" i="4"/>
  <c r="FU18" i="4"/>
  <c r="FU16" i="4"/>
  <c r="FU46" i="4"/>
  <c r="FU26" i="4"/>
  <c r="FV6" i="4"/>
  <c r="FV5" i="4" l="1" a="1"/>
  <c r="FV5" i="4" s="1"/>
  <c r="FV7" i="4"/>
  <c r="FV24" i="4"/>
  <c r="FV14" i="4"/>
  <c r="FV54" i="4"/>
  <c r="FV44" i="4"/>
  <c r="FV34" i="4"/>
  <c r="FV52" i="4"/>
  <c r="FV41" i="4"/>
  <c r="FV32" i="4"/>
  <c r="FV12" i="4"/>
  <c r="FV53" i="4"/>
  <c r="FV43" i="4"/>
  <c r="FV23" i="4"/>
  <c r="FV33" i="4"/>
  <c r="FV13" i="4"/>
  <c r="FV51" i="4"/>
  <c r="FV11" i="4"/>
  <c r="FV39" i="4"/>
  <c r="FV21" i="4"/>
  <c r="FV31" i="4"/>
  <c r="FV40" i="4"/>
  <c r="FV42" i="4"/>
  <c r="FV49" i="4"/>
  <c r="FV48" i="4"/>
  <c r="FV27" i="4"/>
  <c r="FV56" i="4"/>
  <c r="FV50" i="4"/>
  <c r="FV30" i="4"/>
  <c r="FV58" i="4"/>
  <c r="FV18" i="4"/>
  <c r="FV57" i="4"/>
  <c r="FV47" i="4"/>
  <c r="FV59" i="4"/>
  <c r="FV29" i="4"/>
  <c r="FV9" i="4"/>
  <c r="FV17" i="4"/>
  <c r="FV20" i="4"/>
  <c r="FV8" i="4"/>
  <c r="FV46" i="4"/>
  <c r="FV19" i="4"/>
  <c r="FV38" i="4"/>
  <c r="FV16" i="4"/>
  <c r="FV25" i="4"/>
  <c r="FV22" i="4"/>
  <c r="FV36" i="4"/>
  <c r="FV26" i="4"/>
  <c r="FV37" i="4"/>
  <c r="FV10" i="4"/>
  <c r="FV15" i="4"/>
  <c r="FV28" i="4"/>
  <c r="FV45" i="4"/>
  <c r="FV35" i="4"/>
  <c r="FV55" i="4"/>
  <c r="FW6" i="4"/>
  <c r="FW7" i="4" l="1"/>
  <c r="FW5" i="4" a="1"/>
  <c r="FW5" i="4" s="1"/>
  <c r="FW14" i="4"/>
  <c r="FW54" i="4"/>
  <c r="FW44" i="4"/>
  <c r="FW43" i="4"/>
  <c r="FW13" i="4"/>
  <c r="FW32" i="4"/>
  <c r="FW53" i="4"/>
  <c r="FW33" i="4"/>
  <c r="FW24" i="4"/>
  <c r="FW23" i="4"/>
  <c r="FW12" i="4"/>
  <c r="FW34" i="4"/>
  <c r="FW52" i="4"/>
  <c r="FW42" i="4"/>
  <c r="FW31" i="4"/>
  <c r="FW22" i="4"/>
  <c r="FW20" i="4"/>
  <c r="FW50" i="4"/>
  <c r="FW40" i="4"/>
  <c r="FW10" i="4"/>
  <c r="FW21" i="4"/>
  <c r="FW51" i="4"/>
  <c r="FW11" i="4"/>
  <c r="FW29" i="4"/>
  <c r="FW27" i="4"/>
  <c r="FW46" i="4"/>
  <c r="FW9" i="4"/>
  <c r="FW48" i="4"/>
  <c r="FW39" i="4"/>
  <c r="FW38" i="4"/>
  <c r="FW18" i="4"/>
  <c r="FW57" i="4"/>
  <c r="FW55" i="4"/>
  <c r="FW41" i="4"/>
  <c r="FW16" i="4"/>
  <c r="FW45" i="4"/>
  <c r="FW59" i="4"/>
  <c r="FW28" i="4"/>
  <c r="FW15" i="4"/>
  <c r="FW37" i="4"/>
  <c r="FW26" i="4"/>
  <c r="FW47" i="4"/>
  <c r="FW58" i="4"/>
  <c r="FW49" i="4"/>
  <c r="FW8" i="4"/>
  <c r="FW36" i="4"/>
  <c r="FW56" i="4"/>
  <c r="FW17" i="4"/>
  <c r="FW19" i="4"/>
  <c r="FW25" i="4"/>
  <c r="FW35" i="4"/>
  <c r="FW30" i="4"/>
  <c r="FX6" i="4"/>
  <c r="FX7" i="4" l="1"/>
  <c r="FX5" i="4" a="1"/>
  <c r="FX5" i="4" s="1"/>
  <c r="FX34" i="4"/>
  <c r="FX53" i="4"/>
  <c r="FX14" i="4"/>
  <c r="FX33" i="4"/>
  <c r="FX54" i="4"/>
  <c r="FX44" i="4"/>
  <c r="FX13" i="4"/>
  <c r="FX23" i="4"/>
  <c r="FX22" i="4"/>
  <c r="FX12" i="4"/>
  <c r="FX32" i="4"/>
  <c r="FX43" i="4"/>
  <c r="FX52" i="4"/>
  <c r="FX24" i="4"/>
  <c r="FX40" i="4"/>
  <c r="FX11" i="4"/>
  <c r="FX42" i="4"/>
  <c r="FX29" i="4"/>
  <c r="FX50" i="4"/>
  <c r="FX31" i="4"/>
  <c r="FX21" i="4"/>
  <c r="FX10" i="4"/>
  <c r="FX59" i="4"/>
  <c r="FX30" i="4"/>
  <c r="FX20" i="4"/>
  <c r="FX49" i="4"/>
  <c r="FX41" i="4"/>
  <c r="FX26" i="4"/>
  <c r="FX9" i="4"/>
  <c r="FX18" i="4"/>
  <c r="FX47" i="4"/>
  <c r="FX57" i="4"/>
  <c r="FX51" i="4"/>
  <c r="FX16" i="4"/>
  <c r="FX35" i="4"/>
  <c r="FX15" i="4"/>
  <c r="FX19" i="4"/>
  <c r="FX45" i="4"/>
  <c r="FX48" i="4"/>
  <c r="FX27" i="4"/>
  <c r="FX25" i="4"/>
  <c r="FX58" i="4"/>
  <c r="FX28" i="4"/>
  <c r="FX55" i="4"/>
  <c r="FX8" i="4"/>
  <c r="FX37" i="4"/>
  <c r="FX17" i="4"/>
  <c r="FX38" i="4"/>
  <c r="FX56" i="4"/>
  <c r="FX36" i="4"/>
  <c r="FX39" i="4"/>
  <c r="FX46" i="4"/>
  <c r="FY6" i="4"/>
  <c r="FY7" i="4" l="1"/>
  <c r="FY5" i="4" a="1"/>
  <c r="FY5" i="4" s="1"/>
  <c r="FY24" i="4"/>
  <c r="FY34" i="4"/>
  <c r="FY54" i="4"/>
  <c r="FY33" i="4"/>
  <c r="FY44" i="4"/>
  <c r="FY52" i="4"/>
  <c r="FY23" i="4"/>
  <c r="FY53" i="4"/>
  <c r="FY51" i="4"/>
  <c r="FY14" i="4"/>
  <c r="FY22" i="4"/>
  <c r="FY43" i="4"/>
  <c r="FY13" i="4"/>
  <c r="FY42" i="4"/>
  <c r="FY12" i="4"/>
  <c r="FY31" i="4"/>
  <c r="FY41" i="4"/>
  <c r="FY11" i="4"/>
  <c r="FY59" i="4"/>
  <c r="FY10" i="4"/>
  <c r="FY30" i="4"/>
  <c r="FY48" i="4"/>
  <c r="FY21" i="4"/>
  <c r="FY20" i="4"/>
  <c r="FY49" i="4"/>
  <c r="FY9" i="4"/>
  <c r="FY32" i="4"/>
  <c r="FY27" i="4"/>
  <c r="FY56" i="4"/>
  <c r="FY58" i="4"/>
  <c r="FY29" i="4"/>
  <c r="FY50" i="4"/>
  <c r="FY40" i="4"/>
  <c r="FY18" i="4"/>
  <c r="FY26" i="4"/>
  <c r="FY16" i="4"/>
  <c r="FY17" i="4"/>
  <c r="FY25" i="4"/>
  <c r="FY57" i="4"/>
  <c r="FY37" i="4"/>
  <c r="FY8" i="4"/>
  <c r="FY36" i="4"/>
  <c r="FY45" i="4"/>
  <c r="FY39" i="4"/>
  <c r="FY38" i="4"/>
  <c r="FY55" i="4"/>
  <c r="FY28" i="4"/>
  <c r="FY47" i="4"/>
  <c r="FY35" i="4"/>
  <c r="FY15" i="4"/>
  <c r="FY19" i="4"/>
  <c r="FY46" i="4"/>
  <c r="FZ6" i="4"/>
  <c r="FZ7" i="4" l="1"/>
  <c r="FZ5" i="4" a="1"/>
  <c r="FZ5" i="4" s="1"/>
  <c r="FZ54" i="4"/>
  <c r="FZ44" i="4"/>
  <c r="FZ33" i="4"/>
  <c r="FZ43" i="4"/>
  <c r="FZ42" i="4"/>
  <c r="FZ52" i="4"/>
  <c r="FZ23" i="4"/>
  <c r="FZ34" i="4"/>
  <c r="FZ12" i="4"/>
  <c r="FZ14" i="4"/>
  <c r="FZ53" i="4"/>
  <c r="FZ24" i="4"/>
  <c r="FZ13" i="4"/>
  <c r="FZ22" i="4"/>
  <c r="FZ40" i="4"/>
  <c r="FZ50" i="4"/>
  <c r="FZ21" i="4"/>
  <c r="FZ11" i="4"/>
  <c r="FZ30" i="4"/>
  <c r="FZ20" i="4"/>
  <c r="FZ51" i="4"/>
  <c r="FZ19" i="4"/>
  <c r="FZ32" i="4"/>
  <c r="FZ31" i="4"/>
  <c r="FZ39" i="4"/>
  <c r="FZ27" i="4"/>
  <c r="FZ46" i="4"/>
  <c r="FZ10" i="4"/>
  <c r="FZ59" i="4"/>
  <c r="FZ38" i="4"/>
  <c r="FZ58" i="4"/>
  <c r="FZ48" i="4"/>
  <c r="FZ47" i="4"/>
  <c r="FZ57" i="4"/>
  <c r="FZ55" i="4"/>
  <c r="FZ17" i="4"/>
  <c r="FZ26" i="4"/>
  <c r="FZ35" i="4"/>
  <c r="FZ15" i="4"/>
  <c r="FZ28" i="4"/>
  <c r="FZ8" i="4"/>
  <c r="FZ36" i="4"/>
  <c r="FZ25" i="4"/>
  <c r="FZ41" i="4"/>
  <c r="FZ18" i="4"/>
  <c r="FZ16" i="4"/>
  <c r="FZ9" i="4"/>
  <c r="FZ49" i="4"/>
  <c r="FZ37" i="4"/>
  <c r="FZ29" i="4"/>
  <c r="FZ56" i="4"/>
  <c r="FZ45" i="4"/>
  <c r="GA6" i="4"/>
  <c r="GA5" i="4" l="1" a="1"/>
  <c r="GA5" i="4" s="1"/>
  <c r="GA7" i="4"/>
  <c r="GA43" i="4"/>
  <c r="GA44" i="4"/>
  <c r="GA33" i="4"/>
  <c r="GA54" i="4"/>
  <c r="GA34" i="4"/>
  <c r="GA14" i="4"/>
  <c r="GA24" i="4"/>
  <c r="GA52" i="4"/>
  <c r="GA23" i="4"/>
  <c r="GA13" i="4"/>
  <c r="GA12" i="4"/>
  <c r="GA51" i="4"/>
  <c r="GA53" i="4"/>
  <c r="GA31" i="4"/>
  <c r="GA50" i="4"/>
  <c r="GA42" i="4"/>
  <c r="GA32" i="4"/>
  <c r="GA22" i="4"/>
  <c r="GA41" i="4"/>
  <c r="GA40" i="4"/>
  <c r="GA39" i="4"/>
  <c r="GA19" i="4"/>
  <c r="GA57" i="4"/>
  <c r="GA27" i="4"/>
  <c r="GA20" i="4"/>
  <c r="GA29" i="4"/>
  <c r="GA28" i="4"/>
  <c r="GA18" i="4"/>
  <c r="GA21" i="4"/>
  <c r="GA9" i="4"/>
  <c r="GA48" i="4"/>
  <c r="GA47" i="4"/>
  <c r="GA56" i="4"/>
  <c r="GA46" i="4"/>
  <c r="GA30" i="4"/>
  <c r="GA10" i="4"/>
  <c r="GA17" i="4"/>
  <c r="GA36" i="4"/>
  <c r="GA8" i="4"/>
  <c r="GA45" i="4"/>
  <c r="GA38" i="4"/>
  <c r="GA25" i="4"/>
  <c r="GA49" i="4"/>
  <c r="GA37" i="4"/>
  <c r="GA11" i="4"/>
  <c r="GA58" i="4"/>
  <c r="GA59" i="4"/>
  <c r="GA16" i="4"/>
  <c r="GA35" i="4"/>
  <c r="GA26" i="4"/>
  <c r="GA15" i="4"/>
  <c r="GA55" i="4"/>
  <c r="GB6" i="4"/>
  <c r="GB5" i="4" l="1" a="1"/>
  <c r="GB5" i="4" s="1"/>
  <c r="GB7" i="4"/>
  <c r="GB54" i="4"/>
  <c r="GB34" i="4"/>
  <c r="GB53" i="4"/>
  <c r="GB14" i="4"/>
  <c r="GB33" i="4"/>
  <c r="GB42" i="4"/>
  <c r="GB44" i="4"/>
  <c r="GB43" i="4"/>
  <c r="GB32" i="4"/>
  <c r="GB12" i="4"/>
  <c r="GB23" i="4"/>
  <c r="GB13" i="4"/>
  <c r="GB52" i="4"/>
  <c r="GB24" i="4"/>
  <c r="GB50" i="4"/>
  <c r="GB41" i="4"/>
  <c r="GB21" i="4"/>
  <c r="GB30" i="4"/>
  <c r="GB20" i="4"/>
  <c r="GB11" i="4"/>
  <c r="GB51" i="4"/>
  <c r="GB31" i="4"/>
  <c r="GB40" i="4"/>
  <c r="GB22" i="4"/>
  <c r="GB10" i="4"/>
  <c r="GB49" i="4"/>
  <c r="GB29" i="4"/>
  <c r="GB19" i="4"/>
  <c r="GB58" i="4"/>
  <c r="GB56" i="4"/>
  <c r="GB27" i="4"/>
  <c r="GB38" i="4"/>
  <c r="GB47" i="4"/>
  <c r="GB37" i="4"/>
  <c r="GB17" i="4"/>
  <c r="GB15" i="4"/>
  <c r="GB39" i="4"/>
  <c r="GB57" i="4"/>
  <c r="GB45" i="4"/>
  <c r="GB25" i="4"/>
  <c r="GB59" i="4"/>
  <c r="GB18" i="4"/>
  <c r="GB48" i="4"/>
  <c r="GB8" i="4"/>
  <c r="GB28" i="4"/>
  <c r="GB46" i="4"/>
  <c r="GB36" i="4"/>
  <c r="GB9" i="4"/>
  <c r="GB26" i="4"/>
  <c r="GB16" i="4"/>
  <c r="GB35" i="4"/>
  <c r="GB55" i="4"/>
  <c r="GC6" i="4"/>
  <c r="GC5" i="4" l="1" a="1"/>
  <c r="GC5" i="4" s="1"/>
  <c r="GC7" i="4"/>
  <c r="GC34" i="4"/>
  <c r="GC14" i="4"/>
  <c r="GC44" i="4"/>
  <c r="GC53" i="4"/>
  <c r="GC54" i="4"/>
  <c r="GC24" i="4"/>
  <c r="GC13" i="4"/>
  <c r="GC33" i="4"/>
  <c r="GC43" i="4"/>
  <c r="GC23" i="4"/>
  <c r="GC52" i="4"/>
  <c r="GC22" i="4"/>
  <c r="GC32" i="4"/>
  <c r="GC51" i="4"/>
  <c r="GC11" i="4"/>
  <c r="GC50" i="4"/>
  <c r="GC31" i="4"/>
  <c r="GC21" i="4"/>
  <c r="GC40" i="4"/>
  <c r="GC59" i="4"/>
  <c r="GC12" i="4"/>
  <c r="GC42" i="4"/>
  <c r="GC9" i="4"/>
  <c r="GC49" i="4"/>
  <c r="GC39" i="4"/>
  <c r="GC19" i="4"/>
  <c r="GC38" i="4"/>
  <c r="GC17" i="4"/>
  <c r="GC37" i="4"/>
  <c r="GC58" i="4"/>
  <c r="GC35" i="4"/>
  <c r="GC25" i="4"/>
  <c r="GC15" i="4"/>
  <c r="GC20" i="4"/>
  <c r="GC56" i="4"/>
  <c r="GC46" i="4"/>
  <c r="GC48" i="4"/>
  <c r="GC18" i="4"/>
  <c r="GC47" i="4"/>
  <c r="GC41" i="4"/>
  <c r="GC27" i="4"/>
  <c r="GC55" i="4"/>
  <c r="GC30" i="4"/>
  <c r="GC36" i="4"/>
  <c r="GC29" i="4"/>
  <c r="GC28" i="4"/>
  <c r="GC10" i="4"/>
  <c r="GC57" i="4"/>
  <c r="GC8" i="4"/>
  <c r="GC45" i="4"/>
  <c r="GC26" i="4"/>
  <c r="GC16" i="4"/>
  <c r="GD6" i="4"/>
  <c r="GD7" i="4" l="1"/>
  <c r="GD5" i="4" a="1"/>
  <c r="GD5" i="4" s="1"/>
  <c r="GD44" i="4"/>
  <c r="GD33" i="4"/>
  <c r="GD54" i="4"/>
  <c r="GD24" i="4"/>
  <c r="GD14" i="4"/>
  <c r="GD34" i="4"/>
  <c r="GD23" i="4"/>
  <c r="GD13" i="4"/>
  <c r="GD42" i="4"/>
  <c r="GD52" i="4"/>
  <c r="GD53" i="4"/>
  <c r="GD43" i="4"/>
  <c r="GD51" i="4"/>
  <c r="GD12" i="4"/>
  <c r="GD11" i="4"/>
  <c r="GD31" i="4"/>
  <c r="GD39" i="4"/>
  <c r="GD29" i="4"/>
  <c r="GD22" i="4"/>
  <c r="GD10" i="4"/>
  <c r="GD21" i="4"/>
  <c r="GD40" i="4"/>
  <c r="GD41" i="4"/>
  <c r="GD49" i="4"/>
  <c r="GD18" i="4"/>
  <c r="GD57" i="4"/>
  <c r="GD32" i="4"/>
  <c r="GD38" i="4"/>
  <c r="GD30" i="4"/>
  <c r="GD27" i="4"/>
  <c r="GD59" i="4"/>
  <c r="GD8" i="4"/>
  <c r="GD45" i="4"/>
  <c r="GD48" i="4"/>
  <c r="GD37" i="4"/>
  <c r="GD19" i="4"/>
  <c r="GD47" i="4"/>
  <c r="GD56" i="4"/>
  <c r="GD35" i="4"/>
  <c r="GD20" i="4"/>
  <c r="GD9" i="4"/>
  <c r="GD17" i="4"/>
  <c r="GD26" i="4"/>
  <c r="GD50" i="4"/>
  <c r="GD25" i="4"/>
  <c r="GD16" i="4"/>
  <c r="GD58" i="4"/>
  <c r="GD28" i="4"/>
  <c r="GD55" i="4"/>
  <c r="GD36" i="4"/>
  <c r="GD46" i="4"/>
  <c r="GD15" i="4"/>
  <c r="GE6" i="4"/>
  <c r="GE5" i="4" l="1" a="1"/>
  <c r="GE5" i="4" s="1"/>
  <c r="GE7" i="4"/>
  <c r="GE54" i="4"/>
  <c r="GE43" i="4"/>
  <c r="GE24" i="4"/>
  <c r="GE44" i="4"/>
  <c r="GE53" i="4"/>
  <c r="GE14" i="4"/>
  <c r="GE52" i="4"/>
  <c r="GE23" i="4"/>
  <c r="GE34" i="4"/>
  <c r="GE42" i="4"/>
  <c r="GE13" i="4"/>
  <c r="GE32" i="4"/>
  <c r="GE33" i="4"/>
  <c r="GE41" i="4"/>
  <c r="GE50" i="4"/>
  <c r="GE21" i="4"/>
  <c r="GE40" i="4"/>
  <c r="GE51" i="4"/>
  <c r="GE30" i="4"/>
  <c r="GE59" i="4"/>
  <c r="GE31" i="4"/>
  <c r="GE11" i="4"/>
  <c r="GE29" i="4"/>
  <c r="GE19" i="4"/>
  <c r="GE48" i="4"/>
  <c r="GE27" i="4"/>
  <c r="GE12" i="4"/>
  <c r="GE10" i="4"/>
  <c r="GE39" i="4"/>
  <c r="GE47" i="4"/>
  <c r="GE22" i="4"/>
  <c r="GE38" i="4"/>
  <c r="GE37" i="4"/>
  <c r="GE16" i="4"/>
  <c r="GE20" i="4"/>
  <c r="GE9" i="4"/>
  <c r="GE17" i="4"/>
  <c r="GE55" i="4"/>
  <c r="GE58" i="4"/>
  <c r="GE36" i="4"/>
  <c r="GE18" i="4"/>
  <c r="GE35" i="4"/>
  <c r="GE45" i="4"/>
  <c r="GE49" i="4"/>
  <c r="GE28" i="4"/>
  <c r="GE57" i="4"/>
  <c r="GE8" i="4"/>
  <c r="GE25" i="4"/>
  <c r="GE26" i="4"/>
  <c r="GE56" i="4"/>
  <c r="GE46" i="4"/>
  <c r="GE15" i="4"/>
  <c r="GF6" i="4"/>
  <c r="GF7" i="4" l="1"/>
  <c r="GF5" i="4" a="1"/>
  <c r="GF5" i="4" s="1"/>
  <c r="GF34" i="4"/>
  <c r="GF23" i="4"/>
  <c r="GF14" i="4"/>
  <c r="GF53" i="4"/>
  <c r="GF54" i="4"/>
  <c r="GF24" i="4"/>
  <c r="GF43" i="4"/>
  <c r="GF33" i="4"/>
  <c r="GF22" i="4"/>
  <c r="GF12" i="4"/>
  <c r="GF32" i="4"/>
  <c r="GF52" i="4"/>
  <c r="GF42" i="4"/>
  <c r="GF13" i="4"/>
  <c r="GF44" i="4"/>
  <c r="GF31" i="4"/>
  <c r="GF41" i="4"/>
  <c r="GF51" i="4"/>
  <c r="GF11" i="4"/>
  <c r="GF40" i="4"/>
  <c r="GF49" i="4"/>
  <c r="GF21" i="4"/>
  <c r="GF20" i="4"/>
  <c r="GF58" i="4"/>
  <c r="GF19" i="4"/>
  <c r="GF9" i="4"/>
  <c r="GF30" i="4"/>
  <c r="GF59" i="4"/>
  <c r="GF39" i="4"/>
  <c r="GF28" i="4"/>
  <c r="GF17" i="4"/>
  <c r="GF50" i="4"/>
  <c r="GF48" i="4"/>
  <c r="GF27" i="4"/>
  <c r="GF35" i="4"/>
  <c r="GF25" i="4"/>
  <c r="GF37" i="4"/>
  <c r="GF38" i="4"/>
  <c r="GF46" i="4"/>
  <c r="GF10" i="4"/>
  <c r="GF15" i="4"/>
  <c r="GF45" i="4"/>
  <c r="GF47" i="4"/>
  <c r="GF18" i="4"/>
  <c r="GF29" i="4"/>
  <c r="GF8" i="4"/>
  <c r="GF26" i="4"/>
  <c r="GF16" i="4"/>
  <c r="GF57" i="4"/>
  <c r="GF55" i="4"/>
  <c r="GF36" i="4"/>
  <c r="GF56" i="4"/>
  <c r="GG6" i="4"/>
  <c r="GG7" i="4" l="1"/>
  <c r="GG5" i="4" a="1"/>
  <c r="GG5" i="4" s="1"/>
  <c r="GG54" i="4"/>
  <c r="GG33" i="4"/>
  <c r="GG34" i="4"/>
  <c r="GG53" i="4"/>
  <c r="GG44" i="4"/>
  <c r="GG23" i="4"/>
  <c r="GG42" i="4"/>
  <c r="GG22" i="4"/>
  <c r="GG52" i="4"/>
  <c r="GG43" i="4"/>
  <c r="GG13" i="4"/>
  <c r="GG14" i="4"/>
  <c r="GG24" i="4"/>
  <c r="GG40" i="4"/>
  <c r="GG32" i="4"/>
  <c r="GG12" i="4"/>
  <c r="GG21" i="4"/>
  <c r="GG11" i="4"/>
  <c r="GG31" i="4"/>
  <c r="GG29" i="4"/>
  <c r="GG30" i="4"/>
  <c r="GG20" i="4"/>
  <c r="GG50" i="4"/>
  <c r="GG10" i="4"/>
  <c r="GG41" i="4"/>
  <c r="GG49" i="4"/>
  <c r="GG39" i="4"/>
  <c r="GG36" i="4"/>
  <c r="GG9" i="4"/>
  <c r="GG18" i="4"/>
  <c r="GG57" i="4"/>
  <c r="GG27" i="4"/>
  <c r="GG19" i="4"/>
  <c r="GG47" i="4"/>
  <c r="GG26" i="4"/>
  <c r="GG55" i="4"/>
  <c r="GG15" i="4"/>
  <c r="GG56" i="4"/>
  <c r="GG16" i="4"/>
  <c r="GG45" i="4"/>
  <c r="GG51" i="4"/>
  <c r="GG58" i="4"/>
  <c r="GG28" i="4"/>
  <c r="GG48" i="4"/>
  <c r="GG37" i="4"/>
  <c r="GG59" i="4"/>
  <c r="GG38" i="4"/>
  <c r="GG17" i="4"/>
  <c r="GG35" i="4"/>
  <c r="GG46" i="4"/>
  <c r="GG8" i="4"/>
  <c r="GG25" i="4"/>
  <c r="GH6" i="4"/>
  <c r="GH7" i="4" l="1"/>
  <c r="GH5" i="4" a="1"/>
  <c r="GH5" i="4" s="1"/>
  <c r="GH14" i="4"/>
  <c r="GH33" i="4"/>
  <c r="GH24" i="4"/>
  <c r="GH54" i="4"/>
  <c r="GH53" i="4"/>
  <c r="GH44" i="4"/>
  <c r="GH32" i="4"/>
  <c r="GH43" i="4"/>
  <c r="GH23" i="4"/>
  <c r="GH13" i="4"/>
  <c r="GH52" i="4"/>
  <c r="GH34" i="4"/>
  <c r="GH31" i="4"/>
  <c r="GH30" i="4"/>
  <c r="GH12" i="4"/>
  <c r="GH21" i="4"/>
  <c r="GH40" i="4"/>
  <c r="GH10" i="4"/>
  <c r="GH49" i="4"/>
  <c r="GH41" i="4"/>
  <c r="GH22" i="4"/>
  <c r="GH51" i="4"/>
  <c r="GH38" i="4"/>
  <c r="GH42" i="4"/>
  <c r="GH59" i="4"/>
  <c r="GH20" i="4"/>
  <c r="GH39" i="4"/>
  <c r="GH29" i="4"/>
  <c r="GH50" i="4"/>
  <c r="GH9" i="4"/>
  <c r="GH19" i="4"/>
  <c r="GH8" i="4"/>
  <c r="GH27" i="4"/>
  <c r="GH57" i="4"/>
  <c r="GH46" i="4"/>
  <c r="GH11" i="4"/>
  <c r="GH47" i="4"/>
  <c r="GH36" i="4"/>
  <c r="GH16" i="4"/>
  <c r="GH15" i="4"/>
  <c r="GH17" i="4"/>
  <c r="GH58" i="4"/>
  <c r="GH26" i="4"/>
  <c r="GH37" i="4"/>
  <c r="GH28" i="4"/>
  <c r="GH55" i="4"/>
  <c r="GH25" i="4"/>
  <c r="GH48" i="4"/>
  <c r="GH45" i="4"/>
  <c r="GH56" i="4"/>
  <c r="GH35" i="4"/>
  <c r="GH18" i="4"/>
  <c r="O47" i="4" l="1"/>
  <c r="P47" i="4" s="1"/>
  <c r="O16" i="4"/>
  <c r="P16" i="4" s="1"/>
  <c r="O35" i="4"/>
  <c r="P35" i="4" s="1"/>
  <c r="O57" i="4"/>
  <c r="P57" i="4" s="1"/>
  <c r="O55" i="4"/>
  <c r="P55" i="4" s="1"/>
  <c r="O42" i="4"/>
  <c r="P42" i="4" s="1"/>
  <c r="O9" i="4"/>
  <c r="P9" i="4" s="1"/>
  <c r="O22" i="4"/>
  <c r="P22" i="4" s="1"/>
  <c r="O45" i="4"/>
  <c r="P45" i="4" s="1"/>
  <c r="O58" i="4"/>
  <c r="P58" i="4" s="1"/>
  <c r="O27" i="4"/>
  <c r="P27" i="4" s="1"/>
  <c r="O14" i="4"/>
  <c r="P14" i="4" s="1"/>
  <c r="O59" i="4"/>
  <c r="P59" i="4" s="1"/>
  <c r="O36" i="4"/>
  <c r="P36" i="4" s="1"/>
  <c r="O53" i="4"/>
  <c r="P53" i="4" s="1"/>
  <c r="O21" i="4"/>
  <c r="P21" i="4" s="1"/>
  <c r="O25" i="4"/>
  <c r="P25" i="4" s="1"/>
  <c r="O37" i="4"/>
  <c r="P37" i="4" s="1"/>
  <c r="O52" i="4"/>
  <c r="P52" i="4" s="1"/>
  <c r="O48" i="4"/>
  <c r="P48" i="4" s="1"/>
  <c r="O29" i="4"/>
  <c r="P29" i="4" s="1"/>
  <c r="O40" i="4"/>
  <c r="P40" i="4" s="1"/>
  <c r="O43" i="4"/>
  <c r="P43" i="4" s="1"/>
  <c r="O51" i="4"/>
  <c r="P51" i="4" s="1"/>
  <c r="O34" i="4"/>
  <c r="P34" i="4" s="1"/>
  <c r="O41" i="4"/>
  <c r="P41" i="4" s="1"/>
  <c r="O49" i="4"/>
  <c r="P49" i="4" s="1"/>
  <c r="O20" i="4"/>
  <c r="P20" i="4" s="1"/>
  <c r="O11" i="4"/>
  <c r="P11" i="4" s="1"/>
  <c r="O12" i="4"/>
  <c r="P12" i="4" s="1"/>
  <c r="O10" i="4"/>
  <c r="P10" i="4" s="1"/>
  <c r="O56" i="4"/>
  <c r="P56" i="4" s="1"/>
  <c r="O17" i="4"/>
  <c r="P17" i="4" s="1"/>
  <c r="O30" i="4"/>
  <c r="P30" i="4" s="1"/>
  <c r="O54" i="4"/>
  <c r="P54" i="4" s="1"/>
  <c r="O19" i="4"/>
  <c r="P19" i="4" s="1"/>
  <c r="O7" i="4"/>
  <c r="P7" i="4" s="1"/>
  <c r="O46" i="4"/>
  <c r="P46" i="4" s="1"/>
  <c r="O26" i="4"/>
  <c r="P26" i="4" s="1"/>
  <c r="O24" i="4"/>
  <c r="P24" i="4" s="1"/>
  <c r="O8" i="4"/>
  <c r="P8" i="4" s="1"/>
  <c r="O32" i="4"/>
  <c r="P32" i="4" s="1"/>
  <c r="O39" i="4"/>
  <c r="P39" i="4" s="1"/>
  <c r="O23" i="4"/>
  <c r="P23" i="4" s="1"/>
  <c r="O28" i="4"/>
  <c r="P28" i="4" s="1"/>
  <c r="O13" i="4"/>
  <c r="P13" i="4" s="1"/>
  <c r="O15" i="4"/>
  <c r="P15" i="4" s="1"/>
  <c r="O38" i="4"/>
  <c r="P38" i="4" s="1"/>
  <c r="O50" i="4"/>
  <c r="P50" i="4" s="1"/>
  <c r="O44" i="4"/>
  <c r="P44" i="4" s="1"/>
  <c r="O18" i="4"/>
  <c r="P18" i="4" s="1"/>
  <c r="O31" i="4"/>
  <c r="P31" i="4" s="1"/>
  <c r="O33" i="4"/>
  <c r="P33" i="4" s="1"/>
  <c r="P6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tc={4DE69821-509D-F540-AF35-F062129C2F9C}</author>
    <author>tc={814C21BC-E720-8F47-B4F7-9CFC4F518480}</author>
    <author>tc={4EE5ACFC-A28C-764A-80D4-D69D5B65E53A}</author>
    <author>tc={B58FA75D-2253-1348-B49D-12B2F4C3A10C}</author>
    <author>tc={1024B5D3-F936-C046-9EB4-B26E91B547B5}</author>
    <author>tc={E265DF8E-8A69-C942-9229-BA75E9C5A7C4}</author>
    <author>tc={E117C3DC-DC87-BE4D-A03A-F3FE169CE0BE}</author>
    <author>tc={95FB77CB-A74E-9447-B70C-204E69321F92}</author>
    <author>tc={58B1A3E6-E4DC-C945-B9E0-3BFCA6261B85}</author>
    <author>tc={4EF026C3-94E3-B94C-8618-7262AC4ED555}</author>
    <author>tc={0CE4AE7D-D5C0-7A47-93D2-CAC3FBCB62D1}</author>
    <author>tc={567744DB-ED91-3E40-8960-92E7E9D818DC}</author>
    <author>tc={61E294CD-45B4-3340-84D5-E1EF1A38FE55}</author>
    <author>tc={5887F27E-1CED-594D-B05E-B02AD2940285}</author>
    <author>tc={85D16AE4-11C3-024C-A809-3DBA576763AB}</author>
    <author>tc={A0B66135-2190-EB43-B968-20BE094C478E}</author>
    <author>tc={BF7BD8A9-9033-2E4E-9F87-E0B17F881AC1}</author>
    <author>tc={8441F778-58FB-2143-B0F9-B4A2B65C0369}</author>
    <author>tc={A63C8B4E-F835-9148-A15B-B4EDF47905EA}</author>
    <author>tc={6B0F3BFD-BC1C-5D49-8FCF-475558E16A24}</author>
    <author>tc={2103F3EA-3789-BD43-A82D-DEFB99103A49}</author>
    <author>tc={9704B68A-6201-CE4E-AAD4-814CE00AAAF6}</author>
    <author>tc={31A4A2A3-CDAB-5643-8941-5266E87BD7FF}</author>
    <author>tc={AEB260FB-9B27-8E43-995E-6C74B90EAE70}</author>
    <author>tc={4EFDCBB8-324D-9147-9855-ED0AC28E9A33}</author>
    <author>tc={3CE6A0F2-2FE7-944D-BA81-25106F3CED28}</author>
    <author>tc={3E11CB8A-60D5-6E4B-82F9-7807732A514D}</author>
    <author>tc={7A72DAE3-675D-7D42-B1B3-1BF755D0B95F}</author>
    <author>tc={80AE86A3-C21D-654F-9B63-8F3D80832E88}</author>
    <author>tc={1DE20DBA-9D89-E347-BBDE-C812E56D5856}</author>
    <author>tc={FDB661F7-49C2-DA4D-84FC-51A6AABA8E49}</author>
    <author>tc={EA198322-FD5F-AC42-8059-6D884171ACF2}</author>
    <author>tc={646F7FD9-726D-1F4B-A6EE-ED48155FBD58}</author>
    <author>tc={2B0D5C1A-4AC3-7842-B3C9-E04681E4128B}</author>
    <author>tc={6DA1AC47-592D-EB41-B094-ECF58B5024F7}</author>
    <author>tc={DDA77389-C52D-4743-859E-08BD9B7448EC}</author>
    <author>tc={621A9B89-B480-DF47-B8A4-753B81992D5B}</author>
    <author>tc={920C6B1F-05E3-8E41-9F1A-1DE0A2037FC7}</author>
    <author>tc={47242C06-7DD0-364A-9178-6FB2D5354FDE}</author>
    <author>tc={6E738E5C-C38A-B748-8EB0-CEB59DA56236}</author>
    <author>tc={E8B2EC3A-EEF0-4545-A3C6-77A55A0415A4}</author>
    <author>tc={A7C679CA-34EA-F24B-8CB5-21F3232B8F5F}</author>
    <author>tc={1631A95A-848F-0847-9C35-2E8C10BAFD3E}</author>
    <author>tc={635E4685-1D28-8145-83FF-C4BBFC0D134B}</author>
    <author>tc={29DF7981-0573-BA44-BA83-1B703796C48E}</author>
    <author>tc={5D5A830E-3F08-184F-8EA9-13D9BBB9634E}</author>
    <author>tc={0321BEA5-06CC-984F-AF2F-C90979116236}</author>
    <author>tc={B583EFA9-52A8-2E42-95C8-D33C9BA7FCE7}</author>
    <author>tc={E8EA4172-9830-6146-9D93-FFB773BB96FF}</author>
    <author>tc={4A5DEF67-95BC-924E-85C9-363E05A04487}</author>
    <author>tc={C84FFE94-7244-D548-A371-49980AA54FBE}</author>
    <author>tc={6C70F12A-1BB5-154D-8082-091D627845A9}</author>
    <author>tc={42C38C05-55F4-0747-8366-CBED4884B9CF}</author>
    <author>tc={99ADFA33-A564-164D-ADCD-20F3F9410E3E}</author>
    <author>tc={9643690E-E5AC-6645-A3E7-9CB72E749432}</author>
    <author>tc={1DE7FF0E-F08F-4347-B23E-53F5C117D17E}</author>
    <author>tc={F99BD3B9-8978-1A4E-B220-6288D57F3CF1}</author>
    <author>tc={5A878FBC-5005-954C-A3A3-CD175B030684}</author>
    <author>tc={E4256CC0-7807-0E41-A58D-6A59FD819B43}</author>
    <author>tc={155F9D23-BBD6-F442-B66F-E75E07F81398}</author>
    <author>tc={984AB929-4B1F-714C-8543-E416347A7F2B}</author>
    <author>tc={4D40E60D-AE9E-E74E-B19C-2A53CF78C332}</author>
    <author>tc={77B61FE6-E2F2-0341-8D44-03ACAD6B5362}</author>
    <author>tc={F12E0C97-A5FB-8746-BEB5-19662B725822}</author>
    <author>tc={0637C307-51B8-684F-B850-42CB40FE05B1}</author>
    <author>tc={C841246B-8C92-B441-996D-042533CBBA53}</author>
    <author>tc={06708D83-51BA-414C-8362-F2537C6D9265}</author>
    <author>tc={014DA0D7-9C2D-AE49-ADF2-D6FEA7C66AC2}</author>
    <author>tc={1BE06556-1A9E-8947-925F-032C13FF340C}</author>
    <author>tc={BFFA4246-D0C5-BD48-8678-197D389024D7}</author>
    <author>tc={471378C7-4C37-9B41-ABAD-1C18ECA23396}</author>
    <author>tc={AF814D51-D2D1-CB49-AA91-EB21236A15D8}</author>
    <author>tc={9DFE88A4-B5F0-6749-A606-C57AE5DE6AE4}</author>
    <author>tc={55D2DBBF-4B6A-7B4D-94E0-D391683CAE5D}</author>
    <author>tc={8E691DED-50A8-EF4D-B1A4-668016F9BBF5}</author>
    <author>tc={2C673163-695E-3A4E-9174-F51994953533}</author>
    <author>tc={9740A24D-FC90-E547-8BC6-6A5B833E9037}</author>
    <author>tc={FF821EC2-96E1-E34E-8A9A-01B3600256DD}</author>
    <author>tc={F2F28829-7DD2-534C-8226-05EE555F5BD0}</author>
    <author>tc={4552581E-4692-3240-834E-2A478AAA62EE}</author>
    <author>tc={CCC87226-4D2F-AD48-B867-63006B3B2CFD}</author>
    <author>tc={C47DAEB9-A0E7-C240-8477-6D13266D12F3}</author>
    <author>tc={C5CB3F10-5E41-E348-A22A-5367ACEE9AE1}</author>
    <author>tc={6D16E152-DA2C-A14E-8EE4-3229C68C95C9}</author>
    <author>tc={F060B8CC-94CD-F44B-89A0-9785791D90C5}</author>
    <author>tc={09A339EA-68DF-E64B-BABB-CA3288511A65}</author>
    <author>tc={C27C06F8-893E-A942-A375-9C441F346C8D}</author>
    <author>tc={C1ED41BD-5C76-5C4D-8398-240D517ACC3B}</author>
    <author>tc={BCF8D50D-4C19-F646-B12C-14ADDD34A551}</author>
    <author>tc={A7A6D896-D8D5-4558-96C1-B06D145311A2}</author>
    <author>tc={69FB5DA0-93F6-584F-8F32-C5854B2660BE}</author>
  </authors>
  <commentList>
    <comment ref="S5" authorId="0" shapeId="0" xr:uid="{4DE69821-509D-F540-AF35-F062129C2F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T5" authorId="1" shapeId="0" xr:uid="{814C21BC-E720-8F47-B4F7-9CFC4F5184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U5" authorId="2" shapeId="0" xr:uid="{4EE5ACFC-A28C-764A-80D4-D69D5B65E5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V5" authorId="3" shapeId="0" xr:uid="{B58FA75D-2253-1348-B49D-12B2F4C3A10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W5" authorId="4" shapeId="0" xr:uid="{1024B5D3-F936-C046-9EB4-B26E91B547B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X5" authorId="5" shapeId="0" xr:uid="{E265DF8E-8A69-C942-9229-BA75E9C5A7C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Y5" authorId="6" shapeId="0" xr:uid="{E117C3DC-DC87-BE4D-A03A-F3FE169CE0B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Z5" authorId="7" shapeId="0" xr:uid="{95FB77CB-A74E-9447-B70C-204E69321F9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A5" authorId="8" shapeId="0" xr:uid="{58B1A3E6-E4DC-C945-B9E0-3BFCA6261B8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B5" authorId="9" shapeId="0" xr:uid="{4EF026C3-94E3-B94C-8618-7262AC4ED55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C5" authorId="10" shapeId="0" xr:uid="{0CE4AE7D-D5C0-7A47-93D2-CAC3FBCB62D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D5" authorId="11" shapeId="0" xr:uid="{567744DB-ED91-3E40-8960-92E7E9D818D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E5" authorId="12" shapeId="0" xr:uid="{61E294CD-45B4-3340-84D5-E1EF1A38FE5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F5" authorId="13" shapeId="0" xr:uid="{5887F27E-1CED-594D-B05E-B02AD294028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G5" authorId="14" shapeId="0" xr:uid="{85D16AE4-11C3-024C-A809-3DBA576763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H5" authorId="15" shapeId="0" xr:uid="{A0B66135-2190-EB43-B968-20BE094C47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I5" authorId="16" shapeId="0" xr:uid="{BF7BD8A9-9033-2E4E-9F87-E0B17F881AC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J5" authorId="17" shapeId="0" xr:uid="{8441F778-58FB-2143-B0F9-B4A2B65C036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K5" authorId="18" shapeId="0" xr:uid="{A63C8B4E-F835-9148-A15B-B4EDF47905E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L5" authorId="19" shapeId="0" xr:uid="{6B0F3BFD-BC1C-5D49-8FCF-475558E16A2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M5" authorId="20" shapeId="0" xr:uid="{2103F3EA-3789-BD43-A82D-DEFB99103A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N5" authorId="21" shapeId="0" xr:uid="{9704B68A-6201-CE4E-AAD4-814CE00AAAF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O5" authorId="22" shapeId="0" xr:uid="{31A4A2A3-CDAB-5643-8941-5266E87BD7F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P5" authorId="23" shapeId="0" xr:uid="{AEB260FB-9B27-8E43-995E-6C74B90EAE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Q5" authorId="24" shapeId="0" xr:uid="{4EFDCBB8-324D-9147-9855-ED0AC28E9A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R5" authorId="25" shapeId="0" xr:uid="{3CE6A0F2-2FE7-944D-BA81-25106F3CED2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S5" authorId="26" shapeId="0" xr:uid="{3E11CB8A-60D5-6E4B-82F9-7807732A51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T5" authorId="27" shapeId="0" xr:uid="{7A72DAE3-675D-7D42-B1B3-1BF755D0B9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U5" authorId="28" shapeId="0" xr:uid="{80AE86A3-C21D-654F-9B63-8F3D80832E8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V5" authorId="29" shapeId="0" xr:uid="{1DE20DBA-9D89-E347-BBDE-C812E56D58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W5" authorId="30" shapeId="0" xr:uid="{FDB661F7-49C2-DA4D-84FC-51A6AABA8E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X5" authorId="31" shapeId="0" xr:uid="{EA198322-FD5F-AC42-8059-6D884171ACF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Y5" authorId="32" shapeId="0" xr:uid="{646F7FD9-726D-1F4B-A6EE-ED48155FBD5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AZ5" authorId="33" shapeId="0" xr:uid="{2B0D5C1A-4AC3-7842-B3C9-E04681E4128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A5" authorId="34" shapeId="0" xr:uid="{6DA1AC47-592D-EB41-B094-ECF58B5024F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B5" authorId="35" shapeId="0" xr:uid="{DDA77389-C52D-4743-859E-08BD9B7448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C5" authorId="36" shapeId="0" xr:uid="{621A9B89-B480-DF47-B8A4-753B81992D5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D5" authorId="37" shapeId="0" xr:uid="{920C6B1F-05E3-8E41-9F1A-1DE0A2037FC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E5" authorId="38" shapeId="0" xr:uid="{47242C06-7DD0-364A-9178-6FB2D5354FD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F5" authorId="39" shapeId="0" xr:uid="{6E738E5C-C38A-B748-8EB0-CEB59DA5623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G5" authorId="40" shapeId="0" xr:uid="{E8B2EC3A-EEF0-4545-A3C6-77A55A0415A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H5" authorId="41" shapeId="0" xr:uid="{A7C679CA-34EA-F24B-8CB5-21F3232B8F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I5" authorId="42" shapeId="0" xr:uid="{1631A95A-848F-0847-9C35-2E8C10BAFD3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J5" authorId="43" shapeId="0" xr:uid="{635E4685-1D28-8145-83FF-C4BBFC0D134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K5" authorId="44" shapeId="0" xr:uid="{29DF7981-0573-BA44-BA83-1B703796C4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L5" authorId="45" shapeId="0" xr:uid="{5D5A830E-3F08-184F-8EA9-13D9BBB9634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M5" authorId="46" shapeId="0" xr:uid="{0321BEA5-06CC-984F-AF2F-C9097911623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N5" authorId="47" shapeId="0" xr:uid="{B583EFA9-52A8-2E42-95C8-D33C9BA7FCE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O5" authorId="48" shapeId="0" xr:uid="{E8EA4172-9830-6146-9D93-FFB773BB96F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P5" authorId="49" shapeId="0" xr:uid="{4A5DEF67-95BC-924E-85C9-363E05A0448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Q5" authorId="50" shapeId="0" xr:uid="{C84FFE94-7244-D548-A371-49980AA54FB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R5" authorId="51" shapeId="0" xr:uid="{6C70F12A-1BB5-154D-8082-091D627845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S5" authorId="52" shapeId="0" xr:uid="{42C38C05-55F4-0747-8366-CBED4884B9C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T5" authorId="53" shapeId="0" xr:uid="{99ADFA33-A564-164D-ADCD-20F3F9410E3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U5" authorId="54" shapeId="0" xr:uid="{9643690E-E5AC-6645-A3E7-9CB72E74943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V5" authorId="55" shapeId="0" xr:uid="{1DE7FF0E-F08F-4347-B23E-53F5C117D17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W5" authorId="56" shapeId="0" xr:uid="{F99BD3B9-8978-1A4E-B220-6288D57F3CF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X5" authorId="57" shapeId="0" xr:uid="{5A878FBC-5005-954C-A3A3-CD175B03068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Y5" authorId="58" shapeId="0" xr:uid="{E4256CC0-7807-0E41-A58D-6A59FD819B4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BZ5" authorId="59" shapeId="0" xr:uid="{155F9D23-BBD6-F442-B66F-E75E07F813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A5" authorId="60" shapeId="0" xr:uid="{984AB929-4B1F-714C-8543-E416347A7F2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B5" authorId="61" shapeId="0" xr:uid="{4D40E60D-AE9E-E74E-B19C-2A53CF78C33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C5" authorId="62" shapeId="0" xr:uid="{77B61FE6-E2F2-0341-8D44-03ACAD6B536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D5" authorId="63" shapeId="0" xr:uid="{F12E0C97-A5FB-8746-BEB5-19662B72582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E5" authorId="64" shapeId="0" xr:uid="{0637C307-51B8-684F-B850-42CB40FE05B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F5" authorId="65" shapeId="0" xr:uid="{C841246B-8C92-B441-996D-042533CBBA5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G5" authorId="66" shapeId="0" xr:uid="{06708D83-51BA-414C-8362-F2537C6D926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H5" authorId="67" shapeId="0" xr:uid="{014DA0D7-9C2D-AE49-ADF2-D6FEA7C66A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I5" authorId="68" shapeId="0" xr:uid="{1BE06556-1A9E-8947-925F-032C13FF340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J5" authorId="69" shapeId="0" xr:uid="{BFFA4246-D0C5-BD48-8678-197D389024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K5" authorId="70" shapeId="0" xr:uid="{471378C7-4C37-9B41-ABAD-1C18ECA2339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L5" authorId="71" shapeId="0" xr:uid="{AF814D51-D2D1-CB49-AA91-EB21236A15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M5" authorId="72" shapeId="0" xr:uid="{9DFE88A4-B5F0-6749-A606-C57AE5DE6A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N5" authorId="73" shapeId="0" xr:uid="{55D2DBBF-4B6A-7B4D-94E0-D391683CAE5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O5" authorId="74" shapeId="0" xr:uid="{8E691DED-50A8-EF4D-B1A4-668016F9BBF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P5" authorId="75" shapeId="0" xr:uid="{2C673163-695E-3A4E-9174-F519949535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Q5" authorId="76" shapeId="0" xr:uid="{9740A24D-FC90-E547-8BC6-6A5B833E903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R5" authorId="77" shapeId="0" xr:uid="{FF821EC2-96E1-E34E-8A9A-01B3600256D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S5" authorId="78" shapeId="0" xr:uid="{F2F28829-7DD2-534C-8226-05EE555F5B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T5" authorId="79" shapeId="0" xr:uid="{4552581E-4692-3240-834E-2A478AAA62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U5" authorId="80" shapeId="0" xr:uid="{CCC87226-4D2F-AD48-B867-63006B3B2CF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V5" authorId="81" shapeId="0" xr:uid="{C47DAEB9-A0E7-C240-8477-6D13266D12F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W5" authorId="82" shapeId="0" xr:uid="{C5CB3F10-5E41-E348-A22A-5367ACEE9AE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X5" authorId="83" shapeId="0" xr:uid="{6D16E152-DA2C-A14E-8EE4-3229C68C95C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Y5" authorId="84" shapeId="0" xr:uid="{F060B8CC-94CD-F44B-89A0-9785791D90C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CZ5" authorId="85" shapeId="0" xr:uid="{09A339EA-68DF-E64B-BABB-CA3288511A6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DA5" authorId="86" shapeId="0" xr:uid="{C27C06F8-893E-A942-A375-9C441F346C8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DB5" authorId="87" shapeId="0" xr:uid="{C1ED41BD-5C76-5C4D-8398-240D517ACC3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DC5" authorId="88" shapeId="0" xr:uid="{BCF8D50D-4C19-F646-B12C-14ADDD34A55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오른쪽으로 쫙 복붙</t>
      </text>
    </comment>
    <comment ref="S7" authorId="89" shapeId="0" xr:uid="{A7A6D896-D8D5-4558-96C1-B06D145311A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행렬 범위 잡아서 쫙 복붙</t>
      </text>
    </comment>
    <comment ref="S59" authorId="90" shapeId="0" xr:uid="{69FB5DA0-93F6-584F-8F32-C5854B2660B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행렬 범위 잡아서 쫙 복붙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<sst xmlns="http://schemas.openxmlformats.org/spreadsheetml/2006/main" count="329" uniqueCount="288">
  <si>
    <t>00.02.14</t>
  </si>
  <si>
    <t>00.05.14</t>
  </si>
  <si>
    <t>00.08.14</t>
  </si>
  <si>
    <t>00.11.14</t>
  </si>
  <si>
    <t>01.02.14</t>
  </si>
  <si>
    <t>01.05.14</t>
  </si>
  <si>
    <t>01.08.14</t>
  </si>
  <si>
    <t>01.11.14</t>
  </si>
  <si>
    <t>02.02.14</t>
  </si>
  <si>
    <t>02.05.14</t>
  </si>
  <si>
    <t>02.08.14</t>
  </si>
  <si>
    <t>02.11.14</t>
  </si>
  <si>
    <t>03.02.14</t>
  </si>
  <si>
    <t>03.05.14</t>
  </si>
  <si>
    <t>03.08.14</t>
  </si>
  <si>
    <t>03.11.14</t>
  </si>
  <si>
    <t>04.02.14</t>
  </si>
  <si>
    <t>04.05.14</t>
  </si>
  <si>
    <t>04.08.14</t>
  </si>
  <si>
    <t>04.11.14</t>
  </si>
  <si>
    <t>05.02.14</t>
  </si>
  <si>
    <t>05.08.14</t>
  </si>
  <si>
    <t>06.02.14</t>
  </si>
  <si>
    <t>06.08.14</t>
  </si>
  <si>
    <t>07.02.14</t>
  </si>
  <si>
    <t>07.08.14</t>
  </si>
  <si>
    <t>08.02.14</t>
  </si>
  <si>
    <t>08.08.14</t>
  </si>
  <si>
    <t>09.02.14</t>
  </si>
  <si>
    <t>09.08.14</t>
  </si>
  <si>
    <t>10.02.14</t>
  </si>
  <si>
    <t>11.11.14</t>
  </si>
  <si>
    <t>12.11.14</t>
  </si>
  <si>
    <t>13.11.14</t>
  </si>
  <si>
    <t>14.11.14</t>
  </si>
  <si>
    <t>15.11.14</t>
  </si>
  <si>
    <t>16.11.14</t>
  </si>
  <si>
    <t>17.11.14</t>
  </si>
  <si>
    <t>18.11.14</t>
  </si>
  <si>
    <t>19.02.14</t>
  </si>
  <si>
    <t>19.11.14</t>
  </si>
  <si>
    <t>21.02.14</t>
  </si>
  <si>
    <t>22.05.14</t>
  </si>
  <si>
    <t>23.05.14</t>
  </si>
  <si>
    <t>24.05.14</t>
  </si>
  <si>
    <t>25.05.14</t>
  </si>
  <si>
    <t>26.05.14</t>
  </si>
  <si>
    <t>27.05.14</t>
  </si>
  <si>
    <t>28.05.14</t>
  </si>
  <si>
    <t>28.11.14</t>
  </si>
  <si>
    <t>29.05.14</t>
  </si>
  <si>
    <t>29.11.14</t>
  </si>
  <si>
    <t>Days</t>
    <phoneticPr fontId="1" type="noConversion"/>
  </si>
  <si>
    <t>Years</t>
    <phoneticPr fontId="1" type="noConversion"/>
  </si>
  <si>
    <t>1D</t>
  </si>
  <si>
    <t>1W</t>
  </si>
  <si>
    <t>2W</t>
  </si>
  <si>
    <t>3W</t>
  </si>
  <si>
    <t>1M</t>
  </si>
  <si>
    <t>3M</t>
  </si>
  <si>
    <t>4M</t>
  </si>
  <si>
    <t>5M</t>
  </si>
  <si>
    <t>6M</t>
  </si>
  <si>
    <t>9M</t>
  </si>
  <si>
    <t>1Y</t>
  </si>
  <si>
    <t>3m</t>
    <phoneticPr fontId="1" type="noConversion"/>
  </si>
  <si>
    <t>6m</t>
    <phoneticPr fontId="1" type="noConversion"/>
  </si>
  <si>
    <t>9m</t>
    <phoneticPr fontId="1" type="noConversion"/>
  </si>
  <si>
    <t>1y</t>
    <phoneticPr fontId="1" type="noConversion"/>
  </si>
  <si>
    <t>1.5y</t>
    <phoneticPr fontId="1" type="noConversion"/>
  </si>
  <si>
    <t>2y</t>
    <phoneticPr fontId="1" type="noConversion"/>
  </si>
  <si>
    <t>3y</t>
    <phoneticPr fontId="1" type="noConversion"/>
  </si>
  <si>
    <t>4y</t>
    <phoneticPr fontId="1" type="noConversion"/>
  </si>
  <si>
    <t>5y</t>
    <phoneticPr fontId="1" type="noConversion"/>
  </si>
  <si>
    <t>7y</t>
    <phoneticPr fontId="1" type="noConversion"/>
  </si>
  <si>
    <t>10y</t>
    <phoneticPr fontId="1" type="noConversion"/>
  </si>
  <si>
    <t>15y</t>
    <phoneticPr fontId="1" type="noConversion"/>
  </si>
  <si>
    <t>20y</t>
    <phoneticPr fontId="1" type="noConversion"/>
  </si>
  <si>
    <t>30y</t>
    <phoneticPr fontId="1" type="noConversion"/>
  </si>
  <si>
    <t>11M 14D</t>
    <phoneticPr fontId="1" type="noConversion"/>
  </si>
  <si>
    <t>8M 14D</t>
    <phoneticPr fontId="1" type="noConversion"/>
  </si>
  <si>
    <t>5M 14D</t>
    <phoneticPr fontId="1" type="noConversion"/>
  </si>
  <si>
    <t>2M 14D</t>
    <phoneticPr fontId="1" type="noConversion"/>
  </si>
  <si>
    <t>1Y 5M 14D</t>
    <phoneticPr fontId="1" type="noConversion"/>
  </si>
  <si>
    <t>1Y 8M 14D</t>
    <phoneticPr fontId="1" type="noConversion"/>
  </si>
  <si>
    <t>1Y 11M 14D</t>
    <phoneticPr fontId="1" type="noConversion"/>
  </si>
  <si>
    <t>2Y 2M 14D</t>
    <phoneticPr fontId="1" type="noConversion"/>
  </si>
  <si>
    <t>2Y 5M 14D</t>
    <phoneticPr fontId="1" type="noConversion"/>
  </si>
  <si>
    <t>2Y 8M 14D</t>
    <phoneticPr fontId="1" type="noConversion"/>
  </si>
  <si>
    <t>2Y 11M 14D</t>
    <phoneticPr fontId="1" type="noConversion"/>
  </si>
  <si>
    <t>3Y 2M 14D</t>
    <phoneticPr fontId="1" type="noConversion"/>
  </si>
  <si>
    <t>3Y 5M 14D</t>
    <phoneticPr fontId="1" type="noConversion"/>
  </si>
  <si>
    <t>3Y 8M 14D</t>
    <phoneticPr fontId="1" type="noConversion"/>
  </si>
  <si>
    <t>3Y 11M 14D</t>
    <phoneticPr fontId="1" type="noConversion"/>
  </si>
  <si>
    <t>4Y 2M 14D</t>
    <phoneticPr fontId="1" type="noConversion"/>
  </si>
  <si>
    <t>4Y 5M 14D</t>
    <phoneticPr fontId="1" type="noConversion"/>
  </si>
  <si>
    <t>4Y 8M 14D</t>
    <phoneticPr fontId="1" type="noConversion"/>
  </si>
  <si>
    <t>4Y 11M 14D</t>
    <phoneticPr fontId="1" type="noConversion"/>
  </si>
  <si>
    <t>5Y 2M 14D</t>
    <phoneticPr fontId="1" type="noConversion"/>
  </si>
  <si>
    <t>5Y 8M 14D</t>
    <phoneticPr fontId="1" type="noConversion"/>
  </si>
  <si>
    <t>6Y 2M 14D</t>
    <phoneticPr fontId="1" type="noConversion"/>
  </si>
  <si>
    <t>6Y 8M 14D</t>
    <phoneticPr fontId="1" type="noConversion"/>
  </si>
  <si>
    <t>7Y 2M 14D</t>
    <phoneticPr fontId="1" type="noConversion"/>
  </si>
  <si>
    <t>7Y 8M 14D</t>
    <phoneticPr fontId="1" type="noConversion"/>
  </si>
  <si>
    <t>8Y 2M 14D</t>
    <phoneticPr fontId="1" type="noConversion"/>
  </si>
  <si>
    <t>8Y 8M 14D</t>
    <phoneticPr fontId="1" type="noConversion"/>
  </si>
  <si>
    <t>9Y 2M 14D</t>
    <phoneticPr fontId="1" type="noConversion"/>
  </si>
  <si>
    <t>9Y 8M 14D</t>
    <phoneticPr fontId="1" type="noConversion"/>
  </si>
  <si>
    <t>10Y 2M 14D</t>
    <phoneticPr fontId="1" type="noConversion"/>
  </si>
  <si>
    <t>11Y 11M 14D</t>
    <phoneticPr fontId="1" type="noConversion"/>
  </si>
  <si>
    <t>12Y 11M 14D</t>
    <phoneticPr fontId="1" type="noConversion"/>
  </si>
  <si>
    <t>13Y 11M 14D</t>
    <phoneticPr fontId="1" type="noConversion"/>
  </si>
  <si>
    <t>14Y 11M 14D</t>
    <phoneticPr fontId="1" type="noConversion"/>
  </si>
  <si>
    <t>15Y 11M 14D</t>
    <phoneticPr fontId="1" type="noConversion"/>
  </si>
  <si>
    <t>16Y 11M 14D</t>
    <phoneticPr fontId="1" type="noConversion"/>
  </si>
  <si>
    <t>17Y 11M 14D</t>
    <phoneticPr fontId="1" type="noConversion"/>
  </si>
  <si>
    <t>18Y 11M 14D</t>
    <phoneticPr fontId="1" type="noConversion"/>
  </si>
  <si>
    <t>19Y 11M 14D</t>
    <phoneticPr fontId="1" type="noConversion"/>
  </si>
  <si>
    <t>19Y 2M 14D</t>
    <phoneticPr fontId="1" type="noConversion"/>
  </si>
  <si>
    <t>21Y 2M 14D</t>
    <phoneticPr fontId="1" type="noConversion"/>
  </si>
  <si>
    <t>22Y 5M 14D</t>
    <phoneticPr fontId="1" type="noConversion"/>
  </si>
  <si>
    <t>23Y 5M 14D</t>
    <phoneticPr fontId="1" type="noConversion"/>
  </si>
  <si>
    <t>24Y 5M 14D</t>
    <phoneticPr fontId="1" type="noConversion"/>
  </si>
  <si>
    <t>25Y 5M 14D</t>
    <phoneticPr fontId="1" type="noConversion"/>
  </si>
  <si>
    <t>26Y 5M 14D</t>
    <phoneticPr fontId="1" type="noConversion"/>
  </si>
  <si>
    <t>27Y 5M 14D</t>
    <phoneticPr fontId="1" type="noConversion"/>
  </si>
  <si>
    <t>28Y 5M 14D</t>
    <phoneticPr fontId="1" type="noConversion"/>
  </si>
  <si>
    <t>28Y 11M 14D</t>
    <phoneticPr fontId="1" type="noConversion"/>
  </si>
  <si>
    <t>29Y 5M 14D</t>
    <phoneticPr fontId="1" type="noConversion"/>
  </si>
  <si>
    <t>29Y 11M 14D</t>
    <phoneticPr fontId="1" type="noConversion"/>
  </si>
  <si>
    <t>Face Value</t>
    <phoneticPr fontId="1" type="noConversion"/>
  </si>
  <si>
    <t>llinear curve</t>
  </si>
  <si>
    <t>NS</t>
  </si>
  <si>
    <t>real_price</t>
    <phoneticPr fontId="1" type="noConversion"/>
  </si>
  <si>
    <t>=EXP(-(E19/100)*A19)</t>
    <phoneticPr fontId="1" type="noConversion"/>
  </si>
  <si>
    <t>2M</t>
    <phoneticPr fontId="1" type="noConversion"/>
  </si>
  <si>
    <t>v</t>
    <phoneticPr fontId="1" type="noConversion"/>
  </si>
  <si>
    <t>1Y 2M 14D</t>
    <phoneticPr fontId="1" type="noConversion"/>
  </si>
  <si>
    <t>1Y 6M(18M)</t>
    <phoneticPr fontId="1" type="noConversion"/>
  </si>
  <si>
    <t>2Y</t>
    <phoneticPr fontId="1" type="noConversion"/>
  </si>
  <si>
    <t>3Y</t>
    <phoneticPr fontId="1" type="noConversion"/>
  </si>
  <si>
    <t>4Y</t>
    <phoneticPr fontId="1" type="noConversion"/>
  </si>
  <si>
    <t>5Y</t>
    <phoneticPr fontId="1" type="noConversion"/>
  </si>
  <si>
    <t>6Y</t>
    <phoneticPr fontId="1" type="noConversion"/>
  </si>
  <si>
    <t>7Y</t>
    <phoneticPr fontId="1" type="noConversion"/>
  </si>
  <si>
    <t>10Y</t>
    <phoneticPr fontId="1" type="noConversion"/>
  </si>
  <si>
    <t>15Y</t>
    <phoneticPr fontId="1" type="noConversion"/>
  </si>
  <si>
    <t>20Y</t>
    <phoneticPr fontId="1" type="noConversion"/>
  </si>
  <si>
    <t>25Y</t>
    <phoneticPr fontId="1" type="noConversion"/>
  </si>
  <si>
    <t>30Y</t>
    <phoneticPr fontId="1" type="noConversion"/>
  </si>
  <si>
    <t>Area for NS Calibration</t>
    <phoneticPr fontId="1" type="noConversion"/>
  </si>
  <si>
    <t>Area you should estimate</t>
    <phoneticPr fontId="1" type="noConversion"/>
  </si>
  <si>
    <t>Sum of the Difference</t>
    <phoneticPr fontId="1" type="noConversion"/>
  </si>
  <si>
    <t>Level(Theta0)</t>
    <phoneticPr fontId="1" type="noConversion"/>
  </si>
  <si>
    <t>Slope(Theta1)</t>
    <phoneticPr fontId="1" type="noConversion"/>
  </si>
  <si>
    <t>Curvature(Theta2)</t>
    <phoneticPr fontId="1" type="noConversion"/>
  </si>
  <si>
    <t>Hump(Lambda)</t>
    <phoneticPr fontId="1" type="noConversion"/>
  </si>
  <si>
    <t>Loglinear Interpolation</t>
    <phoneticPr fontId="1" type="noConversion"/>
  </si>
  <si>
    <t>= - LN(DF) / Years * 100</t>
    <phoneticPr fontId="1" type="noConversion"/>
  </si>
  <si>
    <t>Bond Table</t>
    <phoneticPr fontId="1" type="noConversion"/>
  </si>
  <si>
    <t>Cash Flow Matrix</t>
    <phoneticPr fontId="1" type="noConversion"/>
  </si>
  <si>
    <t>Exp</t>
    <phoneticPr fontId="1" type="noConversion"/>
  </si>
  <si>
    <t>Par Yield(%)</t>
    <phoneticPr fontId="1" type="noConversion"/>
  </si>
  <si>
    <t>1m</t>
    <phoneticPr fontId="1" type="noConversion"/>
  </si>
  <si>
    <t>2m</t>
    <phoneticPr fontId="1" type="noConversion"/>
  </si>
  <si>
    <t>4m</t>
    <phoneticPr fontId="1" type="noConversion"/>
  </si>
  <si>
    <t>NS_DF</t>
    <phoneticPr fontId="1" type="noConversion"/>
  </si>
  <si>
    <t>Face Value(USD)</t>
    <phoneticPr fontId="1" type="noConversion"/>
  </si>
  <si>
    <t>25y</t>
    <phoneticPr fontId="1" type="noConversion"/>
  </si>
  <si>
    <t>6y</t>
    <phoneticPr fontId="1" type="noConversion"/>
  </si>
  <si>
    <t>5m</t>
    <phoneticPr fontId="1" type="noConversion"/>
  </si>
  <si>
    <t>https://home.treasury.gov/resource-center/data-chart-center/interest-rates/TextView?type=daily_treasury_yield_curve&amp;field_tdr_date_value=202601</t>
  </si>
  <si>
    <t>Area for NS Parameters Calibration</t>
    <phoneticPr fontId="1" type="noConversion"/>
  </si>
  <si>
    <t>Area you should estimate DF</t>
    <phoneticPr fontId="1" type="noConversion"/>
  </si>
  <si>
    <t>https://www.ktbinfo.or.kr/</t>
    <phoneticPr fontId="1" type="noConversion"/>
  </si>
  <si>
    <t>42.11.14</t>
  </si>
  <si>
    <t>42Y 11M 14D</t>
    <phoneticPr fontId="1" type="noConversion"/>
  </si>
  <si>
    <t>Interpolation</t>
    <phoneticPr fontId="1" type="noConversion"/>
  </si>
  <si>
    <t>Korea Treasury Bonds</t>
    <phoneticPr fontId="1" type="noConversion"/>
  </si>
  <si>
    <t>US Treasury Bonds</t>
    <phoneticPr fontId="1" type="noConversion"/>
  </si>
  <si>
    <t>Discount Factor Estimation</t>
    <phoneticPr fontId="1" type="noConversion"/>
  </si>
  <si>
    <t>Months</t>
    <phoneticPr fontId="1" type="noConversion"/>
  </si>
  <si>
    <t>Dirty Price</t>
    <phoneticPr fontId="1" type="noConversion"/>
  </si>
  <si>
    <t>Clean Price</t>
    <phoneticPr fontId="1" type="noConversion"/>
  </si>
  <si>
    <t>Color Code</t>
    <phoneticPr fontId="5" type="noConversion"/>
  </si>
  <si>
    <t>Blue</t>
    <phoneticPr fontId="5" type="noConversion"/>
  </si>
  <si>
    <t>Hardcode</t>
    <phoneticPr fontId="5" type="noConversion"/>
  </si>
  <si>
    <t>Black</t>
    <phoneticPr fontId="5" type="noConversion"/>
  </si>
  <si>
    <t>Green</t>
    <phoneticPr fontId="5" type="noConversion"/>
  </si>
  <si>
    <t>=EXP(LN(df_low)+(Years-Years_low) * (LN(df_high)-LN(df_low)) / (Years_high-Years_low) )</t>
    <phoneticPr fontId="1" type="noConversion"/>
  </si>
  <si>
    <t>=SUMSQ()</t>
    <phoneticPr fontId="1" type="noConversion"/>
  </si>
  <si>
    <t>=SUMPRODUCT()</t>
    <phoneticPr fontId="1" type="noConversion"/>
  </si>
  <si>
    <t>M7:M59 &gt; 0</t>
  </si>
  <si>
    <t>M7:M59 &lt;= 1</t>
  </si>
  <si>
    <t>diff_NS</t>
    <phoneticPr fontId="1" type="noConversion"/>
  </si>
  <si>
    <t>Initial Value(Need to optimize)</t>
    <phoneticPr fontId="1" type="noConversion"/>
  </si>
  <si>
    <t>Par Value</t>
    <phoneticPr fontId="1" type="noConversion"/>
  </si>
  <si>
    <t>Calculation</t>
    <phoneticPr fontId="5" type="noConversion"/>
  </si>
  <si>
    <r>
      <rPr>
        <b/>
        <sz val="11"/>
        <color rgb="FFFF0000"/>
        <rFont val="나눔고딕"/>
        <family val="3"/>
        <charset val="129"/>
      </rPr>
      <t>수정</t>
    </r>
    <r>
      <rPr>
        <b/>
        <sz val="11"/>
        <color rgb="FFFF0000"/>
        <rFont val="helvetica"/>
        <family val="2"/>
      </rPr>
      <t xml:space="preserve"> </t>
    </r>
    <r>
      <rPr>
        <b/>
        <sz val="11"/>
        <color rgb="FFFF0000"/>
        <rFont val="나눔고딕"/>
        <family val="3"/>
        <charset val="129"/>
      </rPr>
      <t>금지</t>
    </r>
    <r>
      <rPr>
        <b/>
        <sz val="11"/>
        <color rgb="FFFF0000"/>
        <rFont val="helvetica"/>
        <family val="2"/>
      </rPr>
      <t>!!</t>
    </r>
    <phoneticPr fontId="1" type="noConversion"/>
  </si>
  <si>
    <r>
      <rPr>
        <sz val="11"/>
        <color theme="1"/>
        <rFont val="나눔고딕"/>
        <family val="3"/>
        <charset val="129"/>
      </rPr>
      <t>초기값</t>
    </r>
    <r>
      <rPr>
        <sz val="11"/>
        <color theme="1"/>
        <rFont val="helvetica"/>
        <family val="2"/>
      </rPr>
      <t>(</t>
    </r>
    <r>
      <rPr>
        <sz val="11"/>
        <color theme="1"/>
        <rFont val="나눔고딕"/>
        <family val="3"/>
        <charset val="129"/>
      </rPr>
      <t>최적화</t>
    </r>
    <r>
      <rPr>
        <sz val="11"/>
        <color theme="1"/>
        <rFont val="helvetica"/>
        <family val="2"/>
      </rPr>
      <t xml:space="preserve"> </t>
    </r>
    <r>
      <rPr>
        <sz val="11"/>
        <color theme="1"/>
        <rFont val="나눔고딕"/>
        <family val="3"/>
        <charset val="129"/>
      </rPr>
      <t>대상</t>
    </r>
    <r>
      <rPr>
        <sz val="11"/>
        <color theme="1"/>
        <rFont val="helvetica"/>
        <family val="2"/>
      </rPr>
      <t>)</t>
    </r>
    <phoneticPr fontId="1" type="noConversion"/>
  </si>
  <si>
    <r>
      <rPr>
        <b/>
        <sz val="11"/>
        <color theme="1"/>
        <rFont val="나눔고딕"/>
        <family val="3"/>
        <charset val="129"/>
      </rPr>
      <t>할인계수벡터</t>
    </r>
    <phoneticPr fontId="1" type="noConversion"/>
  </si>
  <si>
    <r>
      <rPr>
        <b/>
        <sz val="11"/>
        <color theme="1"/>
        <rFont val="나눔고딕"/>
        <family val="3"/>
        <charset val="129"/>
      </rPr>
      <t>종목명</t>
    </r>
  </si>
  <si>
    <r>
      <rPr>
        <b/>
        <sz val="11"/>
        <color theme="1"/>
        <rFont val="나눔고딕"/>
        <family val="3"/>
        <charset val="129"/>
      </rPr>
      <t>발행일</t>
    </r>
  </si>
  <si>
    <r>
      <rPr>
        <b/>
        <sz val="11"/>
        <color theme="1"/>
        <rFont val="나눔고딕"/>
        <family val="3"/>
        <charset val="129"/>
      </rPr>
      <t>만기일</t>
    </r>
  </si>
  <si>
    <r>
      <rPr>
        <b/>
        <sz val="11"/>
        <color theme="1"/>
        <rFont val="나눔고딕"/>
        <family val="3"/>
        <charset val="129"/>
      </rPr>
      <t>표면금리</t>
    </r>
  </si>
  <si>
    <r>
      <rPr>
        <b/>
        <sz val="11"/>
        <color theme="1"/>
        <rFont val="나눔고딕"/>
        <family val="3"/>
        <charset val="129"/>
      </rPr>
      <t>잔존만기</t>
    </r>
  </si>
  <si>
    <r>
      <rPr>
        <b/>
        <sz val="11"/>
        <color theme="1"/>
        <rFont val="나눔고딕"/>
        <family val="3"/>
        <charset val="129"/>
      </rPr>
      <t>평가수익률</t>
    </r>
  </si>
  <si>
    <r>
      <rPr>
        <b/>
        <sz val="11"/>
        <color theme="1"/>
        <rFont val="나눔고딕"/>
        <family val="3"/>
        <charset val="129"/>
      </rPr>
      <t>경과이자</t>
    </r>
    <phoneticPr fontId="1" type="noConversion"/>
  </si>
  <si>
    <r>
      <rPr>
        <b/>
        <sz val="11"/>
        <color theme="1"/>
        <rFont val="나눔고딕"/>
        <family val="3"/>
        <charset val="129"/>
      </rPr>
      <t>할인계수</t>
    </r>
    <r>
      <rPr>
        <b/>
        <sz val="11"/>
        <color theme="1"/>
        <rFont val="helvetica"/>
        <family val="2"/>
      </rPr>
      <t>(</t>
    </r>
    <r>
      <rPr>
        <b/>
        <sz val="11"/>
        <color theme="1"/>
        <rFont val="나눔고딕"/>
        <family val="3"/>
        <charset val="129"/>
      </rPr>
      <t>최적화</t>
    </r>
    <r>
      <rPr>
        <b/>
        <sz val="11"/>
        <color theme="1"/>
        <rFont val="helvetica"/>
        <family val="2"/>
      </rPr>
      <t>)</t>
    </r>
    <phoneticPr fontId="1" type="noConversion"/>
  </si>
  <si>
    <r>
      <rPr>
        <b/>
        <sz val="11"/>
        <color theme="1"/>
        <rFont val="나눔고딕"/>
        <family val="3"/>
        <charset val="129"/>
      </rPr>
      <t>제로금리</t>
    </r>
    <phoneticPr fontId="1" type="noConversion"/>
  </si>
  <si>
    <r>
      <rPr>
        <b/>
        <sz val="11"/>
        <color theme="1"/>
        <rFont val="나눔고딕"/>
        <family val="3"/>
        <charset val="129"/>
      </rPr>
      <t>이론가</t>
    </r>
    <phoneticPr fontId="1" type="noConversion"/>
  </si>
  <si>
    <r>
      <rPr>
        <b/>
        <sz val="11"/>
        <color theme="1"/>
        <rFont val="나눔고딕"/>
        <family val="3"/>
        <charset val="129"/>
      </rPr>
      <t>오차</t>
    </r>
    <phoneticPr fontId="1" type="noConversion"/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</si>
  <si>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00875-2312(20-8)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</si>
  <si>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01875-2403(19-1)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</si>
  <si>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01125-2406(21-4)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</si>
  <si>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03000-2409(14-5)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</si>
  <si>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01875-2412(21-10)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</si>
  <si>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01500-2503(20-1)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</si>
  <si>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03125-2506(22-4)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</si>
  <si>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01125-2509(20-6)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</si>
  <si>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02250-2512(15-8)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</si>
  <si>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01250-2603(21-1)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</si>
  <si>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01875-2606(16-3)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</si>
  <si>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01750-2609(21-7)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</si>
  <si>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01500-2612(16-8)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</si>
  <si>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02375-2703(22-1)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</si>
  <si>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02125-2706(17-3)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</si>
  <si>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03125-2709(22-8)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</si>
  <si>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02375-2712(17-7)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</si>
  <si>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03250-2803(23-1)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</si>
  <si>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02625-2806(18-4)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</si>
  <si>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03500-2809(23-6)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</si>
  <si>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02375-2812(18-10)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</si>
  <si>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01875-2906(19-4)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</si>
  <si>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01375-2912(19-8)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</si>
  <si>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01375-3006(20-4)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</si>
  <si>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01500-3012(20-9)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</si>
  <si>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02000-3106(21-5)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</si>
  <si>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02375-3112(21-11)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</si>
  <si>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03375-3206(22-5)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</si>
  <si>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04250-3212(22-14)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</si>
  <si>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03250-3306(23-5)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</si>
  <si>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03750-3312(13-8)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</si>
  <si>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02625-3509(15-6)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</si>
  <si>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01500-3609(16-6)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</si>
  <si>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02250-3709(17-5)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</si>
  <si>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02375-3809(18-7)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</si>
  <si>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01125-3909(19-6)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</si>
  <si>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01500-4009(20-7)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</si>
  <si>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01875-4109(21-9)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</si>
  <si>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03250-4209(22-11)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</si>
  <si>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03000-4212(12-5)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</si>
  <si>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03875-4309(23-9)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</si>
  <si>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02750-4412(14-7)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</si>
  <si>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02000-4603(16-1)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</si>
  <si>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02125-4703(17-1)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</si>
  <si>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02625-4803(18-2)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</si>
  <si>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02000-4903(19-2)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</si>
  <si>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01500-5003(20-2)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</si>
  <si>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01875-5103(21-2)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</si>
  <si>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02500-5203(22-2)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</si>
  <si>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03125-5209(22-9)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</si>
  <si>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03250-5303(23-2)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</si>
  <si>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03625-5309(23-7)</t>
    </r>
  </si>
  <si>
    <r>
      <rPr>
        <sz val="11"/>
        <color rgb="FF0000FF"/>
        <rFont val="나눔고딕"/>
        <family val="3"/>
        <charset val="129"/>
      </rPr>
      <t>국고</t>
    </r>
    <r>
      <rPr>
        <sz val="11"/>
        <color rgb="FF0000FF"/>
        <rFont val="helvetica"/>
        <family val="2"/>
      </rPr>
      <t>01500-6609(16-9)</t>
    </r>
  </si>
  <si>
    <r>
      <rPr>
        <b/>
        <sz val="11"/>
        <color theme="1"/>
        <rFont val="나눔고딕"/>
        <family val="3"/>
        <charset val="129"/>
      </rPr>
      <t>오차제곱합</t>
    </r>
    <phoneticPr fontId="1" type="noConversion"/>
  </si>
  <si>
    <r>
      <rPr>
        <sz val="11"/>
        <color theme="1"/>
        <rFont val="나눔고딕"/>
        <family val="3"/>
        <charset val="129"/>
      </rPr>
      <t>목표</t>
    </r>
    <r>
      <rPr>
        <sz val="11"/>
        <color theme="1"/>
        <rFont val="helvetica"/>
        <family val="2"/>
      </rPr>
      <t xml:space="preserve"> </t>
    </r>
    <r>
      <rPr>
        <sz val="11"/>
        <color theme="1"/>
        <rFont val="나눔고딕"/>
        <family val="3"/>
        <charset val="129"/>
      </rPr>
      <t>셀</t>
    </r>
    <r>
      <rPr>
        <sz val="11"/>
        <color theme="1"/>
        <rFont val="helvetica"/>
        <family val="2"/>
      </rPr>
      <t xml:space="preserve">: </t>
    </r>
    <r>
      <rPr>
        <sz val="11"/>
        <color theme="1"/>
        <rFont val="나눔고딕"/>
        <family val="3"/>
        <charset val="129"/>
      </rPr>
      <t>오차제곱합</t>
    </r>
    <r>
      <rPr>
        <sz val="11"/>
        <color theme="1"/>
        <rFont val="helvetica"/>
        <family val="2"/>
      </rPr>
      <t xml:space="preserve"> </t>
    </r>
    <r>
      <rPr>
        <sz val="11"/>
        <color theme="1"/>
        <rFont val="나눔고딕"/>
        <family val="3"/>
        <charset val="129"/>
      </rPr>
      <t>셀</t>
    </r>
  </si>
  <si>
    <r>
      <t>^^^^</t>
    </r>
    <r>
      <rPr>
        <b/>
        <sz val="11"/>
        <color theme="1"/>
        <rFont val="나눔고딕"/>
        <family val="3"/>
        <charset val="129"/>
      </rPr>
      <t>해찾기로</t>
    </r>
    <r>
      <rPr>
        <b/>
        <sz val="11"/>
        <color theme="1"/>
        <rFont val="helvetica"/>
        <family val="2"/>
      </rPr>
      <t xml:space="preserve"> </t>
    </r>
    <r>
      <rPr>
        <b/>
        <sz val="11"/>
        <color theme="1"/>
        <rFont val="나눔고딕"/>
        <family val="3"/>
        <charset val="129"/>
      </rPr>
      <t>풀기</t>
    </r>
    <phoneticPr fontId="1" type="noConversion"/>
  </si>
  <si>
    <r>
      <rPr>
        <sz val="11"/>
        <color theme="1"/>
        <rFont val="나눔고딕"/>
        <family val="3"/>
        <charset val="129"/>
      </rPr>
      <t>목표</t>
    </r>
    <r>
      <rPr>
        <sz val="11"/>
        <color theme="1"/>
        <rFont val="helvetica"/>
        <family val="2"/>
      </rPr>
      <t xml:space="preserve">: </t>
    </r>
    <r>
      <rPr>
        <sz val="11"/>
        <color theme="1"/>
        <rFont val="나눔고딕"/>
        <family val="3"/>
        <charset val="129"/>
      </rPr>
      <t>최소화</t>
    </r>
  </si>
  <si>
    <r>
      <rPr>
        <sz val="11"/>
        <color theme="1"/>
        <rFont val="나눔고딕"/>
        <family val="3"/>
        <charset val="129"/>
      </rPr>
      <t>제약조건</t>
    </r>
    <phoneticPr fontId="1" type="noConversion"/>
  </si>
  <si>
    <r>
      <rPr>
        <sz val="11"/>
        <color theme="1"/>
        <rFont val="나눔고딕"/>
        <family val="3"/>
        <charset val="129"/>
      </rPr>
      <t>변수</t>
    </r>
    <r>
      <rPr>
        <sz val="11"/>
        <color theme="1"/>
        <rFont val="helvetica"/>
        <family val="2"/>
      </rPr>
      <t xml:space="preserve"> </t>
    </r>
    <r>
      <rPr>
        <sz val="11"/>
        <color theme="1"/>
        <rFont val="나눔고딕"/>
        <family val="3"/>
        <charset val="129"/>
      </rPr>
      <t>셀</t>
    </r>
    <r>
      <rPr>
        <sz val="11"/>
        <color theme="1"/>
        <rFont val="helvetica"/>
        <family val="2"/>
      </rPr>
      <t>: M7:M59</t>
    </r>
  </si>
  <si>
    <r>
      <rPr>
        <sz val="11"/>
        <color theme="1"/>
        <rFont val="나눔고딕"/>
        <family val="3"/>
        <charset val="129"/>
      </rPr>
      <t>해법</t>
    </r>
    <r>
      <rPr>
        <sz val="11"/>
        <color theme="1"/>
        <rFont val="helvetica"/>
        <family val="2"/>
      </rPr>
      <t>: GRG Nonlinear</t>
    </r>
  </si>
  <si>
    <r>
      <rPr>
        <sz val="11"/>
        <color theme="1"/>
        <rFont val="나눔고딕"/>
        <family val="3"/>
        <charset val="129"/>
      </rPr>
      <t>로그선형보간</t>
    </r>
    <phoneticPr fontId="1" type="noConversion"/>
  </si>
  <si>
    <r>
      <rPr>
        <sz val="11"/>
        <color theme="1"/>
        <rFont val="나눔고딕"/>
        <family val="3"/>
        <charset val="129"/>
      </rPr>
      <t>추정대상</t>
    </r>
    <phoneticPr fontId="1" type="noConversion"/>
  </si>
  <si>
    <r>
      <rPr>
        <sz val="11"/>
        <color theme="1"/>
        <rFont val="나눔고딕"/>
        <family val="3"/>
        <charset val="129"/>
      </rPr>
      <t>외삽</t>
    </r>
    <phoneticPr fontId="1" type="noConversion"/>
  </si>
  <si>
    <r>
      <rPr>
        <sz val="11"/>
        <color theme="1"/>
        <rFont val="나눔고딕"/>
        <family val="3"/>
        <charset val="129"/>
      </rPr>
      <t>변수</t>
    </r>
    <r>
      <rPr>
        <sz val="11"/>
        <color theme="1"/>
        <rFont val="helvetica"/>
        <family val="2"/>
      </rPr>
      <t xml:space="preserve"> </t>
    </r>
    <r>
      <rPr>
        <sz val="11"/>
        <color theme="1"/>
        <rFont val="나눔고딕"/>
        <family val="3"/>
        <charset val="129"/>
      </rPr>
      <t>셀</t>
    </r>
    <r>
      <rPr>
        <sz val="11"/>
        <color theme="1"/>
        <rFont val="helvetica"/>
        <family val="2"/>
      </rPr>
      <t>: I67:L67</t>
    </r>
    <phoneticPr fontId="1" type="noConversion"/>
  </si>
  <si>
    <t>font: helvetica</t>
    <phoneticPr fontId="1" type="noConversion"/>
  </si>
  <si>
    <r>
      <t>=</t>
    </r>
    <r>
      <rPr>
        <sz val="11"/>
        <color theme="1"/>
        <rFont val="맑은 고딕"/>
        <family val="3"/>
        <charset val="129"/>
      </rPr>
      <t>이론가-Dirty Price</t>
    </r>
    <phoneticPr fontId="1" type="noConversion"/>
  </si>
  <si>
    <t>= - LN(DF) / Years * 100</t>
  </si>
  <si>
    <t>=EXP(LN(df_low)+(Years-Years_low) * (LN(df_high)-LN(df_low)) / (Years_high-Years_low) )</t>
  </si>
  <si>
    <t>=EXP(-(E19/100)*A19)</t>
  </si>
  <si>
    <t>Level(Theta0)</t>
  </si>
  <si>
    <t>Slope(Theta1)</t>
  </si>
  <si>
    <t>Curvature(Theta2)</t>
  </si>
  <si>
    <t>Hump(Lambda)</t>
  </si>
  <si>
    <t>&lt;&lt;&lt;&lt;&lt;&lt;&lt;&lt;&lt;&lt;&lt; 셀 오타 발견!! (67&gt;68</t>
  </si>
  <si>
    <t>DF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</si>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</sst>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000"/>
    <numFmt numFmtId="177" formatCode="0.000"/>
    <numFmt numFmtId="178" formatCode="0.00000000"/>
    <numFmt numFmtId="179" formatCode="0.000_ "/>
    <numFmt numFmtId="180" formatCode="0.00_ "/>
    <numFmt numFmtId="181" formatCode="0_);[Red]\(0\)"/>
    <numFmt numFmtId="182" formatCode="0.0000000"/>
    <numFmt numFmtId="183" formatCode="0.00000"/>
    <numFmt numFmtId="184" formatCode="0.000%"/>
    <numFmt numFmtId="185" formatCode="#,##0.0000"/>
    <numFmt numFmtId="186" formatCode="#,##0.00000"/>
    <numFmt numFmtId="187" formatCode="#,##0.000000000"/>
    <numFmt numFmtId="188" formatCode="0.00000000_ "/>
    <numFmt numFmtId="189" formatCode="[$-F400]h:mm:ss\ AM/PM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GS TheSans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ＭＳ Ｐゴシック"/>
      <family val="3"/>
      <charset val="128"/>
    </font>
    <font>
      <sz val="11"/>
      <color theme="1"/>
      <name val="맑은 고딕"/>
      <family val="3"/>
      <charset val="129"/>
    </font>
    <font>
      <sz val="11"/>
      <color theme="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color rgb="FF0000FF"/>
      <name val="나눔고딕"/>
      <family val="3"/>
      <charset val="129"/>
    </font>
    <font>
      <b/>
      <sz val="50"/>
      <color theme="1"/>
      <name val="Helvetica"/>
      <family val="2"/>
    </font>
    <font>
      <sz val="11"/>
      <color theme="1"/>
      <name val="helvetica"/>
      <family val="2"/>
    </font>
    <font>
      <b/>
      <sz val="12"/>
      <name val="helvetica"/>
      <family val="2"/>
    </font>
    <font>
      <b/>
      <sz val="10"/>
      <name val="helvetica"/>
      <family val="2"/>
    </font>
    <font>
      <sz val="10"/>
      <color rgb="FF0000FF"/>
      <name val="helvetica"/>
      <family val="2"/>
    </font>
    <font>
      <sz val="10"/>
      <name val="helvetica"/>
      <family val="2"/>
    </font>
    <font>
      <sz val="10"/>
      <color rgb="FF007F00"/>
      <name val="helvetica"/>
      <family val="2"/>
    </font>
    <font>
      <sz val="11"/>
      <color theme="1"/>
      <name val="Helvetica"/>
      <family val="2"/>
    </font>
    <font>
      <u/>
      <sz val="11"/>
      <color theme="10"/>
      <name val="Helvetica"/>
      <family val="2"/>
    </font>
    <font>
      <b/>
      <sz val="15"/>
      <color theme="0"/>
      <name val="helvetica"/>
      <family val="2"/>
    </font>
    <font>
      <sz val="13"/>
      <color theme="0"/>
      <name val="helvetica"/>
      <family val="2"/>
    </font>
    <font>
      <sz val="11"/>
      <color theme="0"/>
      <name val="helvetica"/>
      <family val="2"/>
    </font>
    <font>
      <b/>
      <sz val="11"/>
      <color rgb="FFFF0000"/>
      <name val="helvetica"/>
      <family val="2"/>
    </font>
    <font>
      <b/>
      <sz val="11"/>
      <color theme="1"/>
      <name val="helvetica"/>
      <family val="2"/>
    </font>
    <font>
      <sz val="11"/>
      <color rgb="FF0000FF"/>
      <name val="helvetica"/>
      <family val="2"/>
    </font>
    <font>
      <sz val="11"/>
      <color rgb="FF007F00"/>
      <name val="helvetica"/>
      <family val="2"/>
    </font>
    <font>
      <sz val="11"/>
      <name val="helvetica"/>
      <family val="2"/>
    </font>
    <font>
      <sz val="11"/>
      <color theme="4" tint="-0.499984740745262"/>
      <name val="helvetica"/>
      <family val="2"/>
    </font>
    <font>
      <sz val="11"/>
      <color rgb="FF002060"/>
      <name val="helvetica"/>
      <family val="2"/>
    </font>
    <font>
      <b/>
      <sz val="11"/>
      <color rgb="FF007F00"/>
      <name val="helvetica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/>
      <right/>
      <top style="mediumDashed">
        <color rgb="FFFF0000"/>
      </top>
      <bottom/>
      <diagonal/>
    </border>
    <border>
      <left/>
      <right/>
      <top/>
      <bottom style="mediumDashed">
        <color rgb="FFFF0000"/>
      </bottom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/>
      <diagonal/>
    </border>
    <border>
      <left style="mediumDashed">
        <color theme="1"/>
      </left>
      <right style="mediumDashed">
        <color theme="1"/>
      </right>
      <top/>
      <bottom/>
      <diagonal/>
    </border>
    <border>
      <left style="mediumDashed">
        <color theme="1"/>
      </left>
      <right style="mediumDashed">
        <color theme="1"/>
      </right>
      <top/>
      <bottom style="mediumDashed">
        <color theme="1"/>
      </bottom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/>
      <right style="mediumDashed">
        <color rgb="FFFF0000"/>
      </right>
      <top/>
      <bottom/>
      <diagonal/>
    </border>
    <border>
      <left/>
      <right style="mediumDashed">
        <color rgb="FFFF0000"/>
      </right>
      <top/>
      <bottom style="mediumDashed">
        <color rgb="FFFF0000"/>
      </bottom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6" fillId="0" borderId="0"/>
    <xf numFmtId="38" fontId="7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3" fillId="6" borderId="0" xfId="0" applyFont="1" applyFill="1">
      <alignment vertical="center"/>
    </xf>
    <xf numFmtId="0" fontId="14" fillId="6" borderId="0" xfId="0" applyFont="1" applyFill="1">
      <alignment vertical="center"/>
    </xf>
    <xf numFmtId="0" fontId="15" fillId="6" borderId="5" xfId="3" applyFont="1" applyFill="1" applyBorder="1"/>
    <xf numFmtId="0" fontId="16" fillId="6" borderId="5" xfId="3" applyFont="1" applyFill="1" applyBorder="1"/>
    <xf numFmtId="0" fontId="15" fillId="6" borderId="0" xfId="3" applyFont="1" applyFill="1"/>
    <xf numFmtId="0" fontId="16" fillId="6" borderId="0" xfId="3" applyFont="1" applyFill="1"/>
    <xf numFmtId="0" fontId="17" fillId="6" borderId="0" xfId="4" applyFont="1" applyFill="1" applyAlignment="1">
      <alignment horizontal="left" vertical="center"/>
    </xf>
    <xf numFmtId="0" fontId="18" fillId="6" borderId="0" xfId="3" applyFont="1" applyFill="1"/>
    <xf numFmtId="40" fontId="16" fillId="6" borderId="0" xfId="5" applyNumberFormat="1" applyFont="1" applyFill="1" applyBorder="1" applyAlignment="1"/>
    <xf numFmtId="0" fontId="19" fillId="6" borderId="0" xfId="3" applyFont="1" applyFill="1"/>
    <xf numFmtId="38" fontId="16" fillId="6" borderId="0" xfId="5" applyFont="1" applyFill="1" applyBorder="1" applyAlignment="1"/>
    <xf numFmtId="0" fontId="20" fillId="0" borderId="0" xfId="0" applyFont="1">
      <alignment vertical="center"/>
    </xf>
    <xf numFmtId="0" fontId="21" fillId="0" borderId="0" xfId="1" applyFont="1">
      <alignment vertical="center"/>
    </xf>
    <xf numFmtId="0" fontId="22" fillId="2" borderId="0" xfId="0" applyFont="1" applyFill="1">
      <alignment vertical="center"/>
    </xf>
    <xf numFmtId="0" fontId="14" fillId="2" borderId="0" xfId="0" applyFont="1" applyFill="1">
      <alignment vertical="center"/>
    </xf>
    <xf numFmtId="14" fontId="14" fillId="3" borderId="0" xfId="0" applyNumberFormat="1" applyFont="1" applyFill="1">
      <alignment vertical="center"/>
    </xf>
    <xf numFmtId="0" fontId="23" fillId="9" borderId="0" xfId="0" applyFont="1" applyFill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0" fontId="14" fillId="9" borderId="0" xfId="0" applyFont="1" applyFill="1">
      <alignment vertical="center"/>
    </xf>
    <xf numFmtId="0" fontId="25" fillId="3" borderId="0" xfId="0" applyFont="1" applyFill="1" applyAlignment="1">
      <alignment horizontal="center" vertical="center"/>
    </xf>
    <xf numFmtId="0" fontId="14" fillId="0" borderId="0" xfId="0" quotePrefix="1" applyFont="1">
      <alignment vertical="center"/>
    </xf>
    <xf numFmtId="0" fontId="26" fillId="0" borderId="0" xfId="0" applyFont="1">
      <alignment vertical="center"/>
    </xf>
    <xf numFmtId="176" fontId="14" fillId="0" borderId="7" xfId="0" applyNumberFormat="1" applyFont="1" applyBorder="1">
      <alignment vertical="center"/>
    </xf>
    <xf numFmtId="0" fontId="26" fillId="8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4" fillId="7" borderId="0" xfId="0" applyFont="1" applyFill="1">
      <alignment vertical="center"/>
    </xf>
    <xf numFmtId="1" fontId="14" fillId="7" borderId="0" xfId="0" applyNumberFormat="1" applyFont="1" applyFill="1">
      <alignment vertical="center"/>
    </xf>
    <xf numFmtId="1" fontId="14" fillId="7" borderId="0" xfId="0" applyNumberFormat="1" applyFont="1" applyFill="1" applyAlignment="1">
      <alignment horizontal="right" vertical="center"/>
    </xf>
    <xf numFmtId="0" fontId="27" fillId="0" borderId="0" xfId="0" applyFont="1">
      <alignment vertical="center"/>
    </xf>
    <xf numFmtId="1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181" fontId="27" fillId="0" borderId="0" xfId="0" applyNumberFormat="1" applyFont="1" applyAlignment="1">
      <alignment horizontal="center" vertical="center"/>
    </xf>
    <xf numFmtId="3" fontId="27" fillId="0" borderId="0" xfId="0" applyNumberFormat="1" applyFont="1">
      <alignment vertical="center"/>
    </xf>
    <xf numFmtId="4" fontId="27" fillId="0" borderId="0" xfId="0" applyNumberFormat="1" applyFont="1" applyAlignment="1">
      <alignment horizontal="right" vertical="center"/>
    </xf>
    <xf numFmtId="4" fontId="14" fillId="0" borderId="10" xfId="0" applyNumberFormat="1" applyFont="1" applyBorder="1" applyAlignment="1">
      <alignment horizontal="right" vertical="center"/>
    </xf>
    <xf numFmtId="4" fontId="14" fillId="0" borderId="0" xfId="0" applyNumberFormat="1" applyFont="1" applyAlignment="1">
      <alignment horizontal="right" vertical="center"/>
    </xf>
    <xf numFmtId="184" fontId="14" fillId="0" borderId="13" xfId="2" applyNumberFormat="1" applyFont="1" applyBorder="1">
      <alignment vertical="center"/>
    </xf>
    <xf numFmtId="185" fontId="14" fillId="0" borderId="13" xfId="0" applyNumberFormat="1" applyFont="1" applyBorder="1">
      <alignment vertical="center"/>
    </xf>
    <xf numFmtId="185" fontId="14" fillId="0" borderId="0" xfId="0" applyNumberFormat="1" applyFont="1">
      <alignment vertical="center"/>
    </xf>
    <xf numFmtId="3" fontId="29" fillId="7" borderId="0" xfId="0" applyNumberFormat="1" applyFont="1" applyFill="1">
      <alignment vertical="center"/>
    </xf>
    <xf numFmtId="1" fontId="14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4" fontId="14" fillId="0" borderId="11" xfId="0" applyNumberFormat="1" applyFont="1" applyBorder="1" applyAlignment="1">
      <alignment horizontal="right" vertical="center"/>
    </xf>
    <xf numFmtId="184" fontId="14" fillId="0" borderId="14" xfId="2" applyNumberFormat="1" applyFont="1" applyBorder="1">
      <alignment vertical="center"/>
    </xf>
    <xf numFmtId="0" fontId="14" fillId="0" borderId="0" xfId="0" applyFont="1">
      <alignment vertical="center"/>
    </xf>
    <xf numFmtId="3" fontId="27" fillId="0" borderId="0" xfId="0" applyNumberFormat="1" applyFont="1" applyAlignment="1">
      <alignment horizontal="right" vertical="center"/>
    </xf>
    <xf numFmtId="4" fontId="14" fillId="0" borderId="12" xfId="0" applyNumberFormat="1" applyFont="1" applyBorder="1" applyAlignment="1">
      <alignment horizontal="right" vertical="center"/>
    </xf>
    <xf numFmtId="184" fontId="14" fillId="0" borderId="15" xfId="2" applyNumberFormat="1" applyFont="1" applyBorder="1">
      <alignment vertical="center"/>
    </xf>
    <xf numFmtId="3" fontId="29" fillId="7" borderId="0" xfId="0" applyNumberFormat="1" applyFont="1" applyFill="1" applyAlignment="1">
      <alignment horizontal="right" vertical="center"/>
    </xf>
    <xf numFmtId="0" fontId="30" fillId="0" borderId="0" xfId="0" applyFont="1" applyAlignment="1">
      <alignment horizontal="left" vertical="center"/>
    </xf>
    <xf numFmtId="14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181" fontId="30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4" fontId="30" fillId="0" borderId="0" xfId="0" applyNumberFormat="1" applyFont="1" applyAlignment="1">
      <alignment horizontal="right" vertical="center"/>
    </xf>
    <xf numFmtId="178" fontId="14" fillId="0" borderId="0" xfId="0" applyNumberFormat="1" applyFont="1">
      <alignment vertical="center"/>
    </xf>
    <xf numFmtId="184" fontId="14" fillId="0" borderId="0" xfId="2" applyNumberFormat="1" applyFont="1" applyBorder="1">
      <alignment vertical="center"/>
    </xf>
    <xf numFmtId="185" fontId="14" fillId="3" borderId="0" xfId="0" applyNumberFormat="1" applyFont="1" applyFill="1">
      <alignment vertical="center"/>
    </xf>
    <xf numFmtId="3" fontId="14" fillId="0" borderId="0" xfId="0" quotePrefix="1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14" fillId="4" borderId="0" xfId="0" applyFont="1" applyFill="1">
      <alignment vertical="center"/>
    </xf>
    <xf numFmtId="0" fontId="14" fillId="5" borderId="0" xfId="0" applyFont="1" applyFill="1">
      <alignment vertical="center"/>
    </xf>
    <xf numFmtId="3" fontId="31" fillId="0" borderId="0" xfId="0" applyNumberFormat="1" applyFo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wrapText="1"/>
    </xf>
    <xf numFmtId="183" fontId="32" fillId="0" borderId="1" xfId="0" applyNumberFormat="1" applyFont="1" applyBorder="1">
      <alignment vertical="center"/>
    </xf>
    <xf numFmtId="0" fontId="14" fillId="0" borderId="6" xfId="0" applyFont="1" applyBorder="1">
      <alignment vertical="center"/>
    </xf>
    <xf numFmtId="0" fontId="14" fillId="0" borderId="0" xfId="0" applyFont="1" applyAlignment="1">
      <alignment horizontal="right" vertical="center" wrapText="1"/>
    </xf>
    <xf numFmtId="0" fontId="26" fillId="10" borderId="0" xfId="0" applyFont="1" applyFill="1" applyAlignment="1">
      <alignment horizontal="center" vertical="center"/>
    </xf>
    <xf numFmtId="0" fontId="27" fillId="5" borderId="2" xfId="0" applyFont="1" applyFill="1" applyBorder="1">
      <alignment vertical="center"/>
    </xf>
    <xf numFmtId="0" fontId="14" fillId="5" borderId="8" xfId="0" applyFont="1" applyFill="1" applyBorder="1">
      <alignment vertical="center"/>
    </xf>
    <xf numFmtId="182" fontId="14" fillId="5" borderId="8" xfId="0" applyNumberFormat="1" applyFont="1" applyFill="1" applyBorder="1">
      <alignment vertical="center"/>
    </xf>
    <xf numFmtId="0" fontId="14" fillId="5" borderId="13" xfId="0" applyFont="1" applyFill="1" applyBorder="1">
      <alignment vertical="center"/>
    </xf>
    <xf numFmtId="0" fontId="27" fillId="5" borderId="3" xfId="0" applyFont="1" applyFill="1" applyBorder="1">
      <alignment vertical="center"/>
    </xf>
    <xf numFmtId="182" fontId="14" fillId="5" borderId="0" xfId="0" applyNumberFormat="1" applyFont="1" applyFill="1">
      <alignment vertical="center"/>
    </xf>
    <xf numFmtId="0" fontId="14" fillId="5" borderId="14" xfId="0" applyFont="1" applyFill="1" applyBorder="1">
      <alignment vertical="center"/>
    </xf>
    <xf numFmtId="0" fontId="27" fillId="5" borderId="4" xfId="0" applyFont="1" applyFill="1" applyBorder="1">
      <alignment vertical="center"/>
    </xf>
    <xf numFmtId="0" fontId="14" fillId="5" borderId="9" xfId="0" applyFont="1" applyFill="1" applyBorder="1">
      <alignment vertical="center"/>
    </xf>
    <xf numFmtId="182" fontId="14" fillId="5" borderId="9" xfId="0" applyNumberFormat="1" applyFont="1" applyFill="1" applyBorder="1">
      <alignment vertical="center"/>
    </xf>
    <xf numFmtId="0" fontId="14" fillId="5" borderId="15" xfId="0" applyFont="1" applyFill="1" applyBorder="1">
      <alignment vertical="center"/>
    </xf>
    <xf numFmtId="0" fontId="27" fillId="4" borderId="0" xfId="0" applyFont="1" applyFill="1" applyAlignment="1">
      <alignment horizontal="left" vertical="center"/>
    </xf>
    <xf numFmtId="2" fontId="14" fillId="4" borderId="0" xfId="0" applyNumberFormat="1" applyFont="1" applyFill="1">
      <alignment vertical="center"/>
    </xf>
    <xf numFmtId="177" fontId="14" fillId="4" borderId="0" xfId="0" applyNumberFormat="1" applyFont="1" applyFill="1">
      <alignment vertical="center"/>
    </xf>
    <xf numFmtId="187" fontId="14" fillId="4" borderId="0" xfId="0" applyNumberFormat="1" applyFont="1" applyFill="1">
      <alignment vertical="center"/>
    </xf>
    <xf numFmtId="4" fontId="14" fillId="0" borderId="0" xfId="0" applyNumberFormat="1" applyFont="1">
      <alignment vertical="center"/>
    </xf>
    <xf numFmtId="179" fontId="14" fillId="0" borderId="0" xfId="0" applyNumberFormat="1" applyFont="1">
      <alignment vertical="center"/>
    </xf>
    <xf numFmtId="0" fontId="30" fillId="0" borderId="0" xfId="0" applyFont="1">
      <alignment vertical="center"/>
    </xf>
    <xf numFmtId="0" fontId="27" fillId="5" borderId="0" xfId="0" applyFont="1" applyFill="1">
      <alignment vertical="center"/>
    </xf>
    <xf numFmtId="2" fontId="14" fillId="5" borderId="0" xfId="0" applyNumberFormat="1" applyFont="1" applyFill="1">
      <alignment vertical="center"/>
    </xf>
    <xf numFmtId="177" fontId="14" fillId="5" borderId="0" xfId="0" applyNumberFormat="1" applyFont="1" applyFill="1">
      <alignment vertical="center"/>
    </xf>
    <xf numFmtId="187" fontId="14" fillId="5" borderId="0" xfId="0" applyNumberFormat="1" applyFont="1" applyFill="1">
      <alignment vertical="center"/>
    </xf>
    <xf numFmtId="0" fontId="27" fillId="5" borderId="0" xfId="0" applyFont="1" applyFill="1" applyAlignment="1">
      <alignment horizontal="left" vertical="center"/>
    </xf>
    <xf numFmtId="3" fontId="14" fillId="0" borderId="0" xfId="0" applyNumberFormat="1" applyFont="1">
      <alignment vertical="center"/>
    </xf>
    <xf numFmtId="0" fontId="14" fillId="3" borderId="0" xfId="0" applyFont="1" applyFill="1">
      <alignment vertical="center"/>
    </xf>
    <xf numFmtId="180" fontId="14" fillId="0" borderId="0" xfId="0" applyNumberFormat="1" applyFont="1">
      <alignment vertical="center"/>
    </xf>
    <xf numFmtId="2" fontId="14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187" fontId="14" fillId="0" borderId="0" xfId="0" applyNumberFormat="1" applyFont="1">
      <alignment vertical="center"/>
    </xf>
    <xf numFmtId="0" fontId="30" fillId="0" borderId="0" xfId="0" applyFont="1" applyAlignment="1">
      <alignment horizontal="center" vertical="center"/>
    </xf>
    <xf numFmtId="3" fontId="30" fillId="0" borderId="0" xfId="0" applyNumberFormat="1" applyFont="1">
      <alignment vertical="center"/>
    </xf>
    <xf numFmtId="178" fontId="26" fillId="0" borderId="0" xfId="0" applyNumberFormat="1" applyFont="1">
      <alignment vertical="center"/>
    </xf>
    <xf numFmtId="0" fontId="32" fillId="0" borderId="0" xfId="0" applyFont="1">
      <alignment vertical="center"/>
    </xf>
    <xf numFmtId="176" fontId="14" fillId="4" borderId="0" xfId="0" applyNumberFormat="1" applyFont="1" applyFill="1">
      <alignment vertical="center"/>
    </xf>
    <xf numFmtId="188" fontId="14" fillId="4" borderId="0" xfId="0" applyNumberFormat="1" applyFont="1" applyFill="1">
      <alignment vertical="center"/>
    </xf>
    <xf numFmtId="179" fontId="14" fillId="5" borderId="0" xfId="0" applyNumberFormat="1" applyFont="1" applyFill="1">
      <alignment vertical="center"/>
    </xf>
    <xf numFmtId="186" fontId="14" fillId="3" borderId="0" xfId="0" applyNumberFormat="1" applyFont="1" applyFill="1">
      <alignment vertical="center"/>
    </xf>
    <xf numFmtId="0" fontId="16" fillId="6" borderId="0" xfId="3" applyFont="1" applyFill="1" applyAlignment="1">
      <alignment horizontal="right"/>
    </xf>
    <xf numFmtId="0" fontId="20" fillId="0" borderId="0" xfId="0" quotePrefix="1" applyFont="1">
      <alignment vertical="center"/>
    </xf>
    <xf numFmtId="3" fontId="27" fillId="0" borderId="0" xfId="0" applyNumberFormat="1" applyFont="1" applyAlignment="1">
      <alignment horizontal="center" vertical="center"/>
    </xf>
    <xf numFmtId="189" fontId="27" fillId="5" borderId="2" xfId="0" applyNumberFormat="1" applyFont="1" applyFill="1" applyBorder="1">
      <alignment vertical="center"/>
    </xf>
    <xf numFmtId="189" fontId="27" fillId="5" borderId="3" xfId="0" applyNumberFormat="1" applyFont="1" applyFill="1" applyBorder="1">
      <alignment vertical="center"/>
    </xf>
    <xf numFmtId="189" fontId="27" fillId="5" borderId="4" xfId="0" applyNumberFormat="1" applyFont="1" applyFill="1" applyBorder="1">
      <alignment vertical="center"/>
    </xf>
    <xf numFmtId="189" fontId="27" fillId="4" borderId="0" xfId="0" applyNumberFormat="1" applyFont="1" applyFill="1">
      <alignment vertical="center"/>
    </xf>
    <xf numFmtId="189" fontId="27" fillId="4" borderId="0" xfId="0" applyNumberFormat="1" applyFont="1" applyFill="1" applyAlignment="1">
      <alignment horizontal="left" vertical="center"/>
    </xf>
    <xf numFmtId="189" fontId="27" fillId="5" borderId="0" xfId="0" applyNumberFormat="1" applyFont="1" applyFill="1" applyAlignment="1">
      <alignment horizontal="left" vertical="center"/>
    </xf>
    <xf numFmtId="177" fontId="28" fillId="0" borderId="2" xfId="0" applyNumberFormat="1" applyFont="1" applyBorder="1">
      <alignment vertical="center"/>
    </xf>
    <xf numFmtId="177" fontId="28" fillId="0" borderId="3" xfId="0" applyNumberFormat="1" applyFont="1" applyBorder="1">
      <alignment vertical="center"/>
    </xf>
    <xf numFmtId="177" fontId="28" fillId="0" borderId="4" xfId="0" applyNumberFormat="1" applyFont="1" applyBorder="1">
      <alignment vertical="center"/>
    </xf>
    <xf numFmtId="183" fontId="14" fillId="5" borderId="8" xfId="0" applyNumberFormat="1" applyFont="1" applyFill="1" applyBorder="1">
      <alignment vertical="center"/>
    </xf>
    <xf numFmtId="183" fontId="14" fillId="5" borderId="0" xfId="0" applyNumberFormat="1" applyFont="1" applyFill="1">
      <alignment vertical="center"/>
    </xf>
    <xf numFmtId="183" fontId="14" fillId="5" borderId="9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6">
    <cellStyle name="Comma [0] 8" xfId="5" xr:uid="{158A289C-F29F-4811-B79F-0FF0FE645216}"/>
    <cellStyle name="Normal 153" xfId="4" xr:uid="{6B1233AC-F4E7-4E5E-B50A-549FA01C7439}"/>
    <cellStyle name="Normal_Request Template" xfId="3" xr:uid="{708E09EE-FFA1-4B05-A833-B7B3C0EF021D}"/>
    <cellStyle name="백분율" xfId="2" builtinId="5"/>
    <cellStyle name="표준" xfId="0" builtinId="0"/>
    <cellStyle name="하이퍼링크" xfId="1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7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826293</xdr:colOff>
      <xdr:row>73</xdr:row>
      <xdr:rowOff>121759</xdr:rowOff>
    </xdr:from>
    <xdr:to>
      <xdr:col>15</xdr:col>
      <xdr:colOff>293296</xdr:colOff>
      <xdr:row>77</xdr:row>
      <xdr:rowOff>56826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1D0FD2-B59A-44D4-ABA5-33F256296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02960" y="14726759"/>
          <a:ext cx="4391780" cy="7252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146560</xdr:colOff>
      <xdr:row>20</xdr:row>
      <xdr:rowOff>78942</xdr:rowOff>
    </xdr:from>
    <xdr:to>
      <xdr:col>14</xdr:col>
      <xdr:colOff>950506</xdr:colOff>
      <xdr:row>24</xdr:row>
      <xdr:rowOff>17663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370569-66EF-421B-A5BC-C17150C14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2505" y="3753243"/>
          <a:ext cx="4405179" cy="6485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정상원" id="{3A994558-0C6C-409A-9635-59B97599A4BC}" userId="S::hybrid8400@o365.hufs.ac.kr::5391aaa7-4472-46fe-a51e-c0982ebb0ecb" providerId="AD"/>
</personList>
</file>

<file path=xl/theme/theme1.xml><?xml version="1.0" encoding="utf-8"?>
<a:theme xmlns:a="http://schemas.openxmlformats.org/drawingml/2006/main" name="Office 테마">
  <a:themeElements>
    <a:clrScheme name="기류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5" dT="2026-04-26T19:00:46.89" personId="{3A994558-0C6C-409A-9635-59B97599A4BC}" id="{4DE69821-509D-F540-AF35-F062129C2F9C}">
    <text>오른쪽으로 쫙 복붙</text>
  </threadedComment>
  <threadedComment ref="T5" dT="2026-04-26T19:00:46.89" personId="{3A994558-0C6C-409A-9635-59B97599A4BC}" id="{814C21BC-E720-8F47-B4F7-9CFC4F518480}">
    <text>오른쪽으로 쫙 복붙</text>
  </threadedComment>
  <threadedComment ref="U5" dT="2026-04-26T19:00:46.89" personId="{3A994558-0C6C-409A-9635-59B97599A4BC}" id="{4EE5ACFC-A28C-764A-80D4-D69D5B65E53A}">
    <text>오른쪽으로 쫙 복붙</text>
  </threadedComment>
  <threadedComment ref="V5" dT="2026-04-26T19:00:46.89" personId="{3A994558-0C6C-409A-9635-59B97599A4BC}" id="{B58FA75D-2253-1348-B49D-12B2F4C3A10C}">
    <text>오른쪽으로 쫙 복붙</text>
  </threadedComment>
  <threadedComment ref="W5" dT="2026-04-26T19:00:46.89" personId="{3A994558-0C6C-409A-9635-59B97599A4BC}" id="{1024B5D3-F936-C046-9EB4-B26E91B547B5}">
    <text>오른쪽으로 쫙 복붙</text>
  </threadedComment>
  <threadedComment ref="X5" dT="2026-04-26T19:00:46.89" personId="{3A994558-0C6C-409A-9635-59B97599A4BC}" id="{E265DF8E-8A69-C942-9229-BA75E9C5A7C4}">
    <text>오른쪽으로 쫙 복붙</text>
  </threadedComment>
  <threadedComment ref="Y5" dT="2026-04-26T19:00:46.89" personId="{3A994558-0C6C-409A-9635-59B97599A4BC}" id="{E117C3DC-DC87-BE4D-A03A-F3FE169CE0BE}">
    <text>오른쪽으로 쫙 복붙</text>
  </threadedComment>
  <threadedComment ref="Z5" dT="2026-04-26T19:00:46.89" personId="{3A994558-0C6C-409A-9635-59B97599A4BC}" id="{95FB77CB-A74E-9447-B70C-204E69321F92}">
    <text>오른쪽으로 쫙 복붙</text>
  </threadedComment>
  <threadedComment ref="AA5" dT="2026-04-26T19:00:46.89" personId="{3A994558-0C6C-409A-9635-59B97599A4BC}" id="{58B1A3E6-E4DC-C945-B9E0-3BFCA6261B85}">
    <text>오른쪽으로 쫙 복붙</text>
  </threadedComment>
  <threadedComment ref="AB5" dT="2026-04-26T19:00:46.89" personId="{3A994558-0C6C-409A-9635-59B97599A4BC}" id="{4EF026C3-94E3-B94C-8618-7262AC4ED555}">
    <text>오른쪽으로 쫙 복붙</text>
  </threadedComment>
  <threadedComment ref="AC5" dT="2026-04-26T19:00:46.89" personId="{3A994558-0C6C-409A-9635-59B97599A4BC}" id="{0CE4AE7D-D5C0-7A47-93D2-CAC3FBCB62D1}">
    <text>오른쪽으로 쫙 복붙</text>
  </threadedComment>
  <threadedComment ref="AD5" dT="2026-04-26T19:00:46.89" personId="{3A994558-0C6C-409A-9635-59B97599A4BC}" id="{567744DB-ED91-3E40-8960-92E7E9D818DC}">
    <text>오른쪽으로 쫙 복붙</text>
  </threadedComment>
  <threadedComment ref="AE5" dT="2026-04-26T19:00:46.89" personId="{3A994558-0C6C-409A-9635-59B97599A4BC}" id="{61E294CD-45B4-3340-84D5-E1EF1A38FE55}">
    <text>오른쪽으로 쫙 복붙</text>
  </threadedComment>
  <threadedComment ref="AF5" dT="2026-04-26T19:00:46.89" personId="{3A994558-0C6C-409A-9635-59B97599A4BC}" id="{5887F27E-1CED-594D-B05E-B02AD2940285}">
    <text>오른쪽으로 쫙 복붙</text>
  </threadedComment>
  <threadedComment ref="AG5" dT="2026-04-26T19:00:46.89" personId="{3A994558-0C6C-409A-9635-59B97599A4BC}" id="{85D16AE4-11C3-024C-A809-3DBA576763AB}">
    <text>오른쪽으로 쫙 복붙</text>
  </threadedComment>
  <threadedComment ref="AH5" dT="2026-04-26T19:00:46.89" personId="{3A994558-0C6C-409A-9635-59B97599A4BC}" id="{A0B66135-2190-EB43-B968-20BE094C478E}">
    <text>오른쪽으로 쫙 복붙</text>
  </threadedComment>
  <threadedComment ref="AI5" dT="2026-04-26T19:00:46.89" personId="{3A994558-0C6C-409A-9635-59B97599A4BC}" id="{BF7BD8A9-9033-2E4E-9F87-E0B17F881AC1}">
    <text>오른쪽으로 쫙 복붙</text>
  </threadedComment>
  <threadedComment ref="AJ5" dT="2026-04-26T19:00:46.89" personId="{3A994558-0C6C-409A-9635-59B97599A4BC}" id="{8441F778-58FB-2143-B0F9-B4A2B65C0369}">
    <text>오른쪽으로 쫙 복붙</text>
  </threadedComment>
  <threadedComment ref="AK5" dT="2026-04-26T19:00:46.89" personId="{3A994558-0C6C-409A-9635-59B97599A4BC}" id="{A63C8B4E-F835-9148-A15B-B4EDF47905EA}">
    <text>오른쪽으로 쫙 복붙</text>
  </threadedComment>
  <threadedComment ref="AL5" dT="2026-04-26T19:00:46.89" personId="{3A994558-0C6C-409A-9635-59B97599A4BC}" id="{6B0F3BFD-BC1C-5D49-8FCF-475558E16A24}">
    <text>오른쪽으로 쫙 복붙</text>
  </threadedComment>
  <threadedComment ref="AM5" dT="2026-04-26T19:00:46.89" personId="{3A994558-0C6C-409A-9635-59B97599A4BC}" id="{2103F3EA-3789-BD43-A82D-DEFB99103A49}">
    <text>오른쪽으로 쫙 복붙</text>
  </threadedComment>
  <threadedComment ref="AN5" dT="2026-04-26T19:00:46.89" personId="{3A994558-0C6C-409A-9635-59B97599A4BC}" id="{9704B68A-6201-CE4E-AAD4-814CE00AAAF6}">
    <text>오른쪽으로 쫙 복붙</text>
  </threadedComment>
  <threadedComment ref="AO5" dT="2026-04-26T19:00:46.89" personId="{3A994558-0C6C-409A-9635-59B97599A4BC}" id="{31A4A2A3-CDAB-5643-8941-5266E87BD7FF}">
    <text>오른쪽으로 쫙 복붙</text>
  </threadedComment>
  <threadedComment ref="AP5" dT="2026-04-26T19:00:46.89" personId="{3A994558-0C6C-409A-9635-59B97599A4BC}" id="{AEB260FB-9B27-8E43-995E-6C74B90EAE70}">
    <text>오른쪽으로 쫙 복붙</text>
  </threadedComment>
  <threadedComment ref="AQ5" dT="2026-04-26T19:00:46.89" personId="{3A994558-0C6C-409A-9635-59B97599A4BC}" id="{4EFDCBB8-324D-9147-9855-ED0AC28E9A33}">
    <text>오른쪽으로 쫙 복붙</text>
  </threadedComment>
  <threadedComment ref="AR5" dT="2026-04-26T19:00:46.89" personId="{3A994558-0C6C-409A-9635-59B97599A4BC}" id="{3CE6A0F2-2FE7-944D-BA81-25106F3CED28}">
    <text>오른쪽으로 쫙 복붙</text>
  </threadedComment>
  <threadedComment ref="AS5" dT="2026-04-26T19:00:46.89" personId="{3A994558-0C6C-409A-9635-59B97599A4BC}" id="{3E11CB8A-60D5-6E4B-82F9-7807732A514D}">
    <text>오른쪽으로 쫙 복붙</text>
  </threadedComment>
  <threadedComment ref="AT5" dT="2026-04-26T19:00:46.89" personId="{3A994558-0C6C-409A-9635-59B97599A4BC}" id="{7A72DAE3-675D-7D42-B1B3-1BF755D0B95F}">
    <text>오른쪽으로 쫙 복붙</text>
  </threadedComment>
  <threadedComment ref="AU5" dT="2026-04-26T19:00:46.89" personId="{3A994558-0C6C-409A-9635-59B97599A4BC}" id="{80AE86A3-C21D-654F-9B63-8F3D80832E88}">
    <text>오른쪽으로 쫙 복붙</text>
  </threadedComment>
  <threadedComment ref="AV5" dT="2026-04-26T19:00:46.89" personId="{3A994558-0C6C-409A-9635-59B97599A4BC}" id="{1DE20DBA-9D89-E347-BBDE-C812E56D5856}">
    <text>오른쪽으로 쫙 복붙</text>
  </threadedComment>
  <threadedComment ref="AW5" dT="2026-04-26T19:00:46.89" personId="{3A994558-0C6C-409A-9635-59B97599A4BC}" id="{FDB661F7-49C2-DA4D-84FC-51A6AABA8E49}">
    <text>오른쪽으로 쫙 복붙</text>
  </threadedComment>
  <threadedComment ref="AX5" dT="2026-04-26T19:00:46.89" personId="{3A994558-0C6C-409A-9635-59B97599A4BC}" id="{EA198322-FD5F-AC42-8059-6D884171ACF2}">
    <text>오른쪽으로 쫙 복붙</text>
  </threadedComment>
  <threadedComment ref="AY5" dT="2026-04-26T19:00:46.89" personId="{3A994558-0C6C-409A-9635-59B97599A4BC}" id="{646F7FD9-726D-1F4B-A6EE-ED48155FBD58}">
    <text>오른쪽으로 쫙 복붙</text>
  </threadedComment>
  <threadedComment ref="AZ5" dT="2026-04-26T19:00:46.89" personId="{3A994558-0C6C-409A-9635-59B97599A4BC}" id="{2B0D5C1A-4AC3-7842-B3C9-E04681E4128B}">
    <text>오른쪽으로 쫙 복붙</text>
  </threadedComment>
  <threadedComment ref="BA5" dT="2026-04-26T19:00:46.89" personId="{3A994558-0C6C-409A-9635-59B97599A4BC}" id="{6DA1AC47-592D-EB41-B094-ECF58B5024F7}">
    <text>오른쪽으로 쫙 복붙</text>
  </threadedComment>
  <threadedComment ref="BB5" dT="2026-04-26T19:00:46.89" personId="{3A994558-0C6C-409A-9635-59B97599A4BC}" id="{DDA77389-C52D-4743-859E-08BD9B7448EC}">
    <text>오른쪽으로 쫙 복붙</text>
  </threadedComment>
  <threadedComment ref="BC5" dT="2026-04-26T19:00:46.89" personId="{3A994558-0C6C-409A-9635-59B97599A4BC}" id="{621A9B89-B480-DF47-B8A4-753B81992D5B}">
    <text>오른쪽으로 쫙 복붙</text>
  </threadedComment>
  <threadedComment ref="BD5" dT="2026-04-26T19:00:46.89" personId="{3A994558-0C6C-409A-9635-59B97599A4BC}" id="{920C6B1F-05E3-8E41-9F1A-1DE0A2037FC7}">
    <text>오른쪽으로 쫙 복붙</text>
  </threadedComment>
  <threadedComment ref="BE5" dT="2026-04-26T19:00:46.89" personId="{3A994558-0C6C-409A-9635-59B97599A4BC}" id="{47242C06-7DD0-364A-9178-6FB2D5354FDE}">
    <text>오른쪽으로 쫙 복붙</text>
  </threadedComment>
  <threadedComment ref="BF5" dT="2026-04-26T19:00:46.89" personId="{3A994558-0C6C-409A-9635-59B97599A4BC}" id="{6E738E5C-C38A-B748-8EB0-CEB59DA56236}">
    <text>오른쪽으로 쫙 복붙</text>
  </threadedComment>
  <threadedComment ref="BG5" dT="2026-04-26T19:00:46.89" personId="{3A994558-0C6C-409A-9635-59B97599A4BC}" id="{E8B2EC3A-EEF0-4545-A3C6-77A55A0415A4}">
    <text>오른쪽으로 쫙 복붙</text>
  </threadedComment>
  <threadedComment ref="BH5" dT="2026-04-26T19:00:46.89" personId="{3A994558-0C6C-409A-9635-59B97599A4BC}" id="{A7C679CA-34EA-F24B-8CB5-21F3232B8F5F}">
    <text>오른쪽으로 쫙 복붙</text>
  </threadedComment>
  <threadedComment ref="BI5" dT="2026-04-26T19:00:46.89" personId="{3A994558-0C6C-409A-9635-59B97599A4BC}" id="{1631A95A-848F-0847-9C35-2E8C10BAFD3E}">
    <text>오른쪽으로 쫙 복붙</text>
  </threadedComment>
  <threadedComment ref="BJ5" dT="2026-04-26T19:00:46.89" personId="{3A994558-0C6C-409A-9635-59B97599A4BC}" id="{635E4685-1D28-8145-83FF-C4BBFC0D134B}">
    <text>오른쪽으로 쫙 복붙</text>
  </threadedComment>
  <threadedComment ref="BK5" dT="2026-04-26T19:00:46.89" personId="{3A994558-0C6C-409A-9635-59B97599A4BC}" id="{29DF7981-0573-BA44-BA83-1B703796C48E}">
    <text>오른쪽으로 쫙 복붙</text>
  </threadedComment>
  <threadedComment ref="BL5" dT="2026-04-26T19:00:46.89" personId="{3A994558-0C6C-409A-9635-59B97599A4BC}" id="{5D5A830E-3F08-184F-8EA9-13D9BBB9634E}">
    <text>오른쪽으로 쫙 복붙</text>
  </threadedComment>
  <threadedComment ref="BM5" dT="2026-04-26T19:00:46.89" personId="{3A994558-0C6C-409A-9635-59B97599A4BC}" id="{0321BEA5-06CC-984F-AF2F-C90979116236}">
    <text>오른쪽으로 쫙 복붙</text>
  </threadedComment>
  <threadedComment ref="BN5" dT="2026-04-26T19:00:46.89" personId="{3A994558-0C6C-409A-9635-59B97599A4BC}" id="{B583EFA9-52A8-2E42-95C8-D33C9BA7FCE7}">
    <text>오른쪽으로 쫙 복붙</text>
  </threadedComment>
  <threadedComment ref="BO5" dT="2026-04-26T19:00:46.89" personId="{3A994558-0C6C-409A-9635-59B97599A4BC}" id="{E8EA4172-9830-6146-9D93-FFB773BB96FF}">
    <text>오른쪽으로 쫙 복붙</text>
  </threadedComment>
  <threadedComment ref="BP5" dT="2026-04-26T19:00:46.89" personId="{3A994558-0C6C-409A-9635-59B97599A4BC}" id="{4A5DEF67-95BC-924E-85C9-363E05A04487}">
    <text>오른쪽으로 쫙 복붙</text>
  </threadedComment>
  <threadedComment ref="BQ5" dT="2026-04-26T19:00:46.89" personId="{3A994558-0C6C-409A-9635-59B97599A4BC}" id="{C84FFE94-7244-D548-A371-49980AA54FBE}">
    <text>오른쪽으로 쫙 복붙</text>
  </threadedComment>
  <threadedComment ref="BR5" dT="2026-04-26T19:00:46.89" personId="{3A994558-0C6C-409A-9635-59B97599A4BC}" id="{6C70F12A-1BB5-154D-8082-091D627845A9}">
    <text>오른쪽으로 쫙 복붙</text>
  </threadedComment>
  <threadedComment ref="BS5" dT="2026-04-26T19:00:46.89" personId="{3A994558-0C6C-409A-9635-59B97599A4BC}" id="{42C38C05-55F4-0747-8366-CBED4884B9CF}">
    <text>오른쪽으로 쫙 복붙</text>
  </threadedComment>
  <threadedComment ref="BT5" dT="2026-04-26T19:00:46.89" personId="{3A994558-0C6C-409A-9635-59B97599A4BC}" id="{99ADFA33-A564-164D-ADCD-20F3F9410E3E}">
    <text>오른쪽으로 쫙 복붙</text>
  </threadedComment>
  <threadedComment ref="BU5" dT="2026-04-26T19:00:46.89" personId="{3A994558-0C6C-409A-9635-59B97599A4BC}" id="{9643690E-E5AC-6645-A3E7-9CB72E749432}">
    <text>오른쪽으로 쫙 복붙</text>
  </threadedComment>
  <threadedComment ref="BV5" dT="2026-04-26T19:00:46.89" personId="{3A994558-0C6C-409A-9635-59B97599A4BC}" id="{1DE7FF0E-F08F-4347-B23E-53F5C117D17E}">
    <text>오른쪽으로 쫙 복붙</text>
  </threadedComment>
  <threadedComment ref="BW5" dT="2026-04-26T19:00:46.89" personId="{3A994558-0C6C-409A-9635-59B97599A4BC}" id="{F99BD3B9-8978-1A4E-B220-6288D57F3CF1}">
    <text>오른쪽으로 쫙 복붙</text>
  </threadedComment>
  <threadedComment ref="BX5" dT="2026-04-26T19:00:46.89" personId="{3A994558-0C6C-409A-9635-59B97599A4BC}" id="{5A878FBC-5005-954C-A3A3-CD175B030684}">
    <text>오른쪽으로 쫙 복붙</text>
  </threadedComment>
  <threadedComment ref="BY5" dT="2026-04-26T19:00:46.89" personId="{3A994558-0C6C-409A-9635-59B97599A4BC}" id="{E4256CC0-7807-0E41-A58D-6A59FD819B43}">
    <text>오른쪽으로 쫙 복붙</text>
  </threadedComment>
  <threadedComment ref="BZ5" dT="2026-04-26T19:00:46.89" personId="{3A994558-0C6C-409A-9635-59B97599A4BC}" id="{155F9D23-BBD6-F442-B66F-E75E07F81398}">
    <text>오른쪽으로 쫙 복붙</text>
  </threadedComment>
  <threadedComment ref="CA5" dT="2026-04-26T19:00:46.89" personId="{3A994558-0C6C-409A-9635-59B97599A4BC}" id="{984AB929-4B1F-714C-8543-E416347A7F2B}">
    <text>오른쪽으로 쫙 복붙</text>
  </threadedComment>
  <threadedComment ref="CB5" dT="2026-04-26T19:00:46.89" personId="{3A994558-0C6C-409A-9635-59B97599A4BC}" id="{4D40E60D-AE9E-E74E-B19C-2A53CF78C332}">
    <text>오른쪽으로 쫙 복붙</text>
  </threadedComment>
  <threadedComment ref="CC5" dT="2026-04-26T19:00:46.89" personId="{3A994558-0C6C-409A-9635-59B97599A4BC}" id="{77B61FE6-E2F2-0341-8D44-03ACAD6B5362}">
    <text>오른쪽으로 쫙 복붙</text>
  </threadedComment>
  <threadedComment ref="CD5" dT="2026-04-26T19:00:46.89" personId="{3A994558-0C6C-409A-9635-59B97599A4BC}" id="{F12E0C97-A5FB-8746-BEB5-19662B725822}">
    <text>오른쪽으로 쫙 복붙</text>
  </threadedComment>
  <threadedComment ref="CE5" dT="2026-04-26T19:00:46.89" personId="{3A994558-0C6C-409A-9635-59B97599A4BC}" id="{0637C307-51B8-684F-B850-42CB40FE05B1}">
    <text>오른쪽으로 쫙 복붙</text>
  </threadedComment>
  <threadedComment ref="CF5" dT="2026-04-26T19:00:46.89" personId="{3A994558-0C6C-409A-9635-59B97599A4BC}" id="{C841246B-8C92-B441-996D-042533CBBA53}">
    <text>오른쪽으로 쫙 복붙</text>
  </threadedComment>
  <threadedComment ref="CG5" dT="2026-04-26T19:00:46.89" personId="{3A994558-0C6C-409A-9635-59B97599A4BC}" id="{06708D83-51BA-414C-8362-F2537C6D9265}">
    <text>오른쪽으로 쫙 복붙</text>
  </threadedComment>
  <threadedComment ref="CH5" dT="2026-04-26T19:00:46.89" personId="{3A994558-0C6C-409A-9635-59B97599A4BC}" id="{014DA0D7-9C2D-AE49-ADF2-D6FEA7C66AC2}">
    <text>오른쪽으로 쫙 복붙</text>
  </threadedComment>
  <threadedComment ref="CI5" dT="2026-04-26T19:00:46.89" personId="{3A994558-0C6C-409A-9635-59B97599A4BC}" id="{1BE06556-1A9E-8947-925F-032C13FF340C}">
    <text>오른쪽으로 쫙 복붙</text>
  </threadedComment>
  <threadedComment ref="CJ5" dT="2026-04-26T19:00:46.89" personId="{3A994558-0C6C-409A-9635-59B97599A4BC}" id="{BFFA4246-D0C5-BD48-8678-197D389024D7}">
    <text>오른쪽으로 쫙 복붙</text>
  </threadedComment>
  <threadedComment ref="CK5" dT="2026-04-26T19:00:46.89" personId="{3A994558-0C6C-409A-9635-59B97599A4BC}" id="{471378C7-4C37-9B41-ABAD-1C18ECA23396}">
    <text>오른쪽으로 쫙 복붙</text>
  </threadedComment>
  <threadedComment ref="CL5" dT="2026-04-26T19:00:46.89" personId="{3A994558-0C6C-409A-9635-59B97599A4BC}" id="{AF814D51-D2D1-CB49-AA91-EB21236A15D8}">
    <text>오른쪽으로 쫙 복붙</text>
  </threadedComment>
  <threadedComment ref="CM5" dT="2026-04-26T19:00:46.89" personId="{3A994558-0C6C-409A-9635-59B97599A4BC}" id="{9DFE88A4-B5F0-6749-A606-C57AE5DE6AE4}">
    <text>오른쪽으로 쫙 복붙</text>
  </threadedComment>
  <threadedComment ref="CN5" dT="2026-04-26T19:00:46.89" personId="{3A994558-0C6C-409A-9635-59B97599A4BC}" id="{55D2DBBF-4B6A-7B4D-94E0-D391683CAE5D}">
    <text>오른쪽으로 쫙 복붙</text>
  </threadedComment>
  <threadedComment ref="CO5" dT="2026-04-26T19:00:46.89" personId="{3A994558-0C6C-409A-9635-59B97599A4BC}" id="{8E691DED-50A8-EF4D-B1A4-668016F9BBF5}">
    <text>오른쪽으로 쫙 복붙</text>
  </threadedComment>
  <threadedComment ref="CP5" dT="2026-04-26T19:00:46.89" personId="{3A994558-0C6C-409A-9635-59B97599A4BC}" id="{2C673163-695E-3A4E-9174-F51994953533}">
    <text>오른쪽으로 쫙 복붙</text>
  </threadedComment>
  <threadedComment ref="CQ5" dT="2026-04-26T19:00:46.89" personId="{3A994558-0C6C-409A-9635-59B97599A4BC}" id="{9740A24D-FC90-E547-8BC6-6A5B833E9037}">
    <text>오른쪽으로 쫙 복붙</text>
  </threadedComment>
  <threadedComment ref="CR5" dT="2026-04-26T19:00:46.89" personId="{3A994558-0C6C-409A-9635-59B97599A4BC}" id="{FF821EC2-96E1-E34E-8A9A-01B3600256DD}">
    <text>오른쪽으로 쫙 복붙</text>
  </threadedComment>
  <threadedComment ref="CS5" dT="2026-04-26T19:00:46.89" personId="{3A994558-0C6C-409A-9635-59B97599A4BC}" id="{F2F28829-7DD2-534C-8226-05EE555F5BD0}">
    <text>오른쪽으로 쫙 복붙</text>
  </threadedComment>
  <threadedComment ref="CT5" dT="2026-04-26T19:00:46.89" personId="{3A994558-0C6C-409A-9635-59B97599A4BC}" id="{4552581E-4692-3240-834E-2A478AAA62EE}">
    <text>오른쪽으로 쫙 복붙</text>
  </threadedComment>
  <threadedComment ref="CU5" dT="2026-04-26T19:00:46.89" personId="{3A994558-0C6C-409A-9635-59B97599A4BC}" id="{CCC87226-4D2F-AD48-B867-63006B3B2CFD}">
    <text>오른쪽으로 쫙 복붙</text>
  </threadedComment>
  <threadedComment ref="CV5" dT="2026-04-26T19:00:46.89" personId="{3A994558-0C6C-409A-9635-59B97599A4BC}" id="{C47DAEB9-A0E7-C240-8477-6D13266D12F3}">
    <text>오른쪽으로 쫙 복붙</text>
  </threadedComment>
  <threadedComment ref="CW5" dT="2026-04-26T19:00:46.89" personId="{3A994558-0C6C-409A-9635-59B97599A4BC}" id="{C5CB3F10-5E41-E348-A22A-5367ACEE9AE1}">
    <text>오른쪽으로 쫙 복붙</text>
  </threadedComment>
  <threadedComment ref="CX5" dT="2026-04-26T19:00:46.89" personId="{3A994558-0C6C-409A-9635-59B97599A4BC}" id="{6D16E152-DA2C-A14E-8EE4-3229C68C95C9}">
    <text>오른쪽으로 쫙 복붙</text>
  </threadedComment>
  <threadedComment ref="CY5" dT="2026-04-26T19:00:46.89" personId="{3A994558-0C6C-409A-9635-59B97599A4BC}" id="{F060B8CC-94CD-F44B-89A0-9785791D90C5}">
    <text>오른쪽으로 쫙 복붙</text>
  </threadedComment>
  <threadedComment ref="CZ5" dT="2026-04-26T19:00:46.89" personId="{3A994558-0C6C-409A-9635-59B97599A4BC}" id="{09A339EA-68DF-E64B-BABB-CA3288511A65}">
    <text>오른쪽으로 쫙 복붙</text>
  </threadedComment>
  <threadedComment ref="DA5" dT="2026-04-26T19:00:46.89" personId="{3A994558-0C6C-409A-9635-59B97599A4BC}" id="{C27C06F8-893E-A942-A375-9C441F346C8D}">
    <text>오른쪽으로 쫙 복붙</text>
  </threadedComment>
  <threadedComment ref="DB5" dT="2026-04-26T19:00:46.89" personId="{3A994558-0C6C-409A-9635-59B97599A4BC}" id="{C1ED41BD-5C76-5C4D-8398-240D517ACC3B}">
    <text>오른쪽으로 쫙 복붙</text>
  </threadedComment>
  <threadedComment ref="DC5" dT="2026-04-26T19:00:46.89" personId="{3A994558-0C6C-409A-9635-59B97599A4BC}" id="{BCF8D50D-4C19-F646-B12C-14ADDD34A551}">
    <text>오른쪽으로 쫙 복붙</text>
  </threadedComment>
  <threadedComment ref="S7" dT="2026-04-26T18:54:47.50" personId="{3A994558-0C6C-409A-9635-59B97599A4BC}" id="{A7A6D896-D8D5-4558-96C1-B06D145311A2}">
    <text>행렬 범위 잡아서 쫙 복붙</text>
  </threadedComment>
  <threadedComment ref="S59" dT="2026-04-26T18:54:47.50" personId="{3A994558-0C6C-409A-9635-59B97599A4BC}" id="{69FB5DA0-93F6-584F-8F32-C5854B2660BE}">
    <text>행렬 범위 잡아서 쫙 복붙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ktbinfo.or.kr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4A83-4BF3-4FCC-821C-A0EDD21F6C2C}">
  <sheetPr>
    <tabColor theme="1"/>
  </sheetPr>
  <dimension ref="B7:N12"/>
  <sheetViews>
    <sheetView zoomScale="118" zoomScaleNormal="100" workbookViewId="0">
      <selection activeCell="C12" sqref="C12"/>
    </sheetView>
  </sheetViews>
  <sheetFormatPr defaultColWidth="8.83203125" defaultRowHeight="14"/>
  <cols>
    <col min="1" max="1" width="3.6640625" style="2" customWidth="1"/>
    <col min="2" max="2" width="18.1640625" style="2" customWidth="1"/>
    <col min="3" max="16384" width="8.83203125" style="2"/>
  </cols>
  <sheetData>
    <row r="7" spans="2:14" ht="62.5">
      <c r="B7" s="1" t="s">
        <v>180</v>
      </c>
    </row>
    <row r="8" spans="2:14" ht="20" customHeight="1">
      <c r="B8" s="1"/>
    </row>
    <row r="9" spans="2:14" ht="15.5">
      <c r="B9" s="3" t="s">
        <v>184</v>
      </c>
      <c r="C9" s="4"/>
      <c r="D9" s="4"/>
      <c r="E9" s="4"/>
      <c r="F9" s="4"/>
      <c r="G9" s="4"/>
      <c r="I9" s="5"/>
      <c r="J9" s="6"/>
      <c r="K9" s="6"/>
      <c r="L9" s="6"/>
      <c r="M9" s="6"/>
      <c r="N9" s="6"/>
    </row>
    <row r="10" spans="2:14">
      <c r="B10" s="7" t="s">
        <v>185</v>
      </c>
      <c r="C10" s="8" t="s">
        <v>186</v>
      </c>
      <c r="D10" s="6"/>
      <c r="E10" s="6"/>
      <c r="F10" s="9"/>
      <c r="G10" s="6"/>
      <c r="I10" s="7"/>
      <c r="J10" s="8"/>
      <c r="K10" s="6"/>
      <c r="L10" s="110" t="s">
        <v>276</v>
      </c>
      <c r="M10" s="9"/>
      <c r="N10" s="6"/>
    </row>
    <row r="11" spans="2:14">
      <c r="B11" s="8" t="s">
        <v>187</v>
      </c>
      <c r="C11" s="8" t="s">
        <v>197</v>
      </c>
      <c r="D11" s="6"/>
      <c r="E11" s="6"/>
      <c r="F11" s="6"/>
      <c r="G11" s="6"/>
      <c r="I11" s="8"/>
      <c r="J11" s="8"/>
      <c r="K11" s="6"/>
      <c r="L11" s="6"/>
      <c r="M11" s="6"/>
      <c r="N11" s="6"/>
    </row>
    <row r="12" spans="2:14">
      <c r="B12" s="10" t="s">
        <v>188</v>
      </c>
      <c r="C12" s="8" t="s">
        <v>195</v>
      </c>
      <c r="D12" s="6"/>
      <c r="E12" s="6"/>
      <c r="F12" s="11"/>
      <c r="G12" s="6"/>
      <c r="I12" s="10"/>
      <c r="J12" s="8"/>
      <c r="K12" s="6"/>
      <c r="L12" s="6"/>
      <c r="M12" s="11"/>
      <c r="N12" s="6"/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E5E4-8F34-4CC7-98C0-A021748CE460}">
  <sheetPr>
    <tabColor theme="4" tint="-0.499984740745262"/>
  </sheetPr>
  <dimension ref="A1:GH153"/>
  <sheetViews>
    <sheetView topLeftCell="A106" zoomScale="47" zoomScaleNormal="100" workbookViewId="0">
      <selection activeCell="C71" sqref="C71"/>
    </sheetView>
  </sheetViews>
  <sheetFormatPr defaultColWidth="8.83203125" defaultRowHeight="14"/>
  <cols>
    <col min="1" max="1" width="3.6640625" style="12" customWidth="1"/>
    <col min="2" max="14" width="15.6640625" style="12" customWidth="1"/>
    <col min="15" max="15" width="17.33203125" style="12" bestFit="1" customWidth="1"/>
    <col min="16" max="16" width="18.1640625" style="12" bestFit="1" customWidth="1"/>
    <col min="17" max="17" width="3.6640625" style="12" customWidth="1"/>
    <col min="18" max="18" width="24.83203125" style="12" bestFit="1" customWidth="1"/>
    <col min="19" max="70" width="15.6640625" style="12" customWidth="1"/>
    <col min="71" max="71" width="13.33203125" style="12" bestFit="1" customWidth="1"/>
    <col min="72" max="190" width="11.6640625" style="12" bestFit="1" customWidth="1"/>
    <col min="191" max="16384" width="8.83203125" style="12"/>
  </cols>
  <sheetData>
    <row r="1" spans="1:190">
      <c r="B1" s="13" t="s">
        <v>174</v>
      </c>
    </row>
    <row r="2" spans="1:190" s="15" customFormat="1" ht="19">
      <c r="A2" s="12" t="s">
        <v>136</v>
      </c>
      <c r="B2" s="14" t="s">
        <v>178</v>
      </c>
    </row>
    <row r="3" spans="1:190">
      <c r="B3" s="16">
        <v>45195</v>
      </c>
    </row>
    <row r="4" spans="1:190" ht="17" thickBot="1">
      <c r="B4" s="17" t="s">
        <v>159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9"/>
      <c r="R4" s="17" t="s">
        <v>160</v>
      </c>
      <c r="S4" s="18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</row>
    <row r="5" spans="1:190" ht="17.5" thickBot="1">
      <c r="K5" s="21" t="s">
        <v>198</v>
      </c>
      <c r="M5" s="12" t="s">
        <v>199</v>
      </c>
      <c r="O5" s="22" t="s">
        <v>191</v>
      </c>
      <c r="P5" s="111" t="s">
        <v>277</v>
      </c>
      <c r="R5" s="23" t="s">
        <v>200</v>
      </c>
      <c r="S5" s="24" cm="1">
        <f t="array" ref="S5">IF(
    ISNUMBER(_xlfn.XMATCH(ROUND(S$6,0),ROUND($G$7:$G$59,0))),
    _xlfn.XLOOKUP(ROUND(S$6,0),ROUND($G$7:$G$59,0),$M$7:$M$59),
    EXP(
        LN(_xlfn.XLOOKUP(ROUND(S$6,0),ROUND($G$7:$G$59,0),$M$7:$M$59,,-1))
        +
        (
            LN(_xlfn.XLOOKUP(ROUND(S$6,0),ROUND($G$7:$G$59,0),$M$7:$M$59,,1))
            -LN(_xlfn.XLOOKUP(ROUND(S$6,0),ROUND($G$7:$G$59,0),$M$7:$M$59,,-1))
        )
        *
        (ROUND(S$6,0)-_xlfn.XLOOKUP(ROUND(S$6,0),ROUND($G$7:$G$59,0),ROUND($G$7:$G$59,0),,-1))
        /
        (
            _xlfn.XLOOKUP(ROUND(S$6,0),ROUND($G$7:$G$59,0),ROUND($G$7:$G$59,0),,1)
            -_xlfn.XLOOKUP(ROUND(S$6,0),ROUND($G$7:$G$59,0),ROUND($G$7:$G$59,0),,-1)
        )
    )
)</f>
        <v>0.99317880881580511</v>
      </c>
      <c r="T5" s="24" cm="1">
        <f t="array" ref="T5">IF(
    ISNUMBER(_xlfn.XMATCH(ROUND(T$6,0),ROUND($G$7:$G$59,0))),
    _xlfn.XLOOKUP(ROUND(T$6,0),ROUND($G$7:$G$59,0),$M$7:$M$59),
    EXP(
        LN(_xlfn.XLOOKUP(ROUND(T$6,0),ROUND($G$7:$G$59,0),$M$7:$M$59,,-1))
        +
        (
            LN(_xlfn.XLOOKUP(ROUND(T$6,0),ROUND($G$7:$G$59,0),$M$7:$M$59,,1))
            -LN(_xlfn.XLOOKUP(ROUND(T$6,0),ROUND($G$7:$G$59,0),$M$7:$M$59,,-1))
        )
        *
        (ROUND(T$6,0)-_xlfn.XLOOKUP(ROUND(T$6,0),ROUND($G$7:$G$59,0),ROUND($G$7:$G$59,0),,-1))
        /
        (
            _xlfn.XLOOKUP(ROUND(T$6,0),ROUND($G$7:$G$59,0),ROUND($G$7:$G$59,0),,1)
            -_xlfn.XLOOKUP(ROUND(T$6,0),ROUND($G$7:$G$59,0),ROUND($G$7:$G$59,0),,-1)
        )
    )
)</f>
        <v>0.9835690496291849</v>
      </c>
      <c r="U5" s="24" cm="1">
        <f t="array" ref="U5">IF(
    ISNUMBER(_xlfn.XMATCH(ROUND(U$6,0),ROUND($G$7:$G$59,0))),
    _xlfn.XLOOKUP(ROUND(U$6,0),ROUND($G$7:$G$59,0),$M$7:$M$59),
    EXP(
        LN(_xlfn.XLOOKUP(ROUND(U$6,0),ROUND($G$7:$G$59,0),$M$7:$M$59,,-1))
        +
        (
            LN(_xlfn.XLOOKUP(ROUND(U$6,0),ROUND($G$7:$G$59,0),$M$7:$M$59,,1))
            -LN(_xlfn.XLOOKUP(ROUND(U$6,0),ROUND($G$7:$G$59,0),$M$7:$M$59,,-1))
        )
        *
        (ROUND(U$6,0)-_xlfn.XLOOKUP(ROUND(U$6,0),ROUND($G$7:$G$59,0),ROUND($G$7:$G$59,0),,-1))
        /
        (
            _xlfn.XLOOKUP(ROUND(U$6,0),ROUND($G$7:$G$59,0),ROUND($G$7:$G$59,0),,1)
            -_xlfn.XLOOKUP(ROUND(U$6,0),ROUND($G$7:$G$59,0),ROUND($G$7:$G$59,0),,-1)
        )
    )
)</f>
        <v>0.97877133234160407</v>
      </c>
      <c r="V5" s="24" cm="1">
        <f t="array" ref="V5">IF(
    ISNUMBER(_xlfn.XMATCH(ROUND(V$6,0),ROUND($G$7:$G$59,0))),
    _xlfn.XLOOKUP(ROUND(V$6,0),ROUND($G$7:$G$59,0),$M$7:$M$59),
    EXP(
        LN(_xlfn.XLOOKUP(ROUND(V$6,0),ROUND($G$7:$G$59,0),$M$7:$M$59,,-1))
        +
        (
            LN(_xlfn.XLOOKUP(ROUND(V$6,0),ROUND($G$7:$G$59,0),$M$7:$M$59,,1))
            -LN(_xlfn.XLOOKUP(ROUND(V$6,0),ROUND($G$7:$G$59,0),$M$7:$M$59,,-1))
        )
        *
        (ROUND(V$6,0)-_xlfn.XLOOKUP(ROUND(V$6,0),ROUND($G$7:$G$59,0),ROUND($G$7:$G$59,0),,-1))
        /
        (
            _xlfn.XLOOKUP(ROUND(V$6,0),ROUND($G$7:$G$59,0),ROUND($G$7:$G$59,0),,1)
            -_xlfn.XLOOKUP(ROUND(V$6,0),ROUND($G$7:$G$59,0),ROUND($G$7:$G$59,0),,-1)
        )
    )
)</f>
        <v>0.96734790551082928</v>
      </c>
      <c r="W5" s="24" cm="1">
        <f t="array" ref="W5">IF(
    ISNUMBER(_xlfn.XMATCH(ROUND(W$6,0),ROUND($G$7:$G$59,0))),
    _xlfn.XLOOKUP(ROUND(W$6,0),ROUND($G$7:$G$59,0),$M$7:$M$59),
    EXP(
        LN(_xlfn.XLOOKUP(ROUND(W$6,0),ROUND($G$7:$G$59,0),$M$7:$M$59,,-1))
        +
        (
            LN(_xlfn.XLOOKUP(ROUND(W$6,0),ROUND($G$7:$G$59,0),$M$7:$M$59,,1))
            -LN(_xlfn.XLOOKUP(ROUND(W$6,0),ROUND($G$7:$G$59,0),$M$7:$M$59,,-1))
        )
        *
        (ROUND(W$6,0)-_xlfn.XLOOKUP(ROUND(W$6,0),ROUND($G$7:$G$59,0),ROUND($G$7:$G$59,0),,-1))
        /
        (
            _xlfn.XLOOKUP(ROUND(W$6,0),ROUND($G$7:$G$59,0),ROUND($G$7:$G$59,0),,1)
            -_xlfn.XLOOKUP(ROUND(W$6,0),ROUND($G$7:$G$59,0),ROUND($G$7:$G$59,0),,-1)
        )
    )
)</f>
        <v>0.96178087748159091</v>
      </c>
      <c r="X5" s="24" cm="1">
        <f t="array" ref="X5">IF(
    ISNUMBER(_xlfn.XMATCH(ROUND(X$6,0),ROUND($G$7:$G$59,0))),
    _xlfn.XLOOKUP(ROUND(X$6,0),ROUND($G$7:$G$59,0),$M$7:$M$59),
    EXP(
        LN(_xlfn.XLOOKUP(ROUND(X$6,0),ROUND($G$7:$G$59,0),$M$7:$M$59,,-1))
        +
        (
            LN(_xlfn.XLOOKUP(ROUND(X$6,0),ROUND($G$7:$G$59,0),$M$7:$M$59,,1))
            -LN(_xlfn.XLOOKUP(ROUND(X$6,0),ROUND($G$7:$G$59,0),$M$7:$M$59,,-1))
        )
        *
        (ROUND(X$6,0)-_xlfn.XLOOKUP(ROUND(X$6,0),ROUND($G$7:$G$59,0),ROUND($G$7:$G$59,0),,-1))
        /
        (
            _xlfn.XLOOKUP(ROUND(X$6,0),ROUND($G$7:$G$59,0),ROUND($G$7:$G$59,0),,1)
            -_xlfn.XLOOKUP(ROUND(X$6,0),ROUND($G$7:$G$59,0),ROUND($G$7:$G$59,0),,-1)
        )
    )
)</f>
        <v>0.94710616598940578</v>
      </c>
      <c r="Y5" s="24" cm="1">
        <f t="array" ref="Y5">IF(
    ISNUMBER(_xlfn.XMATCH(ROUND(Y$6,0),ROUND($G$7:$G$59,0))),
    _xlfn.XLOOKUP(ROUND(Y$6,0),ROUND($G$7:$G$59,0),$M$7:$M$59),
    EXP(
        LN(_xlfn.XLOOKUP(ROUND(Y$6,0),ROUND($G$7:$G$59,0),$M$7:$M$59,,-1))
        +
        (
            LN(_xlfn.XLOOKUP(ROUND(Y$6,0),ROUND($G$7:$G$59,0),$M$7:$M$59,,1))
            -LN(_xlfn.XLOOKUP(ROUND(Y$6,0),ROUND($G$7:$G$59,0),$M$7:$M$59,,-1))
        )
        *
        (ROUND(Y$6,0)-_xlfn.XLOOKUP(ROUND(Y$6,0),ROUND($G$7:$G$59,0),ROUND($G$7:$G$59,0),,-1))
        /
        (
            _xlfn.XLOOKUP(ROUND(Y$6,0),ROUND($G$7:$G$59,0),ROUND($G$7:$G$59,0),,1)
            -_xlfn.XLOOKUP(ROUND(Y$6,0),ROUND($G$7:$G$59,0),ROUND($G$7:$G$59,0),,-1)
        )
    )
)</f>
        <v>0.94568417285318318</v>
      </c>
      <c r="Z5" s="24" cm="1">
        <f t="array" ref="Z5">IF(
    ISNUMBER(_xlfn.XMATCH(ROUND(Z$6,0),ROUND($G$7:$G$59,0))),
    _xlfn.XLOOKUP(ROUND(Z$6,0),ROUND($G$7:$G$59,0),$M$7:$M$59),
    EXP(
        LN(_xlfn.XLOOKUP(ROUND(Z$6,0),ROUND($G$7:$G$59,0),$M$7:$M$59,,-1))
        +
        (
            LN(_xlfn.XLOOKUP(ROUND(Z$6,0),ROUND($G$7:$G$59,0),$M$7:$M$59,,1))
            -LN(_xlfn.XLOOKUP(ROUND(Z$6,0),ROUND($G$7:$G$59,0),$M$7:$M$59,,-1))
        )
        *
        (ROUND(Z$6,0)-_xlfn.XLOOKUP(ROUND(Z$6,0),ROUND($G$7:$G$59,0),ROUND($G$7:$G$59,0),,-1))
        /
        (
            _xlfn.XLOOKUP(ROUND(Z$6,0),ROUND($G$7:$G$59,0),ROUND($G$7:$G$59,0),,1)
            -_xlfn.XLOOKUP(ROUND(Z$6,0),ROUND($G$7:$G$59,0),ROUND($G$7:$G$59,0),,-1)
        )
    )
)</f>
        <v>0.92805482962560892</v>
      </c>
      <c r="AA5" s="24" cm="1">
        <f t="array" ref="AA5">IF(
    ISNUMBER(_xlfn.XMATCH(ROUND(AA$6,0),ROUND($G$7:$G$59,0))),
    _xlfn.XLOOKUP(ROUND(AA$6,0),ROUND($G$7:$G$59,0),$M$7:$M$59),
    EXP(
        LN(_xlfn.XLOOKUP(ROUND(AA$6,0),ROUND($G$7:$G$59,0),$M$7:$M$59,,-1))
        +
        (
            LN(_xlfn.XLOOKUP(ROUND(AA$6,0),ROUND($G$7:$G$59,0),$M$7:$M$59,,1))
            -LN(_xlfn.XLOOKUP(ROUND(AA$6,0),ROUND($G$7:$G$59,0),$M$7:$M$59,,-1))
        )
        *
        (ROUND(AA$6,0)-_xlfn.XLOOKUP(ROUND(AA$6,0),ROUND($G$7:$G$59,0),ROUND($G$7:$G$59,0),,-1))
        /
        (
            _xlfn.XLOOKUP(ROUND(AA$6,0),ROUND($G$7:$G$59,0),ROUND($G$7:$G$59,0),,1)
            -_xlfn.XLOOKUP(ROUND(AA$6,0),ROUND($G$7:$G$59,0),ROUND($G$7:$G$59,0),,-1)
        )
    )
)</f>
        <v>0.9241678348020772</v>
      </c>
      <c r="AB5" s="24" cm="1">
        <f t="array" ref="AB5">IF(
    ISNUMBER(_xlfn.XMATCH(ROUND(AB$6,0),ROUND($G$7:$G$59,0))),
    _xlfn.XLOOKUP(ROUND(AB$6,0),ROUND($G$7:$G$59,0),$M$7:$M$59),
    EXP(
        LN(_xlfn.XLOOKUP(ROUND(AB$6,0),ROUND($G$7:$G$59,0),$M$7:$M$59,,-1))
        +
        (
            LN(_xlfn.XLOOKUP(ROUND(AB$6,0),ROUND($G$7:$G$59,0),$M$7:$M$59,,1))
            -LN(_xlfn.XLOOKUP(ROUND(AB$6,0),ROUND($G$7:$G$59,0),$M$7:$M$59,,-1))
        )
        *
        (ROUND(AB$6,0)-_xlfn.XLOOKUP(ROUND(AB$6,0),ROUND($G$7:$G$59,0),ROUND($G$7:$G$59,0),,-1))
        /
        (
            _xlfn.XLOOKUP(ROUND(AB$6,0),ROUND($G$7:$G$59,0),ROUND($G$7:$G$59,0),,1)
            -_xlfn.XLOOKUP(ROUND(AB$6,0),ROUND($G$7:$G$59,0),ROUND($G$7:$G$59,0),,-1)
        )
    )
)</f>
        <v>0.9099314044663912</v>
      </c>
      <c r="AC5" s="24" cm="1">
        <f t="array" ref="AC5">IF(
    ISNUMBER(_xlfn.XMATCH(ROUND(AC$6,0),ROUND($G$7:$G$59,0))),
    _xlfn.XLOOKUP(ROUND(AC$6,0),ROUND($G$7:$G$59,0),$M$7:$M$59),
    EXP(
        LN(_xlfn.XLOOKUP(ROUND(AC$6,0),ROUND($G$7:$G$59,0),$M$7:$M$59,,-1))
        +
        (
            LN(_xlfn.XLOOKUP(ROUND(AC$6,0),ROUND($G$7:$G$59,0),$M$7:$M$59,,1))
            -LN(_xlfn.XLOOKUP(ROUND(AC$6,0),ROUND($G$7:$G$59,0),$M$7:$M$59,,-1))
        )
        *
        (ROUND(AC$6,0)-_xlfn.XLOOKUP(ROUND(AC$6,0),ROUND($G$7:$G$59,0),ROUND($G$7:$G$59,0),,-1))
        /
        (
            _xlfn.XLOOKUP(ROUND(AC$6,0),ROUND($G$7:$G$59,0),ROUND($G$7:$G$59,0),,1)
            -_xlfn.XLOOKUP(ROUND(AC$6,0),ROUND($G$7:$G$59,0),ROUND($G$7:$G$59,0),,-1)
        )
    )
)</f>
        <v>0.90515322441716783</v>
      </c>
      <c r="AD5" s="24" cm="1">
        <f t="array" ref="AD5">IF(
    ISNUMBER(_xlfn.XMATCH(ROUND(AD$6,0),ROUND($G$7:$G$59,0))),
    _xlfn.XLOOKUP(ROUND(AD$6,0),ROUND($G$7:$G$59,0),$M$7:$M$59),
    EXP(
        LN(_xlfn.XLOOKUP(ROUND(AD$6,0),ROUND($G$7:$G$59,0),$M$7:$M$59,,-1))
        +
        (
            LN(_xlfn.XLOOKUP(ROUND(AD$6,0),ROUND($G$7:$G$59,0),$M$7:$M$59,,1))
            -LN(_xlfn.XLOOKUP(ROUND(AD$6,0),ROUND($G$7:$G$59,0),$M$7:$M$59,,-1))
        )
        *
        (ROUND(AD$6,0)-_xlfn.XLOOKUP(ROUND(AD$6,0),ROUND($G$7:$G$59,0),ROUND($G$7:$G$59,0),,-1))
        /
        (
            _xlfn.XLOOKUP(ROUND(AD$6,0),ROUND($G$7:$G$59,0),ROUND($G$7:$G$59,0),,1)
            -_xlfn.XLOOKUP(ROUND(AD$6,0),ROUND($G$7:$G$59,0),ROUND($G$7:$G$59,0),,-1)
        )
    )
)</f>
        <v>0.89212804422149683</v>
      </c>
      <c r="AE5" s="24" cm="1">
        <f t="array" ref="AE5">IF(
    ISNUMBER(_xlfn.XMATCH(ROUND(AE$6,0),ROUND($G$7:$G$59,0))),
    _xlfn.XLOOKUP(ROUND(AE$6,0),ROUND($G$7:$G$59,0),$M$7:$M$59),
    EXP(
        LN(_xlfn.XLOOKUP(ROUND(AE$6,0),ROUND($G$7:$G$59,0),$M$7:$M$59,,-1))
        +
        (
            LN(_xlfn.XLOOKUP(ROUND(AE$6,0),ROUND($G$7:$G$59,0),$M$7:$M$59,,1))
            -LN(_xlfn.XLOOKUP(ROUND(AE$6,0),ROUND($G$7:$G$59,0),$M$7:$M$59,,-1))
        )
        *
        (ROUND(AE$6,0)-_xlfn.XLOOKUP(ROUND(AE$6,0),ROUND($G$7:$G$59,0),ROUND($G$7:$G$59,0),,-1))
        /
        (
            _xlfn.XLOOKUP(ROUND(AE$6,0),ROUND($G$7:$G$59,0),ROUND($G$7:$G$59,0),,1)
            -_xlfn.XLOOKUP(ROUND(AE$6,0),ROUND($G$7:$G$59,0),ROUND($G$7:$G$59,0),,-1)
        )
    )
)</f>
        <v>0.88660305663526562</v>
      </c>
      <c r="AF5" s="24" cm="1">
        <f t="array" ref="AF5">IF(
    ISNUMBER(_xlfn.XMATCH(ROUND(AF$6,0),ROUND($G$7:$G$59,0))),
    _xlfn.XLOOKUP(ROUND(AF$6,0),ROUND($G$7:$G$59,0),$M$7:$M$59),
    EXP(
        LN(_xlfn.XLOOKUP(ROUND(AF$6,0),ROUND($G$7:$G$59,0),$M$7:$M$59,,-1))
        +
        (
            LN(_xlfn.XLOOKUP(ROUND(AF$6,0),ROUND($G$7:$G$59,0),$M$7:$M$59,,1))
            -LN(_xlfn.XLOOKUP(ROUND(AF$6,0),ROUND($G$7:$G$59,0),$M$7:$M$59,,-1))
        )
        *
        (ROUND(AF$6,0)-_xlfn.XLOOKUP(ROUND(AF$6,0),ROUND($G$7:$G$59,0),ROUND($G$7:$G$59,0),,-1))
        /
        (
            _xlfn.XLOOKUP(ROUND(AF$6,0),ROUND($G$7:$G$59,0),ROUND($G$7:$G$59,0),,1)
            -_xlfn.XLOOKUP(ROUND(AF$6,0),ROUND($G$7:$G$59,0),ROUND($G$7:$G$59,0),,-1)
        )
    )
)</f>
        <v>0.87466617392735702</v>
      </c>
      <c r="AG5" s="24" cm="1">
        <f t="array" ref="AG5">IF(
    ISNUMBER(_xlfn.XMATCH(ROUND(AG$6,0),ROUND($G$7:$G$59,0))),
    _xlfn.XLOOKUP(ROUND(AG$6,0),ROUND($G$7:$G$59,0),$M$7:$M$59),
    EXP(
        LN(_xlfn.XLOOKUP(ROUND(AG$6,0),ROUND($G$7:$G$59,0),$M$7:$M$59,,-1))
        +
        (
            LN(_xlfn.XLOOKUP(ROUND(AG$6,0),ROUND($G$7:$G$59,0),$M$7:$M$59,,1))
            -LN(_xlfn.XLOOKUP(ROUND(AG$6,0),ROUND($G$7:$G$59,0),$M$7:$M$59,,-1))
        )
        *
        (ROUND(AG$6,0)-_xlfn.XLOOKUP(ROUND(AG$6,0),ROUND($G$7:$G$59,0),ROUND($G$7:$G$59,0),,-1))
        /
        (
            _xlfn.XLOOKUP(ROUND(AG$6,0),ROUND($G$7:$G$59,0),ROUND($G$7:$G$59,0),,1)
            -_xlfn.XLOOKUP(ROUND(AG$6,0),ROUND($G$7:$G$59,0),ROUND($G$7:$G$59,0),,-1)
        )
    )
)</f>
        <v>0.87091338373573879</v>
      </c>
      <c r="AH5" s="24" cm="1">
        <f t="array" ref="AH5">IF(
    ISNUMBER(_xlfn.XMATCH(ROUND(AH$6,0),ROUND($G$7:$G$59,0))),
    _xlfn.XLOOKUP(ROUND(AH$6,0),ROUND($G$7:$G$59,0),$M$7:$M$59),
    EXP(
        LN(_xlfn.XLOOKUP(ROUND(AH$6,0),ROUND($G$7:$G$59,0),$M$7:$M$59,,-1))
        +
        (
            LN(_xlfn.XLOOKUP(ROUND(AH$6,0),ROUND($G$7:$G$59,0),$M$7:$M$59,,1))
            -LN(_xlfn.XLOOKUP(ROUND(AH$6,0),ROUND($G$7:$G$59,0),$M$7:$M$59,,-1))
        )
        *
        (ROUND(AH$6,0)-_xlfn.XLOOKUP(ROUND(AH$6,0),ROUND($G$7:$G$59,0),ROUND($G$7:$G$59,0),,-1))
        /
        (
            _xlfn.XLOOKUP(ROUND(AH$6,0),ROUND($G$7:$G$59,0),ROUND($G$7:$G$59,0),,1)
            -_xlfn.XLOOKUP(ROUND(AH$6,0),ROUND($G$7:$G$59,0),ROUND($G$7:$G$59,0),,-1)
        )
    )
)</f>
        <v>0.85763281968157379</v>
      </c>
      <c r="AI5" s="24" cm="1">
        <f t="array" ref="AI5">IF(
    ISNUMBER(_xlfn.XMATCH(ROUND(AI$6,0),ROUND($G$7:$G$59,0))),
    _xlfn.XLOOKUP(ROUND(AI$6,0),ROUND($G$7:$G$59,0),$M$7:$M$59),
    EXP(
        LN(_xlfn.XLOOKUP(ROUND(AI$6,0),ROUND($G$7:$G$59,0),$M$7:$M$59,,-1))
        +
        (
            LN(_xlfn.XLOOKUP(ROUND(AI$6,0),ROUND($G$7:$G$59,0),$M$7:$M$59,,1))
            -LN(_xlfn.XLOOKUP(ROUND(AI$6,0),ROUND($G$7:$G$59,0),$M$7:$M$59,,-1))
        )
        *
        (ROUND(AI$6,0)-_xlfn.XLOOKUP(ROUND(AI$6,0),ROUND($G$7:$G$59,0),ROUND($G$7:$G$59,0),,-1))
        /
        (
            _xlfn.XLOOKUP(ROUND(AI$6,0),ROUND($G$7:$G$59,0),ROUND($G$7:$G$59,0),,1)
            -_xlfn.XLOOKUP(ROUND(AI$6,0),ROUND($G$7:$G$59,0),ROUND($G$7:$G$59,0),,-1)
        )
    )
)</f>
        <v>0.85407412305967145</v>
      </c>
      <c r="AJ5" s="24" cm="1">
        <f t="array" ref="AJ5">IF(
    ISNUMBER(_xlfn.XMATCH(ROUND(AJ$6,0),ROUND($G$7:$G$59,0))),
    _xlfn.XLOOKUP(ROUND(AJ$6,0),ROUND($G$7:$G$59,0),$M$7:$M$59),
    EXP(
        LN(_xlfn.XLOOKUP(ROUND(AJ$6,0),ROUND($G$7:$G$59,0),$M$7:$M$59,,-1))
        +
        (
            LN(_xlfn.XLOOKUP(ROUND(AJ$6,0),ROUND($G$7:$G$59,0),$M$7:$M$59,,1))
            -LN(_xlfn.XLOOKUP(ROUND(AJ$6,0),ROUND($G$7:$G$59,0),$M$7:$M$59,,-1))
        )
        *
        (ROUND(AJ$6,0)-_xlfn.XLOOKUP(ROUND(AJ$6,0),ROUND($G$7:$G$59,0),ROUND($G$7:$G$59,0),,-1))
        /
        (
            _xlfn.XLOOKUP(ROUND(AJ$6,0),ROUND($G$7:$G$59,0),ROUND($G$7:$G$59,0),,1)
            -_xlfn.XLOOKUP(ROUND(AJ$6,0),ROUND($G$7:$G$59,0),ROUND($G$7:$G$59,0),,-1)
        )
    )
)</f>
        <v>0.84089691670648858</v>
      </c>
      <c r="AK5" s="24" cm="1">
        <f t="array" ref="AK5">IF(
    ISNUMBER(_xlfn.XMATCH(ROUND(AK$6,0),ROUND($G$7:$G$59,0))),
    _xlfn.XLOOKUP(ROUND(AK$6,0),ROUND($G$7:$G$59,0),$M$7:$M$59),
    EXP(
        LN(_xlfn.XLOOKUP(ROUND(AK$6,0),ROUND($G$7:$G$59,0),$M$7:$M$59,,-1))
        +
        (
            LN(_xlfn.XLOOKUP(ROUND(AK$6,0),ROUND($G$7:$G$59,0),$M$7:$M$59,,1))
            -LN(_xlfn.XLOOKUP(ROUND(AK$6,0),ROUND($G$7:$G$59,0),$M$7:$M$59,,-1))
        )
        *
        (ROUND(AK$6,0)-_xlfn.XLOOKUP(ROUND(AK$6,0),ROUND($G$7:$G$59,0),ROUND($G$7:$G$59,0),,-1))
        /
        (
            _xlfn.XLOOKUP(ROUND(AK$6,0),ROUND($G$7:$G$59,0),ROUND($G$7:$G$59,0),,1)
            -_xlfn.XLOOKUP(ROUND(AK$6,0),ROUND($G$7:$G$59,0),ROUND($G$7:$G$59,0),,-1)
        )
    )
)</f>
        <v>0.83636215260999791</v>
      </c>
      <c r="AL5" s="24" cm="1">
        <f t="array" ref="AL5">IF(
    ISNUMBER(_xlfn.XMATCH(ROUND(AL$6,0),ROUND($G$7:$G$59,0))),
    _xlfn.XLOOKUP(ROUND(AL$6,0),ROUND($G$7:$G$59,0),$M$7:$M$59),
    EXP(
        LN(_xlfn.XLOOKUP(ROUND(AL$6,0),ROUND($G$7:$G$59,0),$M$7:$M$59,,-1))
        +
        (
            LN(_xlfn.XLOOKUP(ROUND(AL$6,0),ROUND($G$7:$G$59,0),$M$7:$M$59,,1))
            -LN(_xlfn.XLOOKUP(ROUND(AL$6,0),ROUND($G$7:$G$59,0),$M$7:$M$59,,-1))
        )
        *
        (ROUND(AL$6,0)-_xlfn.XLOOKUP(ROUND(AL$6,0),ROUND($G$7:$G$59,0),ROUND($G$7:$G$59,0),,-1))
        /
        (
            _xlfn.XLOOKUP(ROUND(AL$6,0),ROUND($G$7:$G$59,0),ROUND($G$7:$G$59,0),,1)
            -_xlfn.XLOOKUP(ROUND(AL$6,0),ROUND($G$7:$G$59,0),ROUND($G$7:$G$59,0),,-1)
        )
    )
)</f>
        <v>0.82487483339668288</v>
      </c>
      <c r="AM5" s="24" cm="1">
        <f t="array" ref="AM5">IF(
    ISNUMBER(_xlfn.XMATCH(ROUND(AM$6,0),ROUND($G$7:$G$59,0))),
    _xlfn.XLOOKUP(ROUND(AM$6,0),ROUND($G$7:$G$59,0),$M$7:$M$59),
    EXP(
        LN(_xlfn.XLOOKUP(ROUND(AM$6,0),ROUND($G$7:$G$59,0),$M$7:$M$59,,-1))
        +
        (
            LN(_xlfn.XLOOKUP(ROUND(AM$6,0),ROUND($G$7:$G$59,0),$M$7:$M$59,,1))
            -LN(_xlfn.XLOOKUP(ROUND(AM$6,0),ROUND($G$7:$G$59,0),$M$7:$M$59,,-1))
        )
        *
        (ROUND(AM$6,0)-_xlfn.XLOOKUP(ROUND(AM$6,0),ROUND($G$7:$G$59,0),ROUND($G$7:$G$59,0),,-1))
        /
        (
            _xlfn.XLOOKUP(ROUND(AM$6,0),ROUND($G$7:$G$59,0),ROUND($G$7:$G$59,0),,1)
            -_xlfn.XLOOKUP(ROUND(AM$6,0),ROUND($G$7:$G$59,0),ROUND($G$7:$G$59,0),,-1)
        )
    )
)</f>
        <v>0.81916870789903018</v>
      </c>
      <c r="AN5" s="24" cm="1">
        <f t="array" ref="AN5">IF(
    ISNUMBER(_xlfn.XMATCH(ROUND(AN$6,0),ROUND($G$7:$G$59,0))),
    _xlfn.XLOOKUP(ROUND(AN$6,0),ROUND($G$7:$G$59,0),$M$7:$M$59),
    EXP(
        LN(_xlfn.XLOOKUP(ROUND(AN$6,0),ROUND($G$7:$G$59,0),$M$7:$M$59,,-1))
        +
        (
            LN(_xlfn.XLOOKUP(ROUND(AN$6,0),ROUND($G$7:$G$59,0),$M$7:$M$59,,1))
            -LN(_xlfn.XLOOKUP(ROUND(AN$6,0),ROUND($G$7:$G$59,0),$M$7:$M$59,,-1))
        )
        *
        (ROUND(AN$6,0)-_xlfn.XLOOKUP(ROUND(AN$6,0),ROUND($G$7:$G$59,0),ROUND($G$7:$G$59,0),,-1))
        /
        (
            _xlfn.XLOOKUP(ROUND(AN$6,0),ROUND($G$7:$G$59,0),ROUND($G$7:$G$59,0),,1)
            -_xlfn.XLOOKUP(ROUND(AN$6,0),ROUND($G$7:$G$59,0),ROUND($G$7:$G$59,0),,-1)
        )
    )
)</f>
        <v>0.8103487592927584</v>
      </c>
      <c r="AO5" s="24" cm="1">
        <f t="array" ref="AO5">IF(
    ISNUMBER(_xlfn.XMATCH(ROUND(AO$6,0),ROUND($G$7:$G$59,0))),
    _xlfn.XLOOKUP(ROUND(AO$6,0),ROUND($G$7:$G$59,0),$M$7:$M$59),
    EXP(
        LN(_xlfn.XLOOKUP(ROUND(AO$6,0),ROUND($G$7:$G$59,0),$M$7:$M$59,,-1))
        +
        (
            LN(_xlfn.XLOOKUP(ROUND(AO$6,0),ROUND($G$7:$G$59,0),$M$7:$M$59,,1))
            -LN(_xlfn.XLOOKUP(ROUND(AO$6,0),ROUND($G$7:$G$59,0),$M$7:$M$59,,-1))
        )
        *
        (ROUND(AO$6,0)-_xlfn.XLOOKUP(ROUND(AO$6,0),ROUND($G$7:$G$59,0),ROUND($G$7:$G$59,0),,-1))
        /
        (
            _xlfn.XLOOKUP(ROUND(AO$6,0),ROUND($G$7:$G$59,0),ROUND($G$7:$G$59,0),,1)
            -_xlfn.XLOOKUP(ROUND(AO$6,0),ROUND($G$7:$G$59,0),ROUND($G$7:$G$59,0),,-1)
        )
    )
)</f>
        <v>0.801623774633067</v>
      </c>
      <c r="AP5" s="24" cm="1">
        <f t="array" ref="AP5">IF(
    ISNUMBER(_xlfn.XMATCH(ROUND(AP$6,0),ROUND($G$7:$G$59,0))),
    _xlfn.XLOOKUP(ROUND(AP$6,0),ROUND($G$7:$G$59,0),$M$7:$M$59),
    EXP(
        LN(_xlfn.XLOOKUP(ROUND(AP$6,0),ROUND($G$7:$G$59,0),$M$7:$M$59,,-1))
        +
        (
            LN(_xlfn.XLOOKUP(ROUND(AP$6,0),ROUND($G$7:$G$59,0),$M$7:$M$59,,1))
            -LN(_xlfn.XLOOKUP(ROUND(AP$6,0),ROUND($G$7:$G$59,0),$M$7:$M$59,,-1))
        )
        *
        (ROUND(AP$6,0)-_xlfn.XLOOKUP(ROUND(AP$6,0),ROUND($G$7:$G$59,0),ROUND($G$7:$G$59,0),,-1))
        /
        (
            _xlfn.XLOOKUP(ROUND(AP$6,0),ROUND($G$7:$G$59,0),ROUND($G$7:$G$59,0),,1)
            -_xlfn.XLOOKUP(ROUND(AP$6,0),ROUND($G$7:$G$59,0),ROUND($G$7:$G$59,0),,-1)
        )
    )
)</f>
        <v>0.7929050630594765</v>
      </c>
      <c r="AQ5" s="24" cm="1">
        <f t="array" ref="AQ5">IF(
    ISNUMBER(_xlfn.XMATCH(ROUND(AQ$6,0),ROUND($G$7:$G$59,0))),
    _xlfn.XLOOKUP(ROUND(AQ$6,0),ROUND($G$7:$G$59,0),$M$7:$M$59),
    EXP(
        LN(_xlfn.XLOOKUP(ROUND(AQ$6,0),ROUND($G$7:$G$59,0),$M$7:$M$59,,-1))
        +
        (
            LN(_xlfn.XLOOKUP(ROUND(AQ$6,0),ROUND($G$7:$G$59,0),$M$7:$M$59,,1))
            -LN(_xlfn.XLOOKUP(ROUND(AQ$6,0),ROUND($G$7:$G$59,0),$M$7:$M$59,,-1))
        )
        *
        (ROUND(AQ$6,0)-_xlfn.XLOOKUP(ROUND(AQ$6,0),ROUND($G$7:$G$59,0),ROUND($G$7:$G$59,0),,-1))
        /
        (
            _xlfn.XLOOKUP(ROUND(AQ$6,0),ROUND($G$7:$G$59,0),ROUND($G$7:$G$59,0),,1)
            -_xlfn.XLOOKUP(ROUND(AQ$6,0),ROUND($G$7:$G$59,0),ROUND($G$7:$G$59,0),,-1)
        )
    )
)</f>
        <v>0.78428117892727289</v>
      </c>
      <c r="AR5" s="24" cm="1">
        <f t="array" ref="AR5">IF(
    ISNUMBER(_xlfn.XMATCH(ROUND(AR$6,0),ROUND($G$7:$G$59,0))),
    _xlfn.XLOOKUP(ROUND(AR$6,0),ROUND($G$7:$G$59,0),$M$7:$M$59),
    EXP(
        LN(_xlfn.XLOOKUP(ROUND(AR$6,0),ROUND($G$7:$G$59,0),$M$7:$M$59,,-1))
        +
        (
            LN(_xlfn.XLOOKUP(ROUND(AR$6,0),ROUND($G$7:$G$59,0),$M$7:$M$59,,1))
            -LN(_xlfn.XLOOKUP(ROUND(AR$6,0),ROUND($G$7:$G$59,0),$M$7:$M$59,,-1))
        )
        *
        (ROUND(AR$6,0)-_xlfn.XLOOKUP(ROUND(AR$6,0),ROUND($G$7:$G$59,0),ROUND($G$7:$G$59,0),,-1))
        /
        (
            _xlfn.XLOOKUP(ROUND(AR$6,0),ROUND($G$7:$G$59,0),ROUND($G$7:$G$59,0),,1)
            -_xlfn.XLOOKUP(ROUND(AR$6,0),ROUND($G$7:$G$59,0),ROUND($G$7:$G$59,0),,-1)
        )
    )
)</f>
        <v>0.77641006099101684</v>
      </c>
      <c r="AS5" s="24" cm="1">
        <f t="array" ref="AS5">IF(
    ISNUMBER(_xlfn.XMATCH(ROUND(AS$6,0),ROUND($G$7:$G$59,0))),
    _xlfn.XLOOKUP(ROUND(AS$6,0),ROUND($G$7:$G$59,0),$M$7:$M$59),
    EXP(
        LN(_xlfn.XLOOKUP(ROUND(AS$6,0),ROUND($G$7:$G$59,0),$M$7:$M$59,,-1))
        +
        (
            LN(_xlfn.XLOOKUP(ROUND(AS$6,0),ROUND($G$7:$G$59,0),$M$7:$M$59,,1))
            -LN(_xlfn.XLOOKUP(ROUND(AS$6,0),ROUND($G$7:$G$59,0),$M$7:$M$59,,-1))
        )
        *
        (ROUND(AS$6,0)-_xlfn.XLOOKUP(ROUND(AS$6,0),ROUND($G$7:$G$59,0),ROUND($G$7:$G$59,0),,-1))
        /
        (
            _xlfn.XLOOKUP(ROUND(AS$6,0),ROUND($G$7:$G$59,0),ROUND($G$7:$G$59,0),,1)
            -_xlfn.XLOOKUP(ROUND(AS$6,0),ROUND($G$7:$G$59,0),ROUND($G$7:$G$59,0),,-1)
        )
    )
)</f>
        <v>0.76861793831721392</v>
      </c>
      <c r="AT5" s="24" cm="1">
        <f t="array" ref="AT5">IF(
    ISNUMBER(_xlfn.XMATCH(ROUND(AT$6,0),ROUND($G$7:$G$59,0))),
    _xlfn.XLOOKUP(ROUND(AT$6,0),ROUND($G$7:$G$59,0),$M$7:$M$59),
    EXP(
        LN(_xlfn.XLOOKUP(ROUND(AT$6,0),ROUND($G$7:$G$59,0),$M$7:$M$59,,-1))
        +
        (
            LN(_xlfn.XLOOKUP(ROUND(AT$6,0),ROUND($G$7:$G$59,0),$M$7:$M$59,,1))
            -LN(_xlfn.XLOOKUP(ROUND(AT$6,0),ROUND($G$7:$G$59,0),$M$7:$M$59,,-1))
        )
        *
        (ROUND(AT$6,0)-_xlfn.XLOOKUP(ROUND(AT$6,0),ROUND($G$7:$G$59,0),ROUND($G$7:$G$59,0),,-1))
        /
        (
            _xlfn.XLOOKUP(ROUND(AT$6,0),ROUND($G$7:$G$59,0),ROUND($G$7:$G$59,0),,1)
            -_xlfn.XLOOKUP(ROUND(AT$6,0),ROUND($G$7:$G$59,0),ROUND($G$7:$G$59,0),,-1)
        )
    )
)</f>
        <v>0.76083747758709419</v>
      </c>
      <c r="AU5" s="24" cm="1">
        <f t="array" ref="AU5">IF(
    ISNUMBER(_xlfn.XMATCH(ROUND(AU$6,0),ROUND($G$7:$G$59,0))),
    _xlfn.XLOOKUP(ROUND(AU$6,0),ROUND($G$7:$G$59,0),$M$7:$M$59),
    EXP(
        LN(_xlfn.XLOOKUP(ROUND(AU$6,0),ROUND($G$7:$G$59,0),$M$7:$M$59,,-1))
        +
        (
            LN(_xlfn.XLOOKUP(ROUND(AU$6,0),ROUND($G$7:$G$59,0),$M$7:$M$59,,1))
            -LN(_xlfn.XLOOKUP(ROUND(AU$6,0),ROUND($G$7:$G$59,0),$M$7:$M$59,,-1))
        )
        *
        (ROUND(AU$6,0)-_xlfn.XLOOKUP(ROUND(AU$6,0),ROUND($G$7:$G$59,0),ROUND($G$7:$G$59,0),,-1))
        /
        (
            _xlfn.XLOOKUP(ROUND(AU$6,0),ROUND($G$7:$G$59,0),ROUND($G$7:$G$59,0),,1)
            -_xlfn.XLOOKUP(ROUND(AU$6,0),ROUND($G$7:$G$59,0),ROUND($G$7:$G$59,0),,-1)
        )
    )
)</f>
        <v>0.75313577584262281</v>
      </c>
      <c r="AV5" s="24" cm="1">
        <f t="array" ref="AV5">IF(
    ISNUMBER(_xlfn.XMATCH(ROUND(AV$6,0),ROUND($G$7:$G$59,0))),
    _xlfn.XLOOKUP(ROUND(AV$6,0),ROUND($G$7:$G$59,0),$M$7:$M$59),
    EXP(
        LN(_xlfn.XLOOKUP(ROUND(AV$6,0),ROUND($G$7:$G$59,0),$M$7:$M$59,,-1))
        +
        (
            LN(_xlfn.XLOOKUP(ROUND(AV$6,0),ROUND($G$7:$G$59,0),$M$7:$M$59,,1))
            -LN(_xlfn.XLOOKUP(ROUND(AV$6,0),ROUND($G$7:$G$59,0),$M$7:$M$59,,-1))
        )
        *
        (ROUND(AV$6,0)-_xlfn.XLOOKUP(ROUND(AV$6,0),ROUND($G$7:$G$59,0),ROUND($G$7:$G$59,0),,-1))
        /
        (
            _xlfn.XLOOKUP(ROUND(AV$6,0),ROUND($G$7:$G$59,0),ROUND($G$7:$G$59,0),,1)
            -_xlfn.XLOOKUP(ROUND(AV$6,0),ROUND($G$7:$G$59,0),ROUND($G$7:$G$59,0),,-1)
        )
    )
)</f>
        <v>0.74604458292974052</v>
      </c>
      <c r="AW5" s="24" cm="1">
        <f t="array" ref="AW5">IF(
    ISNUMBER(_xlfn.XMATCH(ROUND(AW$6,0),ROUND($G$7:$G$59,0))),
    _xlfn.XLOOKUP(ROUND(AW$6,0),ROUND($G$7:$G$59,0),$M$7:$M$59),
    EXP(
        LN(_xlfn.XLOOKUP(ROUND(AW$6,0),ROUND($G$7:$G$59,0),$M$7:$M$59,,-1))
        +
        (
            LN(_xlfn.XLOOKUP(ROUND(AW$6,0),ROUND($G$7:$G$59,0),$M$7:$M$59,,1))
            -LN(_xlfn.XLOOKUP(ROUND(AW$6,0),ROUND($G$7:$G$59,0),$M$7:$M$59,,-1))
        )
        *
        (ROUND(AW$6,0)-_xlfn.XLOOKUP(ROUND(AW$6,0),ROUND($G$7:$G$59,0),ROUND($G$7:$G$59,0),,-1))
        /
        (
            _xlfn.XLOOKUP(ROUND(AW$6,0),ROUND($G$7:$G$59,0),ROUND($G$7:$G$59,0),,1)
            -_xlfn.XLOOKUP(ROUND(AW$6,0),ROUND($G$7:$G$59,0),ROUND($G$7:$G$59,0),,-1)
        )
    )
)</f>
        <v>0.73902015754874384</v>
      </c>
      <c r="AX5" s="24" cm="1">
        <f t="array" ref="AX5">IF(
    ISNUMBER(_xlfn.XMATCH(ROUND(AX$6,0),ROUND($G$7:$G$59,0))),
    _xlfn.XLOOKUP(ROUND(AX$6,0),ROUND($G$7:$G$59,0),$M$7:$M$59),
    EXP(
        LN(_xlfn.XLOOKUP(ROUND(AX$6,0),ROUND($G$7:$G$59,0),$M$7:$M$59,,-1))
        +
        (
            LN(_xlfn.XLOOKUP(ROUND(AX$6,0),ROUND($G$7:$G$59,0),$M$7:$M$59,,1))
            -LN(_xlfn.XLOOKUP(ROUND(AX$6,0),ROUND($G$7:$G$59,0),$M$7:$M$59,,-1))
        )
        *
        (ROUND(AX$6,0)-_xlfn.XLOOKUP(ROUND(AX$6,0),ROUND($G$7:$G$59,0),ROUND($G$7:$G$59,0),,-1))
        /
        (
            _xlfn.XLOOKUP(ROUND(AX$6,0),ROUND($G$7:$G$59,0),ROUND($G$7:$G$59,0),,1)
            -_xlfn.XLOOKUP(ROUND(AX$6,0),ROUND($G$7:$G$59,0),ROUND($G$7:$G$59,0),,-1)
        )
    )
)</f>
        <v>0.73178643864775006</v>
      </c>
      <c r="AY5" s="24" cm="1">
        <f t="array" ref="AY5">IF(
    ISNUMBER(_xlfn.XMATCH(ROUND(AY$6,0),ROUND($G$7:$G$59,0))),
    _xlfn.XLOOKUP(ROUND(AY$6,0),ROUND($G$7:$G$59,0),$M$7:$M$59),
    EXP(
        LN(_xlfn.XLOOKUP(ROUND(AY$6,0),ROUND($G$7:$G$59,0),$M$7:$M$59,,-1))
        +
        (
            LN(_xlfn.XLOOKUP(ROUND(AY$6,0),ROUND($G$7:$G$59,0),$M$7:$M$59,,1))
            -LN(_xlfn.XLOOKUP(ROUND(AY$6,0),ROUND($G$7:$G$59,0),$M$7:$M$59,,-1))
        )
        *
        (ROUND(AY$6,0)-_xlfn.XLOOKUP(ROUND(AY$6,0),ROUND($G$7:$G$59,0),ROUND($G$7:$G$59,0),,-1))
        /
        (
            _xlfn.XLOOKUP(ROUND(AY$6,0),ROUND($G$7:$G$59,0),ROUND($G$7:$G$59,0),,1)
            -_xlfn.XLOOKUP(ROUND(AY$6,0),ROUND($G$7:$G$59,0),ROUND($G$7:$G$59,0),,-1)
        )
    )
)</f>
        <v>0.72462352524320184</v>
      </c>
      <c r="AZ5" s="24" cm="1">
        <f t="array" ref="AZ5">IF(
    ISNUMBER(_xlfn.XMATCH(ROUND(AZ$6,0),ROUND($G$7:$G$59,0))),
    _xlfn.XLOOKUP(ROUND(AZ$6,0),ROUND($G$7:$G$59,0),$M$7:$M$59),
    EXP(
        LN(_xlfn.XLOOKUP(ROUND(AZ$6,0),ROUND($G$7:$G$59,0),$M$7:$M$59,,-1))
        +
        (
            LN(_xlfn.XLOOKUP(ROUND(AZ$6,0),ROUND($G$7:$G$59,0),$M$7:$M$59,,1))
            -LN(_xlfn.XLOOKUP(ROUND(AZ$6,0),ROUND($G$7:$G$59,0),$M$7:$M$59,,-1))
        )
        *
        (ROUND(AZ$6,0)-_xlfn.XLOOKUP(ROUND(AZ$6,0),ROUND($G$7:$G$59,0),ROUND($G$7:$G$59,0),,-1))
        /
        (
            _xlfn.XLOOKUP(ROUND(AZ$6,0),ROUND($G$7:$G$59,0),ROUND($G$7:$G$59,0),,1)
            -_xlfn.XLOOKUP(ROUND(AZ$6,0),ROUND($G$7:$G$59,0),ROUND($G$7:$G$59,0),,-1)
        )
    )
)</f>
        <v>0.71841966908307342</v>
      </c>
      <c r="BA5" s="24" cm="1">
        <f t="array" ref="BA5">IF(
    ISNUMBER(_xlfn.XMATCH(ROUND(BA$6,0),ROUND($G$7:$G$59,0))),
    _xlfn.XLOOKUP(ROUND(BA$6,0),ROUND($G$7:$G$59,0),$M$7:$M$59),
    EXP(
        LN(_xlfn.XLOOKUP(ROUND(BA$6,0),ROUND($G$7:$G$59,0),$M$7:$M$59,,-1))
        +
        (
            LN(_xlfn.XLOOKUP(ROUND(BA$6,0),ROUND($G$7:$G$59,0),$M$7:$M$59,,1))
            -LN(_xlfn.XLOOKUP(ROUND(BA$6,0),ROUND($G$7:$G$59,0),$M$7:$M$59,,-1))
        )
        *
        (ROUND(BA$6,0)-_xlfn.XLOOKUP(ROUND(BA$6,0),ROUND($G$7:$G$59,0),ROUND($G$7:$G$59,0),,-1))
        /
        (
            _xlfn.XLOOKUP(ROUND(BA$6,0),ROUND($G$7:$G$59,0),ROUND($G$7:$G$59,0),,1)
            -_xlfn.XLOOKUP(ROUND(BA$6,0),ROUND($G$7:$G$59,0),ROUND($G$7:$G$59,0),,-1)
        )
    )
)</f>
        <v>0.7122689271676732</v>
      </c>
      <c r="BB5" s="24" cm="1">
        <f t="array" ref="BB5">IF(
    ISNUMBER(_xlfn.XMATCH(ROUND(BB$6,0),ROUND($G$7:$G$59,0))),
    _xlfn.XLOOKUP(ROUND(BB$6,0),ROUND($G$7:$G$59,0),$M$7:$M$59),
    EXP(
        LN(_xlfn.XLOOKUP(ROUND(BB$6,0),ROUND($G$7:$G$59,0),$M$7:$M$59,,-1))
        +
        (
            LN(_xlfn.XLOOKUP(ROUND(BB$6,0),ROUND($G$7:$G$59,0),$M$7:$M$59,,1))
            -LN(_xlfn.XLOOKUP(ROUND(BB$6,0),ROUND($G$7:$G$59,0),$M$7:$M$59,,-1))
        )
        *
        (ROUND(BB$6,0)-_xlfn.XLOOKUP(ROUND(BB$6,0),ROUND($G$7:$G$59,0),ROUND($G$7:$G$59,0),,-1))
        /
        (
            _xlfn.XLOOKUP(ROUND(BB$6,0),ROUND($G$7:$G$59,0),ROUND($G$7:$G$59,0),,1)
            -_xlfn.XLOOKUP(ROUND(BB$6,0),ROUND($G$7:$G$59,0),ROUND($G$7:$G$59,0),,-1)
        )
    )
)</f>
        <v>0.70618575416847329</v>
      </c>
      <c r="BC5" s="24" cm="1">
        <f t="array" ref="BC5">IF(
    ISNUMBER(_xlfn.XMATCH(ROUND(BC$6,0),ROUND($G$7:$G$59,0))),
    _xlfn.XLOOKUP(ROUND(BC$6,0),ROUND($G$7:$G$59,0),$M$7:$M$59),
    EXP(
        LN(_xlfn.XLOOKUP(ROUND(BC$6,0),ROUND($G$7:$G$59,0),$M$7:$M$59,,-1))
        +
        (
            LN(_xlfn.XLOOKUP(ROUND(BC$6,0),ROUND($G$7:$G$59,0),$M$7:$M$59,,1))
            -LN(_xlfn.XLOOKUP(ROUND(BC$6,0),ROUND($G$7:$G$59,0),$M$7:$M$59,,-1))
        )
        *
        (ROUND(BC$6,0)-_xlfn.XLOOKUP(ROUND(BC$6,0),ROUND($G$7:$G$59,0),ROUND($G$7:$G$59,0),,-1))
        /
        (
            _xlfn.XLOOKUP(ROUND(BC$6,0),ROUND($G$7:$G$59,0),ROUND($G$7:$G$59,0),,1)
            -_xlfn.XLOOKUP(ROUND(BC$6,0),ROUND($G$7:$G$59,0),ROUND($G$7:$G$59,0),,-1)
        )
    )
)</f>
        <v>0.70015453485183166</v>
      </c>
      <c r="BD5" s="24" cm="1">
        <f t="array" ref="BD5">IF(
    ISNUMBER(_xlfn.XMATCH(ROUND(BD$6,0),ROUND($G$7:$G$59,0))),
    _xlfn.XLOOKUP(ROUND(BD$6,0),ROUND($G$7:$G$59,0),$M$7:$M$59),
    EXP(
        LN(_xlfn.XLOOKUP(ROUND(BD$6,0),ROUND($G$7:$G$59,0),$M$7:$M$59,,-1))
        +
        (
            LN(_xlfn.XLOOKUP(ROUND(BD$6,0),ROUND($G$7:$G$59,0),$M$7:$M$59,,1))
            -LN(_xlfn.XLOOKUP(ROUND(BD$6,0),ROUND($G$7:$G$59,0),$M$7:$M$59,,-1))
        )
        *
        (ROUND(BD$6,0)-_xlfn.XLOOKUP(ROUND(BD$6,0),ROUND($G$7:$G$59,0),ROUND($G$7:$G$59,0),,-1))
        /
        (
            _xlfn.XLOOKUP(ROUND(BD$6,0),ROUND($G$7:$G$59,0),ROUND($G$7:$G$59,0),,1)
            -_xlfn.XLOOKUP(ROUND(BD$6,0),ROUND($G$7:$G$59,0),ROUND($G$7:$G$59,0),,-1)
        )
    )
)</f>
        <v>0.69235048979444447</v>
      </c>
      <c r="BE5" s="24" cm="1">
        <f t="array" ref="BE5">IF(
    ISNUMBER(_xlfn.XMATCH(ROUND(BE$6,0),ROUND($G$7:$G$59,0))),
    _xlfn.XLOOKUP(ROUND(BE$6,0),ROUND($G$7:$G$59,0),$M$7:$M$59),
    EXP(
        LN(_xlfn.XLOOKUP(ROUND(BE$6,0),ROUND($G$7:$G$59,0),$M$7:$M$59,,-1))
        +
        (
            LN(_xlfn.XLOOKUP(ROUND(BE$6,0),ROUND($G$7:$G$59,0),$M$7:$M$59,,1))
            -LN(_xlfn.XLOOKUP(ROUND(BE$6,0),ROUND($G$7:$G$59,0),$M$7:$M$59,,-1))
        )
        *
        (ROUND(BE$6,0)-_xlfn.XLOOKUP(ROUND(BE$6,0),ROUND($G$7:$G$59,0),ROUND($G$7:$G$59,0),,-1))
        /
        (
            _xlfn.XLOOKUP(ROUND(BE$6,0),ROUND($G$7:$G$59,0),ROUND($G$7:$G$59,0),,1)
            -_xlfn.XLOOKUP(ROUND(BE$6,0),ROUND($G$7:$G$59,0),ROUND($G$7:$G$59,0),,-1)
        )
    )
)</f>
        <v>0.68463342998992105</v>
      </c>
      <c r="BF5" s="24" cm="1">
        <f t="array" ref="BF5">IF(
    ISNUMBER(_xlfn.XMATCH(ROUND(BF$6,0),ROUND($G$7:$G$59,0))),
    _xlfn.XLOOKUP(ROUND(BF$6,0),ROUND($G$7:$G$59,0),$M$7:$M$59),
    EXP(
        LN(_xlfn.XLOOKUP(ROUND(BF$6,0),ROUND($G$7:$G$59,0),$M$7:$M$59,,-1))
        +
        (
            LN(_xlfn.XLOOKUP(ROUND(BF$6,0),ROUND($G$7:$G$59,0),$M$7:$M$59,,1))
            -LN(_xlfn.XLOOKUP(ROUND(BF$6,0),ROUND($G$7:$G$59,0),$M$7:$M$59,,-1))
        )
        *
        (ROUND(BF$6,0)-_xlfn.XLOOKUP(ROUND(BF$6,0),ROUND($G$7:$G$59,0),ROUND($G$7:$G$59,0),,-1))
        /
        (
            _xlfn.XLOOKUP(ROUND(BF$6,0),ROUND($G$7:$G$59,0),ROUND($G$7:$G$59,0),,1)
            -_xlfn.XLOOKUP(ROUND(BF$6,0),ROUND($G$7:$G$59,0),ROUND($G$7:$G$59,0),,-1)
        )
    )
)</f>
        <v>0.67821609324900201</v>
      </c>
      <c r="BG5" s="24" cm="1">
        <f t="array" ref="BG5">IF(
    ISNUMBER(_xlfn.XMATCH(ROUND(BG$6,0),ROUND($G$7:$G$59,0))),
    _xlfn.XLOOKUP(ROUND(BG$6,0),ROUND($G$7:$G$59,0),$M$7:$M$59),
    EXP(
        LN(_xlfn.XLOOKUP(ROUND(BG$6,0),ROUND($G$7:$G$59,0),$M$7:$M$59,,-1))
        +
        (
            LN(_xlfn.XLOOKUP(ROUND(BG$6,0),ROUND($G$7:$G$59,0),$M$7:$M$59,,1))
            -LN(_xlfn.XLOOKUP(ROUND(BG$6,0),ROUND($G$7:$G$59,0),$M$7:$M$59,,-1))
        )
        *
        (ROUND(BG$6,0)-_xlfn.XLOOKUP(ROUND(BG$6,0),ROUND($G$7:$G$59,0),ROUND($G$7:$G$59,0),,-1))
        /
        (
            _xlfn.XLOOKUP(ROUND(BG$6,0),ROUND($G$7:$G$59,0),ROUND($G$7:$G$59,0),,1)
            -_xlfn.XLOOKUP(ROUND(BG$6,0),ROUND($G$7:$G$59,0),ROUND($G$7:$G$59,0),,-1)
        )
    )
)</f>
        <v>0.67185890871369025</v>
      </c>
      <c r="BH5" s="24" cm="1">
        <f t="array" ref="BH5">IF(
    ISNUMBER(_xlfn.XMATCH(ROUND(BH$6,0),ROUND($G$7:$G$59,0))),
    _xlfn.XLOOKUP(ROUND(BH$6,0),ROUND($G$7:$G$59,0),$M$7:$M$59),
    EXP(
        LN(_xlfn.XLOOKUP(ROUND(BH$6,0),ROUND($G$7:$G$59,0),$M$7:$M$59,,-1))
        +
        (
            LN(_xlfn.XLOOKUP(ROUND(BH$6,0),ROUND($G$7:$G$59,0),$M$7:$M$59,,1))
            -LN(_xlfn.XLOOKUP(ROUND(BH$6,0),ROUND($G$7:$G$59,0),$M$7:$M$59,,-1))
        )
        *
        (ROUND(BH$6,0)-_xlfn.XLOOKUP(ROUND(BH$6,0),ROUND($G$7:$G$59,0),ROUND($G$7:$G$59,0),,-1))
        /
        (
            _xlfn.XLOOKUP(ROUND(BH$6,0),ROUND($G$7:$G$59,0),ROUND($G$7:$G$59,0),,1)
            -_xlfn.XLOOKUP(ROUND(BH$6,0),ROUND($G$7:$G$59,0),ROUND($G$7:$G$59,0),,-1)
        )
    )
)</f>
        <v>0.66417542585751077</v>
      </c>
      <c r="BI5" s="24" cm="1">
        <f t="array" ref="BI5">IF(
    ISNUMBER(_xlfn.XMATCH(ROUND(BI$6,0),ROUND($G$7:$G$59,0))),
    _xlfn.XLOOKUP(ROUND(BI$6,0),ROUND($G$7:$G$59,0),$M$7:$M$59),
    EXP(
        LN(_xlfn.XLOOKUP(ROUND(BI$6,0),ROUND($G$7:$G$59,0),$M$7:$M$59,,-1))
        +
        (
            LN(_xlfn.XLOOKUP(ROUND(BI$6,0),ROUND($G$7:$G$59,0),$M$7:$M$59,,1))
            -LN(_xlfn.XLOOKUP(ROUND(BI$6,0),ROUND($G$7:$G$59,0),$M$7:$M$59,,-1))
        )
        *
        (ROUND(BI$6,0)-_xlfn.XLOOKUP(ROUND(BI$6,0),ROUND($G$7:$G$59,0),ROUND($G$7:$G$59,0),,-1))
        /
        (
            _xlfn.XLOOKUP(ROUND(BI$6,0),ROUND($G$7:$G$59,0),ROUND($G$7:$G$59,0),,1)
            -_xlfn.XLOOKUP(ROUND(BI$6,0),ROUND($G$7:$G$59,0),ROUND($G$7:$G$59,0),,-1)
        )
    )
)</f>
        <v>0.65657981250493624</v>
      </c>
      <c r="BJ5" s="24" cm="1">
        <f t="array" ref="BJ5">IF(
    ISNUMBER(_xlfn.XMATCH(ROUND(BJ$6,0),ROUND($G$7:$G$59,0))),
    _xlfn.XLOOKUP(ROUND(BJ$6,0),ROUND($G$7:$G$59,0),$M$7:$M$59),
    EXP(
        LN(_xlfn.XLOOKUP(ROUND(BJ$6,0),ROUND($G$7:$G$59,0),$M$7:$M$59,,-1))
        +
        (
            LN(_xlfn.XLOOKUP(ROUND(BJ$6,0),ROUND($G$7:$G$59,0),$M$7:$M$59,,1))
            -LN(_xlfn.XLOOKUP(ROUND(BJ$6,0),ROUND($G$7:$G$59,0),$M$7:$M$59,,-1))
        )
        *
        (ROUND(BJ$6,0)-_xlfn.XLOOKUP(ROUND(BJ$6,0),ROUND($G$7:$G$59,0),ROUND($G$7:$G$59,0),,-1))
        /
        (
            _xlfn.XLOOKUP(ROUND(BJ$6,0),ROUND($G$7:$G$59,0),ROUND($G$7:$G$59,0),,1)
            -_xlfn.XLOOKUP(ROUND(BJ$6,0),ROUND($G$7:$G$59,0),ROUND($G$7:$G$59,0),,-1)
        )
    )
)</f>
        <v>0.64907106376667245</v>
      </c>
      <c r="BK5" s="24" cm="1">
        <f t="array" ref="BK5">IF(
    ISNUMBER(_xlfn.XMATCH(ROUND(BK$6,0),ROUND($G$7:$G$59,0))),
    _xlfn.XLOOKUP(ROUND(BK$6,0),ROUND($G$7:$G$59,0),$M$7:$M$59),
    EXP(
        LN(_xlfn.XLOOKUP(ROUND(BK$6,0),ROUND($G$7:$G$59,0),$M$7:$M$59,,-1))
        +
        (
            LN(_xlfn.XLOOKUP(ROUND(BK$6,0),ROUND($G$7:$G$59,0),$M$7:$M$59,,1))
            -LN(_xlfn.XLOOKUP(ROUND(BK$6,0),ROUND($G$7:$G$59,0),$M$7:$M$59,,-1))
        )
        *
        (ROUND(BK$6,0)-_xlfn.XLOOKUP(ROUND(BK$6,0),ROUND($G$7:$G$59,0),ROUND($G$7:$G$59,0),,-1))
        /
        (
            _xlfn.XLOOKUP(ROUND(BK$6,0),ROUND($G$7:$G$59,0),ROUND($G$7:$G$59,0),,1)
            -_xlfn.XLOOKUP(ROUND(BK$6,0),ROUND($G$7:$G$59,0),ROUND($G$7:$G$59,0),,-1)
        )
    )
)</f>
        <v>0.64164818624549547</v>
      </c>
      <c r="BL5" s="24" cm="1">
        <f t="array" ref="BL5">IF(
    ISNUMBER(_xlfn.XMATCH(ROUND(BL$6,0),ROUND($G$7:$G$59,0))),
    _xlfn.XLOOKUP(ROUND(BL$6,0),ROUND($G$7:$G$59,0),$M$7:$M$59),
    EXP(
        LN(_xlfn.XLOOKUP(ROUND(BL$6,0),ROUND($G$7:$G$59,0),$M$7:$M$59,,-1))
        +
        (
            LN(_xlfn.XLOOKUP(ROUND(BL$6,0),ROUND($G$7:$G$59,0),$M$7:$M$59,,1))
            -LN(_xlfn.XLOOKUP(ROUND(BL$6,0),ROUND($G$7:$G$59,0),$M$7:$M$59,,-1))
        )
        *
        (ROUND(BL$6,0)-_xlfn.XLOOKUP(ROUND(BL$6,0),ROUND($G$7:$G$59,0),ROUND($G$7:$G$59,0),,-1))
        /
        (
            _xlfn.XLOOKUP(ROUND(BL$6,0),ROUND($G$7:$G$59,0),ROUND($G$7:$G$59,0),,1)
            -_xlfn.XLOOKUP(ROUND(BL$6,0),ROUND($G$7:$G$59,0),ROUND($G$7:$G$59,0),,-1)
        )
    )
)</f>
        <v>0.63431019790482612</v>
      </c>
      <c r="BM5" s="24" cm="1">
        <f t="array" ref="BM5">IF(
    ISNUMBER(_xlfn.XMATCH(ROUND(BM$6,0),ROUND($G$7:$G$59,0))),
    _xlfn.XLOOKUP(ROUND(BM$6,0),ROUND($G$7:$G$59,0),$M$7:$M$59),
    EXP(
        LN(_xlfn.XLOOKUP(ROUND(BM$6,0),ROUND($G$7:$G$59,0),$M$7:$M$59,,-1))
        +
        (
            LN(_xlfn.XLOOKUP(ROUND(BM$6,0),ROUND($G$7:$G$59,0),$M$7:$M$59,,1))
            -LN(_xlfn.XLOOKUP(ROUND(BM$6,0),ROUND($G$7:$G$59,0),$M$7:$M$59,,-1))
        )
        *
        (ROUND(BM$6,0)-_xlfn.XLOOKUP(ROUND(BM$6,0),ROUND($G$7:$G$59,0),ROUND($G$7:$G$59,0),,-1))
        /
        (
            _xlfn.XLOOKUP(ROUND(BM$6,0),ROUND($G$7:$G$59,0),ROUND($G$7:$G$59,0),,1)
            -_xlfn.XLOOKUP(ROUND(BM$6,0),ROUND($G$7:$G$59,0),ROUND($G$7:$G$59,0),,-1)
        )
    )
)</f>
        <v>0.62705612793880816</v>
      </c>
      <c r="BN5" s="24" cm="1">
        <f t="array" ref="BN5">IF(
    ISNUMBER(_xlfn.XMATCH(ROUND(BN$6,0),ROUND($G$7:$G$59,0))),
    _xlfn.XLOOKUP(ROUND(BN$6,0),ROUND($G$7:$G$59,0),$M$7:$M$59),
    EXP(
        LN(_xlfn.XLOOKUP(ROUND(BN$6,0),ROUND($G$7:$G$59,0),$M$7:$M$59,,-1))
        +
        (
            LN(_xlfn.XLOOKUP(ROUND(BN$6,0),ROUND($G$7:$G$59,0),$M$7:$M$59,,1))
            -LN(_xlfn.XLOOKUP(ROUND(BN$6,0),ROUND($G$7:$G$59,0),$M$7:$M$59,,-1))
        )
        *
        (ROUND(BN$6,0)-_xlfn.XLOOKUP(ROUND(BN$6,0),ROUND($G$7:$G$59,0),ROUND($G$7:$G$59,0),,-1))
        /
        (
            _xlfn.XLOOKUP(ROUND(BN$6,0),ROUND($G$7:$G$59,0),ROUND($G$7:$G$59,0),,1)
            -_xlfn.XLOOKUP(ROUND(BN$6,0),ROUND($G$7:$G$59,0),ROUND($G$7:$G$59,0),,-1)
        )
    )
)</f>
        <v>0.61988501664387219</v>
      </c>
      <c r="BO5" s="24" cm="1">
        <f t="array" ref="BO5">IF(
    ISNUMBER(_xlfn.XMATCH(ROUND(BO$6,0),ROUND($G$7:$G$59,0))),
    _xlfn.XLOOKUP(ROUND(BO$6,0),ROUND($G$7:$G$59,0),$M$7:$M$59),
    EXP(
        LN(_xlfn.XLOOKUP(ROUND(BO$6,0),ROUND($G$7:$G$59,0),$M$7:$M$59,,-1))
        +
        (
            LN(_xlfn.XLOOKUP(ROUND(BO$6,0),ROUND($G$7:$G$59,0),$M$7:$M$59,,1))
            -LN(_xlfn.XLOOKUP(ROUND(BO$6,0),ROUND($G$7:$G$59,0),$M$7:$M$59,,-1))
        )
        *
        (ROUND(BO$6,0)-_xlfn.XLOOKUP(ROUND(BO$6,0),ROUND($G$7:$G$59,0),ROUND($G$7:$G$59,0),,-1))
        /
        (
            _xlfn.XLOOKUP(ROUND(BO$6,0),ROUND($G$7:$G$59,0),ROUND($G$7:$G$59,0),,1)
            -_xlfn.XLOOKUP(ROUND(BO$6,0),ROUND($G$7:$G$59,0),ROUND($G$7:$G$59,0),,-1)
        )
    )
)</f>
        <v>0.61379444518674575</v>
      </c>
      <c r="BP5" s="24" cm="1">
        <f t="array" ref="BP5">IF(
    ISNUMBER(_xlfn.XMATCH(ROUND(BP$6,0),ROUND($G$7:$G$59,0))),
    _xlfn.XLOOKUP(ROUND(BP$6,0),ROUND($G$7:$G$59,0),$M$7:$M$59),
    EXP(
        LN(_xlfn.XLOOKUP(ROUND(BP$6,0),ROUND($G$7:$G$59,0),$M$7:$M$59,,-1))
        +
        (
            LN(_xlfn.XLOOKUP(ROUND(BP$6,0),ROUND($G$7:$G$59,0),$M$7:$M$59,,1))
            -LN(_xlfn.XLOOKUP(ROUND(BP$6,0),ROUND($G$7:$G$59,0),$M$7:$M$59,,-1))
        )
        *
        (ROUND(BP$6,0)-_xlfn.XLOOKUP(ROUND(BP$6,0),ROUND($G$7:$G$59,0),ROUND($G$7:$G$59,0),,-1))
        /
        (
            _xlfn.XLOOKUP(ROUND(BP$6,0),ROUND($G$7:$G$59,0),ROUND($G$7:$G$59,0),,1)
            -_xlfn.XLOOKUP(ROUND(BP$6,0),ROUND($G$7:$G$59,0),ROUND($G$7:$G$59,0),,-1)
        )
    )
)</f>
        <v>0.60776371557073228</v>
      </c>
      <c r="BQ5" s="24" cm="1">
        <f t="array" ref="BQ5">IF(
    ISNUMBER(_xlfn.XMATCH(ROUND(BQ$6,0),ROUND($G$7:$G$59,0))),
    _xlfn.XLOOKUP(ROUND(BQ$6,0),ROUND($G$7:$G$59,0),$M$7:$M$59),
    EXP(
        LN(_xlfn.XLOOKUP(ROUND(BQ$6,0),ROUND($G$7:$G$59,0),$M$7:$M$59,,-1))
        +
        (
            LN(_xlfn.XLOOKUP(ROUND(BQ$6,0),ROUND($G$7:$G$59,0),$M$7:$M$59,,1))
            -LN(_xlfn.XLOOKUP(ROUND(BQ$6,0),ROUND($G$7:$G$59,0),$M$7:$M$59,,-1))
        )
        *
        (ROUND(BQ$6,0)-_xlfn.XLOOKUP(ROUND(BQ$6,0),ROUND($G$7:$G$59,0),ROUND($G$7:$G$59,0),,-1))
        /
        (
            _xlfn.XLOOKUP(ROUND(BQ$6,0),ROUND($G$7:$G$59,0),ROUND($G$7:$G$59,0),,1)
            -_xlfn.XLOOKUP(ROUND(BQ$6,0),ROUND($G$7:$G$59,0),ROUND($G$7:$G$59,0),,-1)
        )
    )
)</f>
        <v>0.60179223983032282</v>
      </c>
      <c r="BR5" s="24" cm="1">
        <f t="array" ref="BR5">IF(
    ISNUMBER(_xlfn.XMATCH(ROUND(BR$6,0),ROUND($G$7:$G$59,0))),
    _xlfn.XLOOKUP(ROUND(BR$6,0),ROUND($G$7:$G$59,0),$M$7:$M$59),
    EXP(
        LN(_xlfn.XLOOKUP(ROUND(BR$6,0),ROUND($G$7:$G$59,0),$M$7:$M$59,,-1))
        +
        (
            LN(_xlfn.XLOOKUP(ROUND(BR$6,0),ROUND($G$7:$G$59,0),$M$7:$M$59,,1))
            -LN(_xlfn.XLOOKUP(ROUND(BR$6,0),ROUND($G$7:$G$59,0),$M$7:$M$59,,-1))
        )
        *
        (ROUND(BR$6,0)-_xlfn.XLOOKUP(ROUND(BR$6,0),ROUND($G$7:$G$59,0),ROUND($G$7:$G$59,0),,-1))
        /
        (
            _xlfn.XLOOKUP(ROUND(BR$6,0),ROUND($G$7:$G$59,0),ROUND($G$7:$G$59,0),,1)
            -_xlfn.XLOOKUP(ROUND(BR$6,0),ROUND($G$7:$G$59,0),ROUND($G$7:$G$59,0),,-1)
        )
    )
)</f>
        <v>0.5958794357769599</v>
      </c>
      <c r="BS5" s="24" cm="1">
        <f t="array" ref="BS5">IF(
    ISNUMBER(_xlfn.XMATCH(ROUND(BS$6,0),ROUND($G$7:$G$59,0))),
    _xlfn.XLOOKUP(ROUND(BS$6,0),ROUND($G$7:$G$59,0),$M$7:$M$59),
    EXP(
        LN(_xlfn.XLOOKUP(ROUND(BS$6,0),ROUND($G$7:$G$59,0),$M$7:$M$59,,-1))
        +
        (
            LN(_xlfn.XLOOKUP(ROUND(BS$6,0),ROUND($G$7:$G$59,0),$M$7:$M$59,,1))
            -LN(_xlfn.XLOOKUP(ROUND(BS$6,0),ROUND($G$7:$G$59,0),$M$7:$M$59,,-1))
        )
        *
        (ROUND(BS$6,0)-_xlfn.XLOOKUP(ROUND(BS$6,0),ROUND($G$7:$G$59,0),ROUND($G$7:$G$59,0),,-1))
        /
        (
            _xlfn.XLOOKUP(ROUND(BS$6,0),ROUND($G$7:$G$59,0),ROUND($G$7:$G$59,0),,1)
            -_xlfn.XLOOKUP(ROUND(BS$6,0),ROUND($G$7:$G$59,0),ROUND($G$7:$G$59,0),,-1)
        )
    )
)</f>
        <v>0.59030420931430339</v>
      </c>
      <c r="BT5" s="24" cm="1">
        <f t="array" ref="BT5">IF(
    ISNUMBER(_xlfn.XMATCH(ROUND(BT$6,0),ROUND($G$7:$G$59,0))),
    _xlfn.XLOOKUP(ROUND(BT$6,0),ROUND($G$7:$G$59,0),$M$7:$M$59),
    EXP(
        LN(_xlfn.XLOOKUP(ROUND(BT$6,0),ROUND($G$7:$G$59,0),$M$7:$M$59,,-1))
        +
        (
            LN(_xlfn.XLOOKUP(ROUND(BT$6,0),ROUND($G$7:$G$59,0),$M$7:$M$59,,1))
            -LN(_xlfn.XLOOKUP(ROUND(BT$6,0),ROUND($G$7:$G$59,0),$M$7:$M$59,,-1))
        )
        *
        (ROUND(BT$6,0)-_xlfn.XLOOKUP(ROUND(BT$6,0),ROUND($G$7:$G$59,0),ROUND($G$7:$G$59,0),,-1))
        /
        (
            _xlfn.XLOOKUP(ROUND(BT$6,0),ROUND($G$7:$G$59,0),ROUND($G$7:$G$59,0),,1)
            -_xlfn.XLOOKUP(ROUND(BT$6,0),ROUND($G$7:$G$59,0),ROUND($G$7:$G$59,0),,-1)
        )
    )
)</f>
        <v>0.58478114634017109</v>
      </c>
      <c r="BU5" s="24" cm="1">
        <f t="array" ref="BU5">IF(
    ISNUMBER(_xlfn.XMATCH(ROUND(BU$6,0),ROUND($G$7:$G$59,0))),
    _xlfn.XLOOKUP(ROUND(BU$6,0),ROUND($G$7:$G$59,0),$M$7:$M$59),
    EXP(
        LN(_xlfn.XLOOKUP(ROUND(BU$6,0),ROUND($G$7:$G$59,0),$M$7:$M$59,,-1))
        +
        (
            LN(_xlfn.XLOOKUP(ROUND(BU$6,0),ROUND($G$7:$G$59,0),$M$7:$M$59,,1))
            -LN(_xlfn.XLOOKUP(ROUND(BU$6,0),ROUND($G$7:$G$59,0),$M$7:$M$59,,-1))
        )
        *
        (ROUND(BU$6,0)-_xlfn.XLOOKUP(ROUND(BU$6,0),ROUND($G$7:$G$59,0),ROUND($G$7:$G$59,0),,-1))
        /
        (
            _xlfn.XLOOKUP(ROUND(BU$6,0),ROUND($G$7:$G$59,0),ROUND($G$7:$G$59,0),,1)
            -_xlfn.XLOOKUP(ROUND(BU$6,0),ROUND($G$7:$G$59,0),ROUND($G$7:$G$59,0),,-1)
        )
    )
)</f>
        <v>0.57930975879734159</v>
      </c>
      <c r="BV5" s="24" cm="1">
        <f t="array" ref="BV5">IF(
    ISNUMBER(_xlfn.XMATCH(ROUND(BV$6,0),ROUND($G$7:$G$59,0))),
    _xlfn.XLOOKUP(ROUND(BV$6,0),ROUND($G$7:$G$59,0),$M$7:$M$59),
    EXP(
        LN(_xlfn.XLOOKUP(ROUND(BV$6,0),ROUND($G$7:$G$59,0),$M$7:$M$59,,-1))
        +
        (
            LN(_xlfn.XLOOKUP(ROUND(BV$6,0),ROUND($G$7:$G$59,0),$M$7:$M$59,,1))
            -LN(_xlfn.XLOOKUP(ROUND(BV$6,0),ROUND($G$7:$G$59,0),$M$7:$M$59,,-1))
        )
        *
        (ROUND(BV$6,0)-_xlfn.XLOOKUP(ROUND(BV$6,0),ROUND($G$7:$G$59,0),ROUND($G$7:$G$59,0),,-1))
        /
        (
            _xlfn.XLOOKUP(ROUND(BV$6,0),ROUND($G$7:$G$59,0),ROUND($G$7:$G$59,0),,1)
            -_xlfn.XLOOKUP(ROUND(BV$6,0),ROUND($G$7:$G$59,0),ROUND($G$7:$G$59,0),,-1)
        )
    )
)</f>
        <v>0.57388956319500328</v>
      </c>
      <c r="BW5" s="24" cm="1">
        <f t="array" ref="BW5">IF(
    ISNUMBER(_xlfn.XMATCH(ROUND(BW$6,0),ROUND($G$7:$G$59,0))),
    _xlfn.XLOOKUP(ROUND(BW$6,0),ROUND($G$7:$G$59,0),$M$7:$M$59),
    EXP(
        LN(_xlfn.XLOOKUP(ROUND(BW$6,0),ROUND($G$7:$G$59,0),$M$7:$M$59,,-1))
        +
        (
            LN(_xlfn.XLOOKUP(ROUND(BW$6,0),ROUND($G$7:$G$59,0),$M$7:$M$59,,1))
            -LN(_xlfn.XLOOKUP(ROUND(BW$6,0),ROUND($G$7:$G$59,0),$M$7:$M$59,,-1))
        )
        *
        (ROUND(BW$6,0)-_xlfn.XLOOKUP(ROUND(BW$6,0),ROUND($G$7:$G$59,0),ROUND($G$7:$G$59,0),,-1))
        /
        (
            _xlfn.XLOOKUP(ROUND(BW$6,0),ROUND($G$7:$G$59,0),ROUND($G$7:$G$59,0),,1)
            -_xlfn.XLOOKUP(ROUND(BW$6,0),ROUND($G$7:$G$59,0),ROUND($G$7:$G$59,0),,-1)
        )
    )
)</f>
        <v>0.5686152814904889</v>
      </c>
      <c r="BX5" s="24" cm="1">
        <f t="array" ref="BX5">IF(
    ISNUMBER(_xlfn.XMATCH(ROUND(BX$6,0),ROUND($G$7:$G$59,0))),
    _xlfn.XLOOKUP(ROUND(BX$6,0),ROUND($G$7:$G$59,0),$M$7:$M$59),
    EXP(
        LN(_xlfn.XLOOKUP(ROUND(BX$6,0),ROUND($G$7:$G$59,0),$M$7:$M$59,,-1))
        +
        (
            LN(_xlfn.XLOOKUP(ROUND(BX$6,0),ROUND($G$7:$G$59,0),$M$7:$M$59,,1))
            -LN(_xlfn.XLOOKUP(ROUND(BX$6,0),ROUND($G$7:$G$59,0),$M$7:$M$59,,-1))
        )
        *
        (ROUND(BX$6,0)-_xlfn.XLOOKUP(ROUND(BX$6,0),ROUND($G$7:$G$59,0),ROUND($G$7:$G$59,0),,-1))
        /
        (
            _xlfn.XLOOKUP(ROUND(BX$6,0),ROUND($G$7:$G$59,0),ROUND($G$7:$G$59,0),,1)
            -_xlfn.XLOOKUP(ROUND(BX$6,0),ROUND($G$7:$G$59,0),ROUND($G$7:$G$59,0),,-1)
        )
    )
)</f>
        <v>0.56338947260946282</v>
      </c>
      <c r="BY5" s="24" cm="1">
        <f t="array" ref="BY5">IF(
    ISNUMBER(_xlfn.XMATCH(ROUND(BY$6,0),ROUND($G$7:$G$59,0))),
    _xlfn.XLOOKUP(ROUND(BY$6,0),ROUND($G$7:$G$59,0),$M$7:$M$59),
    EXP(
        LN(_xlfn.XLOOKUP(ROUND(BY$6,0),ROUND($G$7:$G$59,0),$M$7:$M$59,,-1))
        +
        (
            LN(_xlfn.XLOOKUP(ROUND(BY$6,0),ROUND($G$7:$G$59,0),$M$7:$M$59,,1))
            -LN(_xlfn.XLOOKUP(ROUND(BY$6,0),ROUND($G$7:$G$59,0),$M$7:$M$59,,-1))
        )
        *
        (ROUND(BY$6,0)-_xlfn.XLOOKUP(ROUND(BY$6,0),ROUND($G$7:$G$59,0),ROUND($G$7:$G$59,0),,-1))
        /
        (
            _xlfn.XLOOKUP(ROUND(BY$6,0),ROUND($G$7:$G$59,0),ROUND($G$7:$G$59,0),,1)
            -_xlfn.XLOOKUP(ROUND(BY$6,0),ROUND($G$7:$G$59,0),ROUND($G$7:$G$59,0),,-1)
        )
    )
)</f>
        <v>0.55821169106669166</v>
      </c>
      <c r="BZ5" s="24" cm="1">
        <f t="array" ref="BZ5">IF(
    ISNUMBER(_xlfn.XMATCH(ROUND(BZ$6,0),ROUND($G$7:$G$59,0))),
    _xlfn.XLOOKUP(ROUND(BZ$6,0),ROUND($G$7:$G$59,0),$M$7:$M$59),
    EXP(
        LN(_xlfn.XLOOKUP(ROUND(BZ$6,0),ROUND($G$7:$G$59,0),$M$7:$M$59,,-1))
        +
        (
            LN(_xlfn.XLOOKUP(ROUND(BZ$6,0),ROUND($G$7:$G$59,0),$M$7:$M$59,,1))
            -LN(_xlfn.XLOOKUP(ROUND(BZ$6,0),ROUND($G$7:$G$59,0),$M$7:$M$59,,-1))
        )
        *
        (ROUND(BZ$6,0)-_xlfn.XLOOKUP(ROUND(BZ$6,0),ROUND($G$7:$G$59,0),ROUND($G$7:$G$59,0),,-1))
        /
        (
            _xlfn.XLOOKUP(ROUND(BZ$6,0),ROUND($G$7:$G$59,0),ROUND($G$7:$G$59,0),,1)
            -_xlfn.XLOOKUP(ROUND(BZ$6,0),ROUND($G$7:$G$59,0),ROUND($G$7:$G$59,0),,-1)
        )
    )
)</f>
        <v>0.55308149547113472</v>
      </c>
      <c r="CA5" s="24" cm="1">
        <f t="array" ref="CA5">IF(
    ISNUMBER(_xlfn.XMATCH(ROUND(CA$6,0),ROUND($G$7:$G$59,0))),
    _xlfn.XLOOKUP(ROUND(CA$6,0),ROUND($G$7:$G$59,0),$M$7:$M$59),
    EXP(
        LN(_xlfn.XLOOKUP(ROUND(CA$6,0),ROUND($G$7:$G$59,0),$M$7:$M$59,,-1))
        +
        (
            LN(_xlfn.XLOOKUP(ROUND(CA$6,0),ROUND($G$7:$G$59,0),$M$7:$M$59,,1))
            -LN(_xlfn.XLOOKUP(ROUND(CA$6,0),ROUND($G$7:$G$59,0),$M$7:$M$59,,-1))
        )
        *
        (ROUND(CA$6,0)-_xlfn.XLOOKUP(ROUND(CA$6,0),ROUND($G$7:$G$59,0),ROUND($G$7:$G$59,0),,-1))
        /
        (
            _xlfn.XLOOKUP(ROUND(CA$6,0),ROUND($G$7:$G$59,0),ROUND($G$7:$G$59,0),,1)
            -_xlfn.XLOOKUP(ROUND(CA$6,0),ROUND($G$7:$G$59,0),ROUND($G$7:$G$59,0),,-1)
        )
    )
)</f>
        <v>0.54972101937929618</v>
      </c>
      <c r="CB5" s="24" cm="1">
        <f t="array" ref="CB5">IF(
    ISNUMBER(_xlfn.XMATCH(ROUND(CB$6,0),ROUND($G$7:$G$59,0))),
    _xlfn.XLOOKUP(ROUND(CB$6,0),ROUND($G$7:$G$59,0),$M$7:$M$59),
    EXP(
        LN(_xlfn.XLOOKUP(ROUND(CB$6,0),ROUND($G$7:$G$59,0),$M$7:$M$59,,-1))
        +
        (
            LN(_xlfn.XLOOKUP(ROUND(CB$6,0),ROUND($G$7:$G$59,0),$M$7:$M$59,,1))
            -LN(_xlfn.XLOOKUP(ROUND(CB$6,0),ROUND($G$7:$G$59,0),$M$7:$M$59,,-1))
        )
        *
        (ROUND(CB$6,0)-_xlfn.XLOOKUP(ROUND(CB$6,0),ROUND($G$7:$G$59,0),ROUND($G$7:$G$59,0),,-1))
        /
        (
            _xlfn.XLOOKUP(ROUND(CB$6,0),ROUND($G$7:$G$59,0),ROUND($G$7:$G$59,0),,1)
            -_xlfn.XLOOKUP(ROUND(CB$6,0),ROUND($G$7:$G$59,0),ROUND($G$7:$G$59,0),,-1)
        )
    )
)</f>
        <v>0.54638096125417024</v>
      </c>
      <c r="CC5" s="24" cm="1">
        <f t="array" ref="CC5">IF(
    ISNUMBER(_xlfn.XMATCH(ROUND(CC$6,0),ROUND($G$7:$G$59,0))),
    _xlfn.XLOOKUP(ROUND(CC$6,0),ROUND($G$7:$G$59,0),$M$7:$M$59),
    EXP(
        LN(_xlfn.XLOOKUP(ROUND(CC$6,0),ROUND($G$7:$G$59,0),$M$7:$M$59,,-1))
        +
        (
            LN(_xlfn.XLOOKUP(ROUND(CC$6,0),ROUND($G$7:$G$59,0),$M$7:$M$59,,1))
            -LN(_xlfn.XLOOKUP(ROUND(CC$6,0),ROUND($G$7:$G$59,0),$M$7:$M$59,,-1))
        )
        *
        (ROUND(CC$6,0)-_xlfn.XLOOKUP(ROUND(CC$6,0),ROUND($G$7:$G$59,0),ROUND($G$7:$G$59,0),,-1))
        /
        (
            _xlfn.XLOOKUP(ROUND(CC$6,0),ROUND($G$7:$G$59,0),ROUND($G$7:$G$59,0),,1)
            -_xlfn.XLOOKUP(ROUND(CC$6,0),ROUND($G$7:$G$59,0),ROUND($G$7:$G$59,0),,-1)
        )
    )
)</f>
        <v>0.54306119703792888</v>
      </c>
      <c r="CD5" s="24" cm="1">
        <f t="array" ref="CD5">IF(
    ISNUMBER(_xlfn.XMATCH(ROUND(CD$6,0),ROUND($G$7:$G$59,0))),
    _xlfn.XLOOKUP(ROUND(CD$6,0),ROUND($G$7:$G$59,0),$M$7:$M$59),
    EXP(
        LN(_xlfn.XLOOKUP(ROUND(CD$6,0),ROUND($G$7:$G$59,0),$M$7:$M$59,,-1))
        +
        (
            LN(_xlfn.XLOOKUP(ROUND(CD$6,0),ROUND($G$7:$G$59,0),$M$7:$M$59,,1))
            -LN(_xlfn.XLOOKUP(ROUND(CD$6,0),ROUND($G$7:$G$59,0),$M$7:$M$59,,-1))
        )
        *
        (ROUND(CD$6,0)-_xlfn.XLOOKUP(ROUND(CD$6,0),ROUND($G$7:$G$59,0),ROUND($G$7:$G$59,0),,-1))
        /
        (
            _xlfn.XLOOKUP(ROUND(CD$6,0),ROUND($G$7:$G$59,0),ROUND($G$7:$G$59,0),,1)
            -_xlfn.XLOOKUP(ROUND(CD$6,0),ROUND($G$7:$G$59,0),ROUND($G$7:$G$59,0),,-1)
        )
    )
)</f>
        <v>0.53976160342650892</v>
      </c>
      <c r="CE5" s="24" cm="1">
        <f t="array" ref="CE5">IF(
    ISNUMBER(_xlfn.XMATCH(ROUND(CE$6,0),ROUND($G$7:$G$59,0))),
    _xlfn.XLOOKUP(ROUND(CE$6,0),ROUND($G$7:$G$59,0),$M$7:$M$59),
    EXP(
        LN(_xlfn.XLOOKUP(ROUND(CE$6,0),ROUND($G$7:$G$59,0),$M$7:$M$59,,-1))
        +
        (
            LN(_xlfn.XLOOKUP(ROUND(CE$6,0),ROUND($G$7:$G$59,0),$M$7:$M$59,,1))
            -LN(_xlfn.XLOOKUP(ROUND(CE$6,0),ROUND($G$7:$G$59,0),$M$7:$M$59,,-1))
        )
        *
        (ROUND(CE$6,0)-_xlfn.XLOOKUP(ROUND(CE$6,0),ROUND($G$7:$G$59,0),ROUND($G$7:$G$59,0),,-1))
        /
        (
            _xlfn.XLOOKUP(ROUND(CE$6,0),ROUND($G$7:$G$59,0),ROUND($G$7:$G$59,0),,1)
            -_xlfn.XLOOKUP(ROUND(CE$6,0),ROUND($G$7:$G$59,0),ROUND($G$7:$G$59,0),,-1)
        )
    )
)</f>
        <v>0.53470850377254664</v>
      </c>
      <c r="CF5" s="24" cm="1">
        <f t="array" ref="CF5">IF(
    ISNUMBER(_xlfn.XMATCH(ROUND(CF$6,0),ROUND($G$7:$G$59,0))),
    _xlfn.XLOOKUP(ROUND(CF$6,0),ROUND($G$7:$G$59,0),$M$7:$M$59),
    EXP(
        LN(_xlfn.XLOOKUP(ROUND(CF$6,0),ROUND($G$7:$G$59,0),$M$7:$M$59,,-1))
        +
        (
            LN(_xlfn.XLOOKUP(ROUND(CF$6,0),ROUND($G$7:$G$59,0),$M$7:$M$59,,1))
            -LN(_xlfn.XLOOKUP(ROUND(CF$6,0),ROUND($G$7:$G$59,0),$M$7:$M$59,,-1))
        )
        *
        (ROUND(CF$6,0)-_xlfn.XLOOKUP(ROUND(CF$6,0),ROUND($G$7:$G$59,0),ROUND($G$7:$G$59,0),,-1))
        /
        (
            _xlfn.XLOOKUP(ROUND(CF$6,0),ROUND($G$7:$G$59,0),ROUND($G$7:$G$59,0),,1)
            -_xlfn.XLOOKUP(ROUND(CF$6,0),ROUND($G$7:$G$59,0),ROUND($G$7:$G$59,0),,-1)
        )
    )
)</f>
        <v>0.52970270984754086</v>
      </c>
      <c r="CG5" s="24" cm="1">
        <f t="array" ref="CG5">IF(
    ISNUMBER(_xlfn.XMATCH(ROUND(CG$6,0),ROUND($G$7:$G$59,0))),
    _xlfn.XLOOKUP(ROUND(CG$6,0),ROUND($G$7:$G$59,0),$M$7:$M$59),
    EXP(
        LN(_xlfn.XLOOKUP(ROUND(CG$6,0),ROUND($G$7:$G$59,0),$M$7:$M$59,,-1))
        +
        (
            LN(_xlfn.XLOOKUP(ROUND(CG$6,0),ROUND($G$7:$G$59,0),$M$7:$M$59,,1))
            -LN(_xlfn.XLOOKUP(ROUND(CG$6,0),ROUND($G$7:$G$59,0),$M$7:$M$59,,-1))
        )
        *
        (ROUND(CG$6,0)-_xlfn.XLOOKUP(ROUND(CG$6,0),ROUND($G$7:$G$59,0),ROUND($G$7:$G$59,0),,-1))
        /
        (
            _xlfn.XLOOKUP(ROUND(CG$6,0),ROUND($G$7:$G$59,0),ROUND($G$7:$G$59,0),,1)
            -_xlfn.XLOOKUP(ROUND(CG$6,0),ROUND($G$7:$G$59,0),ROUND($G$7:$G$59,0),,-1)
        )
    )
)</f>
        <v>0.52474377878827005</v>
      </c>
      <c r="CH5" s="24" cm="1">
        <f t="array" ref="CH5">IF(
    ISNUMBER(_xlfn.XMATCH(ROUND(CH$6,0),ROUND($G$7:$G$59,0))),
    _xlfn.XLOOKUP(ROUND(CH$6,0),ROUND($G$7:$G$59,0),$M$7:$M$59),
    EXP(
        LN(_xlfn.XLOOKUP(ROUND(CH$6,0),ROUND($G$7:$G$59,0),$M$7:$M$59,,-1))
        +
        (
            LN(_xlfn.XLOOKUP(ROUND(CH$6,0),ROUND($G$7:$G$59,0),$M$7:$M$59,,1))
            -LN(_xlfn.XLOOKUP(ROUND(CH$6,0),ROUND($G$7:$G$59,0),$M$7:$M$59,,-1))
        )
        *
        (ROUND(CH$6,0)-_xlfn.XLOOKUP(ROUND(CH$6,0),ROUND($G$7:$G$59,0),ROUND($G$7:$G$59,0),,-1))
        /
        (
            _xlfn.XLOOKUP(ROUND(CH$6,0),ROUND($G$7:$G$59,0),ROUND($G$7:$G$59,0),,1)
            -_xlfn.XLOOKUP(ROUND(CH$6,0),ROUND($G$7:$G$59,0),ROUND($G$7:$G$59,0),,-1)
        )
    )
)</f>
        <v>0.51983127187747624</v>
      </c>
      <c r="CI5" s="24" cm="1">
        <f t="array" ref="CI5">IF(
    ISNUMBER(_xlfn.XMATCH(ROUND(CI$6,0),ROUND($G$7:$G$59,0))),
    _xlfn.XLOOKUP(ROUND(CI$6,0),ROUND($G$7:$G$59,0),$M$7:$M$59),
    EXP(
        LN(_xlfn.XLOOKUP(ROUND(CI$6,0),ROUND($G$7:$G$59,0),$M$7:$M$59,,-1))
        +
        (
            LN(_xlfn.XLOOKUP(ROUND(CI$6,0),ROUND($G$7:$G$59,0),$M$7:$M$59,,1))
            -LN(_xlfn.XLOOKUP(ROUND(CI$6,0),ROUND($G$7:$G$59,0),$M$7:$M$59,,-1))
        )
        *
        (ROUND(CI$6,0)-_xlfn.XLOOKUP(ROUND(CI$6,0),ROUND($G$7:$G$59,0),ROUND($G$7:$G$59,0),,-1))
        /
        (
            _xlfn.XLOOKUP(ROUND(CI$6,0),ROUND($G$7:$G$59,0),ROUND($G$7:$G$59,0),,1)
            -_xlfn.XLOOKUP(ROUND(CI$6,0),ROUND($G$7:$G$59,0),ROUND($G$7:$G$59,0),,-1)
        )
    )
)</f>
        <v>0.51280549532864417</v>
      </c>
      <c r="CJ5" s="24" cm="1">
        <f t="array" ref="CJ5">IF(
    ISNUMBER(_xlfn.XMATCH(ROUND(CJ$6,0),ROUND($G$7:$G$59,0))),
    _xlfn.XLOOKUP(ROUND(CJ$6,0),ROUND($G$7:$G$59,0),$M$7:$M$59),
    EXP(
        LN(_xlfn.XLOOKUP(ROUND(CJ$6,0),ROUND($G$7:$G$59,0),$M$7:$M$59,,-1))
        +
        (
            LN(_xlfn.XLOOKUP(ROUND(CJ$6,0),ROUND($G$7:$G$59,0),$M$7:$M$59,,1))
            -LN(_xlfn.XLOOKUP(ROUND(CJ$6,0),ROUND($G$7:$G$59,0),$M$7:$M$59,,-1))
        )
        *
        (ROUND(CJ$6,0)-_xlfn.XLOOKUP(ROUND(CJ$6,0),ROUND($G$7:$G$59,0),ROUND($G$7:$G$59,0),,-1))
        /
        (
            _xlfn.XLOOKUP(ROUND(CJ$6,0),ROUND($G$7:$G$59,0),ROUND($G$7:$G$59,0),,1)
            -_xlfn.XLOOKUP(ROUND(CJ$6,0),ROUND($G$7:$G$59,0),ROUND($G$7:$G$59,0),,-1)
        )
    )
)</f>
        <v>0.50587467562212718</v>
      </c>
      <c r="CK5" s="24" cm="1">
        <f t="array" ref="CK5">IF(
    ISNUMBER(_xlfn.XMATCH(ROUND(CK$6,0),ROUND($G$7:$G$59,0))),
    _xlfn.XLOOKUP(ROUND(CK$6,0),ROUND($G$7:$G$59,0),$M$7:$M$59),
    EXP(
        LN(_xlfn.XLOOKUP(ROUND(CK$6,0),ROUND($G$7:$G$59,0),$M$7:$M$59,,-1))
        +
        (
            LN(_xlfn.XLOOKUP(ROUND(CK$6,0),ROUND($G$7:$G$59,0),$M$7:$M$59,,1))
            -LN(_xlfn.XLOOKUP(ROUND(CK$6,0),ROUND($G$7:$G$59,0),$M$7:$M$59,,-1))
        )
        *
        (ROUND(CK$6,0)-_xlfn.XLOOKUP(ROUND(CK$6,0),ROUND($G$7:$G$59,0),ROUND($G$7:$G$59,0),,-1))
        /
        (
            _xlfn.XLOOKUP(ROUND(CK$6,0),ROUND($G$7:$G$59,0),ROUND($G$7:$G$59,0),,1)
            -_xlfn.XLOOKUP(ROUND(CK$6,0),ROUND($G$7:$G$59,0),ROUND($G$7:$G$59,0),,-1)
        )
    )
)</f>
        <v>0.49903752936927215</v>
      </c>
      <c r="CL5" s="24" cm="1">
        <f t="array" ref="CL5">IF(
    ISNUMBER(_xlfn.XMATCH(ROUND(CL$6,0),ROUND($G$7:$G$59,0))),
    _xlfn.XLOOKUP(ROUND(CL$6,0),ROUND($G$7:$G$59,0),$M$7:$M$59),
    EXP(
        LN(_xlfn.XLOOKUP(ROUND(CL$6,0),ROUND($G$7:$G$59,0),$M$7:$M$59,,-1))
        +
        (
            LN(_xlfn.XLOOKUP(ROUND(CL$6,0),ROUND($G$7:$G$59,0),$M$7:$M$59,,1))
            -LN(_xlfn.XLOOKUP(ROUND(CL$6,0),ROUND($G$7:$G$59,0),$M$7:$M$59,,-1))
        )
        *
        (ROUND(CL$6,0)-_xlfn.XLOOKUP(ROUND(CL$6,0),ROUND($G$7:$G$59,0),ROUND($G$7:$G$59,0),,-1))
        /
        (
            _xlfn.XLOOKUP(ROUND(CL$6,0),ROUND($G$7:$G$59,0),ROUND($G$7:$G$59,0),,1)
            -_xlfn.XLOOKUP(ROUND(CL$6,0),ROUND($G$7:$G$59,0),ROUND($G$7:$G$59,0),,-1)
        )
    )
)</f>
        <v>0.49229279052705771</v>
      </c>
      <c r="CM5" s="24" cm="1">
        <f t="array" ref="CM5">IF(
    ISNUMBER(_xlfn.XMATCH(ROUND(CM$6,0),ROUND($G$7:$G$59,0))),
    _xlfn.XLOOKUP(ROUND(CM$6,0),ROUND($G$7:$G$59,0),$M$7:$M$59),
    EXP(
        LN(_xlfn.XLOOKUP(ROUND(CM$6,0),ROUND($G$7:$G$59,0),$M$7:$M$59,,-1))
        +
        (
            LN(_xlfn.XLOOKUP(ROUND(CM$6,0),ROUND($G$7:$G$59,0),$M$7:$M$59,,1))
            -LN(_xlfn.XLOOKUP(ROUND(CM$6,0),ROUND($G$7:$G$59,0),$M$7:$M$59,,-1))
        )
        *
        (ROUND(CM$6,0)-_xlfn.XLOOKUP(ROUND(CM$6,0),ROUND($G$7:$G$59,0),ROUND($G$7:$G$59,0),,-1))
        /
        (
            _xlfn.XLOOKUP(ROUND(CM$6,0),ROUND($G$7:$G$59,0),ROUND($G$7:$G$59,0),,1)
            -_xlfn.XLOOKUP(ROUND(CM$6,0),ROUND($G$7:$G$59,0),ROUND($G$7:$G$59,0),,-1)
        )
    )
)</f>
        <v>0.48778818754050596</v>
      </c>
      <c r="CN5" s="24" cm="1">
        <f t="array" ref="CN5">IF(
    ISNUMBER(_xlfn.XMATCH(ROUND(CN$6,0),ROUND($G$7:$G$59,0))),
    _xlfn.XLOOKUP(ROUND(CN$6,0),ROUND($G$7:$G$59,0),$M$7:$M$59),
    EXP(
        LN(_xlfn.XLOOKUP(ROUND(CN$6,0),ROUND($G$7:$G$59,0),$M$7:$M$59,,-1))
        +
        (
            LN(_xlfn.XLOOKUP(ROUND(CN$6,0),ROUND($G$7:$G$59,0),$M$7:$M$59,,1))
            -LN(_xlfn.XLOOKUP(ROUND(CN$6,0),ROUND($G$7:$G$59,0),$M$7:$M$59,,-1))
        )
        *
        (ROUND(CN$6,0)-_xlfn.XLOOKUP(ROUND(CN$6,0),ROUND($G$7:$G$59,0),ROUND($G$7:$G$59,0),,-1))
        /
        (
            _xlfn.XLOOKUP(ROUND(CN$6,0),ROUND($G$7:$G$59,0),ROUND($G$7:$G$59,0),,1)
            -_xlfn.XLOOKUP(ROUND(CN$6,0),ROUND($G$7:$G$59,0),ROUND($G$7:$G$59,0),,-1)
        )
    )
)</f>
        <v>0.48332480280548451</v>
      </c>
      <c r="CO5" s="24" cm="1">
        <f t="array" ref="CO5">IF(
    ISNUMBER(_xlfn.XMATCH(ROUND(CO$6,0),ROUND($G$7:$G$59,0))),
    _xlfn.XLOOKUP(ROUND(CO$6,0),ROUND($G$7:$G$59,0),$M$7:$M$59),
    EXP(
        LN(_xlfn.XLOOKUP(ROUND(CO$6,0),ROUND($G$7:$G$59,0),$M$7:$M$59,,-1))
        +
        (
            LN(_xlfn.XLOOKUP(ROUND(CO$6,0),ROUND($G$7:$G$59,0),$M$7:$M$59,,1))
            -LN(_xlfn.XLOOKUP(ROUND(CO$6,0),ROUND($G$7:$G$59,0),$M$7:$M$59,,-1))
        )
        *
        (ROUND(CO$6,0)-_xlfn.XLOOKUP(ROUND(CO$6,0),ROUND($G$7:$G$59,0),ROUND($G$7:$G$59,0),,-1))
        /
        (
            _xlfn.XLOOKUP(ROUND(CO$6,0),ROUND($G$7:$G$59,0),ROUND($G$7:$G$59,0),,1)
            -_xlfn.XLOOKUP(ROUND(CO$6,0),ROUND($G$7:$G$59,0),ROUND($G$7:$G$59,0),,-1)
        )
    )
)</f>
        <v>0.47890225916461343</v>
      </c>
      <c r="CP5" s="24" cm="1">
        <f t="array" ref="CP5">IF(
    ISNUMBER(_xlfn.XMATCH(ROUND(CP$6,0),ROUND($G$7:$G$59,0))),
    _xlfn.XLOOKUP(ROUND(CP$6,0),ROUND($G$7:$G$59,0),$M$7:$M$59),
    EXP(
        LN(_xlfn.XLOOKUP(ROUND(CP$6,0),ROUND($G$7:$G$59,0),$M$7:$M$59,,-1))
        +
        (
            LN(_xlfn.XLOOKUP(ROUND(CP$6,0),ROUND($G$7:$G$59,0),$M$7:$M$59,,1))
            -LN(_xlfn.XLOOKUP(ROUND(CP$6,0),ROUND($G$7:$G$59,0),$M$7:$M$59,,-1))
        )
        *
        (ROUND(CP$6,0)-_xlfn.XLOOKUP(ROUND(CP$6,0),ROUND($G$7:$G$59,0),ROUND($G$7:$G$59,0),,-1))
        /
        (
            _xlfn.XLOOKUP(ROUND(CP$6,0),ROUND($G$7:$G$59,0),ROUND($G$7:$G$59,0),,1)
            -_xlfn.XLOOKUP(ROUND(CP$6,0),ROUND($G$7:$G$59,0),ROUND($G$7:$G$59,0),,-1)
        )
    )
)</f>
        <v>0.47452018291159803</v>
      </c>
      <c r="CQ5" s="24" cm="1">
        <f t="array" ref="CQ5">IF(
    ISNUMBER(_xlfn.XMATCH(ROUND(CQ$6,0),ROUND($G$7:$G$59,0))),
    _xlfn.XLOOKUP(ROUND(CQ$6,0),ROUND($G$7:$G$59,0),$M$7:$M$59),
    EXP(
        LN(_xlfn.XLOOKUP(ROUND(CQ$6,0),ROUND($G$7:$G$59,0),$M$7:$M$59,,-1))
        +
        (
            LN(_xlfn.XLOOKUP(ROUND(CQ$6,0),ROUND($G$7:$G$59,0),$M$7:$M$59,,1))
            -LN(_xlfn.XLOOKUP(ROUND(CQ$6,0),ROUND($G$7:$G$59,0),$M$7:$M$59,,-1))
        )
        *
        (ROUND(CQ$6,0)-_xlfn.XLOOKUP(ROUND(CQ$6,0),ROUND($G$7:$G$59,0),ROUND($G$7:$G$59,0),,-1))
        /
        (
            _xlfn.XLOOKUP(ROUND(CQ$6,0),ROUND($G$7:$G$59,0),ROUND($G$7:$G$59,0),,1)
            -_xlfn.XLOOKUP(ROUND(CQ$6,0),ROUND($G$7:$G$59,0),ROUND($G$7:$G$59,0),,-1)
        )
    )
)</f>
        <v>0.47053793441591574</v>
      </c>
      <c r="CR5" s="24" cm="1">
        <f t="array" ref="CR5">IF(
    ISNUMBER(_xlfn.XMATCH(ROUND(CR$6,0),ROUND($G$7:$G$59,0))),
    _xlfn.XLOOKUP(ROUND(CR$6,0),ROUND($G$7:$G$59,0),$M$7:$M$59),
    EXP(
        LN(_xlfn.XLOOKUP(ROUND(CR$6,0),ROUND($G$7:$G$59,0),$M$7:$M$59,,-1))
        +
        (
            LN(_xlfn.XLOOKUP(ROUND(CR$6,0),ROUND($G$7:$G$59,0),$M$7:$M$59,,1))
            -LN(_xlfn.XLOOKUP(ROUND(CR$6,0),ROUND($G$7:$G$59,0),$M$7:$M$59,,-1))
        )
        *
        (ROUND(CR$6,0)-_xlfn.XLOOKUP(ROUND(CR$6,0),ROUND($G$7:$G$59,0),ROUND($G$7:$G$59,0),,-1))
        /
        (
            _xlfn.XLOOKUP(ROUND(CR$6,0),ROUND($G$7:$G$59,0),ROUND($G$7:$G$59,0),,1)
            -_xlfn.XLOOKUP(ROUND(CR$6,0),ROUND($G$7:$G$59,0),ROUND($G$7:$G$59,0),,-1)
        )
    )
)</f>
        <v>0.46647672774916266</v>
      </c>
      <c r="CS5" s="24" cm="1">
        <f t="array" ref="CS5">IF(
    ISNUMBER(_xlfn.XMATCH(ROUND(CS$6,0),ROUND($G$7:$G$59,0))),
    _xlfn.XLOOKUP(ROUND(CS$6,0),ROUND($G$7:$G$59,0),$M$7:$M$59),
    EXP(
        LN(_xlfn.XLOOKUP(ROUND(CS$6,0),ROUND($G$7:$G$59,0),$M$7:$M$59,,-1))
        +
        (
            LN(_xlfn.XLOOKUP(ROUND(CS$6,0),ROUND($G$7:$G$59,0),$M$7:$M$59,,1))
            -LN(_xlfn.XLOOKUP(ROUND(CS$6,0),ROUND($G$7:$G$59,0),$M$7:$M$59,,-1))
        )
        *
        (ROUND(CS$6,0)-_xlfn.XLOOKUP(ROUND(CS$6,0),ROUND($G$7:$G$59,0),ROUND($G$7:$G$59,0),,-1))
        /
        (
            _xlfn.XLOOKUP(ROUND(CS$6,0),ROUND($G$7:$G$59,0),ROUND($G$7:$G$59,0),,1)
            -_xlfn.XLOOKUP(ROUND(CS$6,0),ROUND($G$7:$G$59,0),ROUND($G$7:$G$59,0),,-1)
        )
    )
)</f>
        <v>0.46245057330324812</v>
      </c>
      <c r="CT5" s="24" cm="1">
        <f t="array" ref="CT5">IF(
    ISNUMBER(_xlfn.XMATCH(ROUND(CT$6,0),ROUND($G$7:$G$59,0))),
    _xlfn.XLOOKUP(ROUND(CT$6,0),ROUND($G$7:$G$59,0),$M$7:$M$59),
    EXP(
        LN(_xlfn.XLOOKUP(ROUND(CT$6,0),ROUND($G$7:$G$59,0),$M$7:$M$59,,-1))
        +
        (
            LN(_xlfn.XLOOKUP(ROUND(CT$6,0),ROUND($G$7:$G$59,0),$M$7:$M$59,,1))
            -LN(_xlfn.XLOOKUP(ROUND(CT$6,0),ROUND($G$7:$G$59,0),$M$7:$M$59,,-1))
        )
        *
        (ROUND(CT$6,0)-_xlfn.XLOOKUP(ROUND(CT$6,0),ROUND($G$7:$G$59,0),ROUND($G$7:$G$59,0),,-1))
        /
        (
            _xlfn.XLOOKUP(ROUND(CT$6,0),ROUND($G$7:$G$59,0),ROUND($G$7:$G$59,0),,1)
            -_xlfn.XLOOKUP(ROUND(CT$6,0),ROUND($G$7:$G$59,0),ROUND($G$7:$G$59,0),,-1)
        )
    )
)</f>
        <v>0.4584591685429194</v>
      </c>
      <c r="CU5" s="24" cm="1">
        <f t="array" ref="CU5">IF(
    ISNUMBER(_xlfn.XMATCH(ROUND(CU$6,0),ROUND($G$7:$G$59,0))),
    _xlfn.XLOOKUP(ROUND(CU$6,0),ROUND($G$7:$G$59,0),$M$7:$M$59),
    EXP(
        LN(_xlfn.XLOOKUP(ROUND(CU$6,0),ROUND($G$7:$G$59,0),$M$7:$M$59,,-1))
        +
        (
            LN(_xlfn.XLOOKUP(ROUND(CU$6,0),ROUND($G$7:$G$59,0),$M$7:$M$59,,1))
            -LN(_xlfn.XLOOKUP(ROUND(CU$6,0),ROUND($G$7:$G$59,0),$M$7:$M$59,,-1))
        )
        *
        (ROUND(CU$6,0)-_xlfn.XLOOKUP(ROUND(CU$6,0),ROUND($G$7:$G$59,0),ROUND($G$7:$G$59,0),,-1))
        /
        (
            _xlfn.XLOOKUP(ROUND(CU$6,0),ROUND($G$7:$G$59,0),ROUND($G$7:$G$59,0),,1)
            -_xlfn.XLOOKUP(ROUND(CU$6,0),ROUND($G$7:$G$59,0),ROUND($G$7:$G$59,0),,-1)
        )
    )
)</f>
        <v>0.45481612194087595</v>
      </c>
      <c r="CV5" s="24" cm="1">
        <f t="array" ref="CV5">IF(
    ISNUMBER(_xlfn.XMATCH(ROUND(CV$6,0),ROUND($G$7:$G$59,0))),
    _xlfn.XLOOKUP(ROUND(CV$6,0),ROUND($G$7:$G$59,0),$M$7:$M$59),
    EXP(
        LN(_xlfn.XLOOKUP(ROUND(CV$6,0),ROUND($G$7:$G$59,0),$M$7:$M$59,,-1))
        +
        (
            LN(_xlfn.XLOOKUP(ROUND(CV$6,0),ROUND($G$7:$G$59,0),$M$7:$M$59,,1))
            -LN(_xlfn.XLOOKUP(ROUND(CV$6,0),ROUND($G$7:$G$59,0),$M$7:$M$59,,-1))
        )
        *
        (ROUND(CV$6,0)-_xlfn.XLOOKUP(ROUND(CV$6,0),ROUND($G$7:$G$59,0),ROUND($G$7:$G$59,0),,-1))
        /
        (
            _xlfn.XLOOKUP(ROUND(CV$6,0),ROUND($G$7:$G$59,0),ROUND($G$7:$G$59,0),,1)
            -_xlfn.XLOOKUP(ROUND(CV$6,0),ROUND($G$7:$G$59,0),ROUND($G$7:$G$59,0),,-1)
        )
    )
)</f>
        <v>0.45120202402053705</v>
      </c>
      <c r="CW5" s="24" cm="1">
        <f t="array" ref="CW5">IF(
    ISNUMBER(_xlfn.XMATCH(ROUND(CW$6,0),ROUND($G$7:$G$59,0))),
    _xlfn.XLOOKUP(ROUND(CW$6,0),ROUND($G$7:$G$59,0),$M$7:$M$59),
    EXP(
        LN(_xlfn.XLOOKUP(ROUND(CW$6,0),ROUND($G$7:$G$59,0),$M$7:$M$59,,-1))
        +
        (
            LN(_xlfn.XLOOKUP(ROUND(CW$6,0),ROUND($G$7:$G$59,0),$M$7:$M$59,,1))
            -LN(_xlfn.XLOOKUP(ROUND(CW$6,0),ROUND($G$7:$G$59,0),$M$7:$M$59,,-1))
        )
        *
        (ROUND(CW$6,0)-_xlfn.XLOOKUP(ROUND(CW$6,0),ROUND($G$7:$G$59,0),ROUND($G$7:$G$59,0),,-1))
        /
        (
            _xlfn.XLOOKUP(ROUND(CW$6,0),ROUND($G$7:$G$59,0),ROUND($G$7:$G$59,0),,1)
            -_xlfn.XLOOKUP(ROUND(CW$6,0),ROUND($G$7:$G$59,0),ROUND($G$7:$G$59,0),,-1)
        )
    )
)</f>
        <v>0.44761664474746604</v>
      </c>
      <c r="CX5" s="24" cm="1">
        <f t="array" ref="CX5">IF(
    ISNUMBER(_xlfn.XMATCH(ROUND(CX$6,0),ROUND($G$7:$G$59,0))),
    _xlfn.XLOOKUP(ROUND(CX$6,0),ROUND($G$7:$G$59,0),$M$7:$M$59),
    EXP(
        LN(_xlfn.XLOOKUP(ROUND(CX$6,0),ROUND($G$7:$G$59,0),$M$7:$M$59,,-1))
        +
        (
            LN(_xlfn.XLOOKUP(ROUND(CX$6,0),ROUND($G$7:$G$59,0),$M$7:$M$59,,1))
            -LN(_xlfn.XLOOKUP(ROUND(CX$6,0),ROUND($G$7:$G$59,0),$M$7:$M$59,,-1))
        )
        *
        (ROUND(CX$6,0)-_xlfn.XLOOKUP(ROUND(CX$6,0),ROUND($G$7:$G$59,0),ROUND($G$7:$G$59,0),,-1))
        /
        (
            _xlfn.XLOOKUP(ROUND(CX$6,0),ROUND($G$7:$G$59,0),ROUND($G$7:$G$59,0),,1)
            -_xlfn.XLOOKUP(ROUND(CX$6,0),ROUND($G$7:$G$59,0),ROUND($G$7:$G$59,0),,-1)
        )
    )
)</f>
        <v>0.44405975591514535</v>
      </c>
      <c r="CY5" s="24" cm="1">
        <f t="array" ref="CY5">IF(
    ISNUMBER(_xlfn.XMATCH(ROUND(CY$6,0),ROUND($G$7:$G$59,0))),
    _xlfn.XLOOKUP(ROUND(CY$6,0),ROUND($G$7:$G$59,0),$M$7:$M$59),
    EXP(
        LN(_xlfn.XLOOKUP(ROUND(CY$6,0),ROUND($G$7:$G$59,0),$M$7:$M$59,,-1))
        +
        (
            LN(_xlfn.XLOOKUP(ROUND(CY$6,0),ROUND($G$7:$G$59,0),$M$7:$M$59,,1))
            -LN(_xlfn.XLOOKUP(ROUND(CY$6,0),ROUND($G$7:$G$59,0),$M$7:$M$59,,-1))
        )
        *
        (ROUND(CY$6,0)-_xlfn.XLOOKUP(ROUND(CY$6,0),ROUND($G$7:$G$59,0),ROUND($G$7:$G$59,0),,-1))
        /
        (
            _xlfn.XLOOKUP(ROUND(CY$6,0),ROUND($G$7:$G$59,0),ROUND($G$7:$G$59,0),,1)
            -_xlfn.XLOOKUP(ROUND(CY$6,0),ROUND($G$7:$G$59,0),ROUND($G$7:$G$59,0),,-1)
        )
    )
)</f>
        <v>0.440531131130451</v>
      </c>
      <c r="CZ5" s="24" cm="1">
        <f t="array" ref="CZ5">IF(
    ISNUMBER(_xlfn.XMATCH(ROUND(CZ$6,0),ROUND($G$7:$G$59,0))),
    _xlfn.XLOOKUP(ROUND(CZ$6,0),ROUND($G$7:$G$59,0),$M$7:$M$59),
    EXP(
        LN(_xlfn.XLOOKUP(ROUND(CZ$6,0),ROUND($G$7:$G$59,0),$M$7:$M$59,,-1))
        +
        (
            LN(_xlfn.XLOOKUP(ROUND(CZ$6,0),ROUND($G$7:$G$59,0),$M$7:$M$59,,1))
            -LN(_xlfn.XLOOKUP(ROUND(CZ$6,0),ROUND($G$7:$G$59,0),$M$7:$M$59,,-1))
        )
        *
        (ROUND(CZ$6,0)-_xlfn.XLOOKUP(ROUND(CZ$6,0),ROUND($G$7:$G$59,0),ROUND($G$7:$G$59,0),,-1))
        /
        (
            _xlfn.XLOOKUP(ROUND(CZ$6,0),ROUND($G$7:$G$59,0),ROUND($G$7:$G$59,0),,1)
            -_xlfn.XLOOKUP(ROUND(CZ$6,0),ROUND($G$7:$G$59,0),ROUND($G$7:$G$59,0),,-1)
        )
    )
)</f>
        <v>0.4352619795766498</v>
      </c>
      <c r="DA5" s="24" cm="1">
        <f t="array" ref="DA5">IF(
    ISNUMBER(_xlfn.XMATCH(ROUND(DA$6,0),ROUND($G$7:$G$59,0))),
    _xlfn.XLOOKUP(ROUND(DA$6,0),ROUND($G$7:$G$59,0),$M$7:$M$59),
    EXP(
        LN(_xlfn.XLOOKUP(ROUND(DA$6,0),ROUND($G$7:$G$59,0),$M$7:$M$59,,-1))
        +
        (
            LN(_xlfn.XLOOKUP(ROUND(DA$6,0),ROUND($G$7:$G$59,0),$M$7:$M$59,,1))
            -LN(_xlfn.XLOOKUP(ROUND(DA$6,0),ROUND($G$7:$G$59,0),$M$7:$M$59,,-1))
        )
        *
        (ROUND(DA$6,0)-_xlfn.XLOOKUP(ROUND(DA$6,0),ROUND($G$7:$G$59,0),ROUND($G$7:$G$59,0),,-1))
        /
        (
            _xlfn.XLOOKUP(ROUND(DA$6,0),ROUND($G$7:$G$59,0),ROUND($G$7:$G$59,0),,1)
            -_xlfn.XLOOKUP(ROUND(DA$6,0),ROUND($G$7:$G$59,0),ROUND($G$7:$G$59,0),,-1)
        )
    )
)</f>
        <v>0.43005585185053063</v>
      </c>
      <c r="DB5" s="24" cm="1">
        <f t="array" ref="DB5">IF(
    ISNUMBER(_xlfn.XMATCH(ROUND(DB$6,0),ROUND($G$7:$G$59,0))),
    _xlfn.XLOOKUP(ROUND(DB$6,0),ROUND($G$7:$G$59,0),$M$7:$M$59),
    EXP(
        LN(_xlfn.XLOOKUP(ROUND(DB$6,0),ROUND($G$7:$G$59,0),$M$7:$M$59,,-1))
        +
        (
            LN(_xlfn.XLOOKUP(ROUND(DB$6,0),ROUND($G$7:$G$59,0),$M$7:$M$59,,1))
            -LN(_xlfn.XLOOKUP(ROUND(DB$6,0),ROUND($G$7:$G$59,0),$M$7:$M$59,,-1))
        )
        *
        (ROUND(DB$6,0)-_xlfn.XLOOKUP(ROUND(DB$6,0),ROUND($G$7:$G$59,0),ROUND($G$7:$G$59,0),,-1))
        /
        (
            _xlfn.XLOOKUP(ROUND(DB$6,0),ROUND($G$7:$G$59,0),ROUND($G$7:$G$59,0),,1)
            -_xlfn.XLOOKUP(ROUND(DB$6,0),ROUND($G$7:$G$59,0),ROUND($G$7:$G$59,0),,-1)
        )
    )
)</f>
        <v>0.4249119941299998</v>
      </c>
      <c r="DC5" s="24" cm="1">
        <f t="array" ref="DC5">IF(
    ISNUMBER(_xlfn.XMATCH(ROUND(DC$6,0),ROUND($G$7:$G$59,0))),
    _xlfn.XLOOKUP(ROUND(DC$6,0),ROUND($G$7:$G$59,0),$M$7:$M$59),
    EXP(
        LN(_xlfn.XLOOKUP(ROUND(DC$6,0),ROUND($G$7:$G$59,0),$M$7:$M$59,,-1))
        +
        (
            LN(_xlfn.XLOOKUP(ROUND(DC$6,0),ROUND($G$7:$G$59,0),$M$7:$M$59,,1))
            -LN(_xlfn.XLOOKUP(ROUND(DC$6,0),ROUND($G$7:$G$59,0),$M$7:$M$59,,-1))
        )
        *
        (ROUND(DC$6,0)-_xlfn.XLOOKUP(ROUND(DC$6,0),ROUND($G$7:$G$59,0),ROUND($G$7:$G$59,0),,-1))
        /
        (
            _xlfn.XLOOKUP(ROUND(DC$6,0),ROUND($G$7:$G$59,0),ROUND($G$7:$G$59,0),,1)
            -_xlfn.XLOOKUP(ROUND(DC$6,0),ROUND($G$7:$G$59,0),ROUND($G$7:$G$59,0),,-1)
        )
    )
)</f>
        <v>0.41982966160935925</v>
      </c>
      <c r="DD5" s="24" cm="1">
        <f t="array" ref="DD5">IF(
    ISNUMBER(_xlfn.XMATCH(ROUND(DD$6,0),ROUND($G$7:$G$59,0))),
    _xlfn.XLOOKUP(ROUND(DD$6,0),ROUND($G$7:$G$59,0),$M$7:$M$59),
    EXP(
        LN(_xlfn.XLOOKUP(ROUND(DD$6,0),ROUND($G$7:$G$59,0),$M$7:$M$59,,-1))
        +
        (
            LN(_xlfn.XLOOKUP(ROUND(DD$6,0),ROUND($G$7:$G$59,0),$M$7:$M$59,,1))
            -LN(_xlfn.XLOOKUP(ROUND(DD$6,0),ROUND($G$7:$G$59,0),$M$7:$M$59,,-1))
        )
        *
        (ROUND(DD$6,0)-_xlfn.XLOOKUP(ROUND(DD$6,0),ROUND($G$7:$G$59,0),ROUND($G$7:$G$59,0),,-1))
        /
        (
            _xlfn.XLOOKUP(ROUND(DD$6,0),ROUND($G$7:$G$59,0),ROUND($G$7:$G$59,0),,1)
            -_xlfn.XLOOKUP(ROUND(DD$6,0),ROUND($G$7:$G$59,0),ROUND($G$7:$G$59,0),,-1)
        )
    )
)</f>
        <v>0.41480811839146187</v>
      </c>
      <c r="DE5" s="24" cm="1">
        <f t="array" ref="DE5">IF(
    ISNUMBER(_xlfn.XMATCH(ROUND(DE$6,0),ROUND($G$7:$G$59,0))),
    _xlfn.XLOOKUP(ROUND(DE$6,0),ROUND($G$7:$G$59,0),$M$7:$M$59),
    EXP(
        LN(_xlfn.XLOOKUP(ROUND(DE$6,0),ROUND($G$7:$G$59,0),$M$7:$M$59,,-1))
        +
        (
            LN(_xlfn.XLOOKUP(ROUND(DE$6,0),ROUND($G$7:$G$59,0),$M$7:$M$59,,1))
            -LN(_xlfn.XLOOKUP(ROUND(DE$6,0),ROUND($G$7:$G$59,0),$M$7:$M$59,,-1))
        )
        *
        (ROUND(DE$6,0)-_xlfn.XLOOKUP(ROUND(DE$6,0),ROUND($G$7:$G$59,0),ROUND($G$7:$G$59,0),,-1))
        /
        (
            _xlfn.XLOOKUP(ROUND(DE$6,0),ROUND($G$7:$G$59,0),ROUND($G$7:$G$59,0),,1)
            -_xlfn.XLOOKUP(ROUND(DE$6,0),ROUND($G$7:$G$59,0),ROUND($G$7:$G$59,0),,-1)
        )
    )
)</f>
        <v>0.41104424400829925</v>
      </c>
      <c r="DF5" s="24" cm="1">
        <f t="array" ref="DF5">IF(
    ISNUMBER(_xlfn.XMATCH(ROUND(DF$6,0),ROUND($G$7:$G$59,0))),
    _xlfn.XLOOKUP(ROUND(DF$6,0),ROUND($G$7:$G$59,0),$M$7:$M$59),
    EXP(
        LN(_xlfn.XLOOKUP(ROUND(DF$6,0),ROUND($G$7:$G$59,0),$M$7:$M$59,,-1))
        +
        (
            LN(_xlfn.XLOOKUP(ROUND(DF$6,0),ROUND($G$7:$G$59,0),$M$7:$M$59,,1))
            -LN(_xlfn.XLOOKUP(ROUND(DF$6,0),ROUND($G$7:$G$59,0),$M$7:$M$59,,-1))
        )
        *
        (ROUND(DF$6,0)-_xlfn.XLOOKUP(ROUND(DF$6,0),ROUND($G$7:$G$59,0),ROUND($G$7:$G$59,0),,-1))
        /
        (
            _xlfn.XLOOKUP(ROUND(DF$6,0),ROUND($G$7:$G$59,0),ROUND($G$7:$G$59,0),,1)
            -_xlfn.XLOOKUP(ROUND(DF$6,0),ROUND($G$7:$G$59,0),ROUND($G$7:$G$59,0),,-1)
        )
    )
)</f>
        <v>0.40731452216397107</v>
      </c>
      <c r="DG5" s="24" cm="1">
        <f t="array" ref="DG5">IF(
    ISNUMBER(_xlfn.XMATCH(ROUND(DG$6,0),ROUND($G$7:$G$59,0))),
    _xlfn.XLOOKUP(ROUND(DG$6,0),ROUND($G$7:$G$59,0),$M$7:$M$59),
    EXP(
        LN(_xlfn.XLOOKUP(ROUND(DG$6,0),ROUND($G$7:$G$59,0),$M$7:$M$59,,-1))
        +
        (
            LN(_xlfn.XLOOKUP(ROUND(DG$6,0),ROUND($G$7:$G$59,0),$M$7:$M$59,,1))
            -LN(_xlfn.XLOOKUP(ROUND(DG$6,0),ROUND($G$7:$G$59,0),$M$7:$M$59,,-1))
        )
        *
        (ROUND(DG$6,0)-_xlfn.XLOOKUP(ROUND(DG$6,0),ROUND($G$7:$G$59,0),ROUND($G$7:$G$59,0),,-1))
        /
        (
            _xlfn.XLOOKUP(ROUND(DG$6,0),ROUND($G$7:$G$59,0),ROUND($G$7:$G$59,0),,1)
            -_xlfn.XLOOKUP(ROUND(DG$6,0),ROUND($G$7:$G$59,0),ROUND($G$7:$G$59,0),,-1)
        )
    )
)</f>
        <v>0.40361864296611916</v>
      </c>
      <c r="DH5" s="24" cm="1">
        <f t="array" ref="DH5">IF(
    ISNUMBER(_xlfn.XMATCH(ROUND(DH$6,0),ROUND($G$7:$G$59,0))),
    _xlfn.XLOOKUP(ROUND(DH$6,0),ROUND($G$7:$G$59,0),$M$7:$M$59),
    EXP(
        LN(_xlfn.XLOOKUP(ROUND(DH$6,0),ROUND($G$7:$G$59,0),$M$7:$M$59,,-1))
        +
        (
            LN(_xlfn.XLOOKUP(ROUND(DH$6,0),ROUND($G$7:$G$59,0),$M$7:$M$59,,1))
            -LN(_xlfn.XLOOKUP(ROUND(DH$6,0),ROUND($G$7:$G$59,0),$M$7:$M$59,,-1))
        )
        *
        (ROUND(DH$6,0)-_xlfn.XLOOKUP(ROUND(DH$6,0),ROUND($G$7:$G$59,0),ROUND($G$7:$G$59,0),,-1))
        /
        (
            _xlfn.XLOOKUP(ROUND(DH$6,0),ROUND($G$7:$G$59,0),ROUND($G$7:$G$59,0),,1)
            -_xlfn.XLOOKUP(ROUND(DH$6,0),ROUND($G$7:$G$59,0),ROUND($G$7:$G$59,0),,-1)
        )
    )
)</f>
        <v>0.39995629933427784</v>
      </c>
      <c r="DI5" s="24" cm="1">
        <f t="array" ref="DI5">IF(
    ISNUMBER(_xlfn.XMATCH(ROUND(DI$6,0),ROUND($G$7:$G$59,0))),
    _xlfn.XLOOKUP(ROUND(DI$6,0),ROUND($G$7:$G$59,0),$M$7:$M$59),
    EXP(
        LN(_xlfn.XLOOKUP(ROUND(DI$6,0),ROUND($G$7:$G$59,0),$M$7:$M$59,,-1))
        +
        (
            LN(_xlfn.XLOOKUP(ROUND(DI$6,0),ROUND($G$7:$G$59,0),$M$7:$M$59,,1))
            -LN(_xlfn.XLOOKUP(ROUND(DI$6,0),ROUND($G$7:$G$59,0),$M$7:$M$59,,-1))
        )
        *
        (ROUND(DI$6,0)-_xlfn.XLOOKUP(ROUND(DI$6,0),ROUND($G$7:$G$59,0),ROUND($G$7:$G$59,0),,-1))
        /
        (
            _xlfn.XLOOKUP(ROUND(DI$6,0),ROUND($G$7:$G$59,0),ROUND($G$7:$G$59,0),,1)
            -_xlfn.XLOOKUP(ROUND(DI$6,0),ROUND($G$7:$G$59,0),ROUND($G$7:$G$59,0),,-1)
        )
    )
)</f>
        <v>0.39656444305252403</v>
      </c>
      <c r="DJ5" s="24" cm="1">
        <f t="array" ref="DJ5">IF(
    ISNUMBER(_xlfn.XMATCH(ROUND(DJ$6,0),ROUND($G$7:$G$59,0))),
    _xlfn.XLOOKUP(ROUND(DJ$6,0),ROUND($G$7:$G$59,0),$M$7:$M$59),
    EXP(
        LN(_xlfn.XLOOKUP(ROUND(DJ$6,0),ROUND($G$7:$G$59,0),$M$7:$M$59,,-1))
        +
        (
            LN(_xlfn.XLOOKUP(ROUND(DJ$6,0),ROUND($G$7:$G$59,0),$M$7:$M$59,,1))
            -LN(_xlfn.XLOOKUP(ROUND(DJ$6,0),ROUND($G$7:$G$59,0),$M$7:$M$59,,-1))
        )
        *
        (ROUND(DJ$6,0)-_xlfn.XLOOKUP(ROUND(DJ$6,0),ROUND($G$7:$G$59,0),ROUND($G$7:$G$59,0),,-1))
        /
        (
            _xlfn.XLOOKUP(ROUND(DJ$6,0),ROUND($G$7:$G$59,0),ROUND($G$7:$G$59,0),,1)
            -_xlfn.XLOOKUP(ROUND(DJ$6,0),ROUND($G$7:$G$59,0),ROUND($G$7:$G$59,0),,-1)
        )
    )
)</f>
        <v>0.39320135163596981</v>
      </c>
      <c r="DK5" s="24" cm="1">
        <f t="array" ref="DK5">IF(
    ISNUMBER(_xlfn.XMATCH(ROUND(DK$6,0),ROUND($G$7:$G$59,0))),
    _xlfn.XLOOKUP(ROUND(DK$6,0),ROUND($G$7:$G$59,0),$M$7:$M$59),
    EXP(
        LN(_xlfn.XLOOKUP(ROUND(DK$6,0),ROUND($G$7:$G$59,0),$M$7:$M$59,,-1))
        +
        (
            LN(_xlfn.XLOOKUP(ROUND(DK$6,0),ROUND($G$7:$G$59,0),$M$7:$M$59,,1))
            -LN(_xlfn.XLOOKUP(ROUND(DK$6,0),ROUND($G$7:$G$59,0),$M$7:$M$59,,-1))
        )
        *
        (ROUND(DK$6,0)-_xlfn.XLOOKUP(ROUND(DK$6,0),ROUND($G$7:$G$59,0),ROUND($G$7:$G$59,0),,-1))
        /
        (
            _xlfn.XLOOKUP(ROUND(DK$6,0),ROUND($G$7:$G$59,0),ROUND($G$7:$G$59,0),,1)
            -_xlfn.XLOOKUP(ROUND(DK$6,0),ROUND($G$7:$G$59,0),ROUND($G$7:$G$59,0),,-1)
        )
    )
)</f>
        <v>0.38986678114224227</v>
      </c>
      <c r="DL5" s="24" cm="1">
        <f t="array" ref="DL5">IF(
    ISNUMBER(_xlfn.XMATCH(ROUND(DL$6,0),ROUND($G$7:$G$59,0))),
    _xlfn.XLOOKUP(ROUND(DL$6,0),ROUND($G$7:$G$59,0),$M$7:$M$59),
    EXP(
        LN(_xlfn.XLOOKUP(ROUND(DL$6,0),ROUND($G$7:$G$59,0),$M$7:$M$59,,-1))
        +
        (
            LN(_xlfn.XLOOKUP(ROUND(DL$6,0),ROUND($G$7:$G$59,0),$M$7:$M$59,,1))
            -LN(_xlfn.XLOOKUP(ROUND(DL$6,0),ROUND($G$7:$G$59,0),$M$7:$M$59,,-1))
        )
        *
        (ROUND(DL$6,0)-_xlfn.XLOOKUP(ROUND(DL$6,0),ROUND($G$7:$G$59,0),ROUND($G$7:$G$59,0),,-1))
        /
        (
            _xlfn.XLOOKUP(ROUND(DL$6,0),ROUND($G$7:$G$59,0),ROUND($G$7:$G$59,0),,1)
            -_xlfn.XLOOKUP(ROUND(DL$6,0),ROUND($G$7:$G$59,0),ROUND($G$7:$G$59,0),,-1)
        )
    )
)</f>
        <v>0.38656048969773815</v>
      </c>
      <c r="DM5" s="24" cm="1">
        <f t="array" ref="DM5">IF(
    ISNUMBER(_xlfn.XMATCH(ROUND(DM$6,0),ROUND($G$7:$G$59,0))),
    _xlfn.XLOOKUP(ROUND(DM$6,0),ROUND($G$7:$G$59,0),$M$7:$M$59),
    EXP(
        LN(_xlfn.XLOOKUP(ROUND(DM$6,0),ROUND($G$7:$G$59,0),$M$7:$M$59,,-1))
        +
        (
            LN(_xlfn.XLOOKUP(ROUND(DM$6,0),ROUND($G$7:$G$59,0),$M$7:$M$59,,1))
            -LN(_xlfn.XLOOKUP(ROUND(DM$6,0),ROUND($G$7:$G$59,0),$M$7:$M$59,,-1))
        )
        *
        (ROUND(DM$6,0)-_xlfn.XLOOKUP(ROUND(DM$6,0),ROUND($G$7:$G$59,0),ROUND($G$7:$G$59,0),,-1))
        /
        (
            _xlfn.XLOOKUP(ROUND(DM$6,0),ROUND($G$7:$G$59,0),ROUND($G$7:$G$59,0),,1)
            -_xlfn.XLOOKUP(ROUND(DM$6,0),ROUND($G$7:$G$59,0),ROUND($G$7:$G$59,0),,-1)
        )
    )
)</f>
        <v>0.38345492840382817</v>
      </c>
      <c r="DN5" s="24" cm="1">
        <f t="array" ref="DN5">IF(
    ISNUMBER(_xlfn.XMATCH(ROUND(DN$6,0),ROUND($G$7:$G$59,0))),
    _xlfn.XLOOKUP(ROUND(DN$6,0),ROUND($G$7:$G$59,0),$M$7:$M$59),
    EXP(
        LN(_xlfn.XLOOKUP(ROUND(DN$6,0),ROUND($G$7:$G$59,0),$M$7:$M$59,,-1))
        +
        (
            LN(_xlfn.XLOOKUP(ROUND(DN$6,0),ROUND($G$7:$G$59,0),$M$7:$M$59,,1))
            -LN(_xlfn.XLOOKUP(ROUND(DN$6,0),ROUND($G$7:$G$59,0),$M$7:$M$59,,-1))
        )
        *
        (ROUND(DN$6,0)-_xlfn.XLOOKUP(ROUND(DN$6,0),ROUND($G$7:$G$59,0),ROUND($G$7:$G$59,0),,-1))
        /
        (
            _xlfn.XLOOKUP(ROUND(DN$6,0),ROUND($G$7:$G$59,0),ROUND($G$7:$G$59,0),,1)
            -_xlfn.XLOOKUP(ROUND(DN$6,0),ROUND($G$7:$G$59,0),ROUND($G$7:$G$59,0),,-1)
        )
    )
)</f>
        <v>0.38037431666168886</v>
      </c>
      <c r="DO5" s="24" cm="1">
        <f t="array" ref="DO5">IF(
    ISNUMBER(_xlfn.XMATCH(ROUND(DO$6,0),ROUND($G$7:$G$59,0))),
    _xlfn.XLOOKUP(ROUND(DO$6,0),ROUND($G$7:$G$59,0),$M$7:$M$59),
    EXP(
        LN(_xlfn.XLOOKUP(ROUND(DO$6,0),ROUND($G$7:$G$59,0),$M$7:$M$59,,-1))
        +
        (
            LN(_xlfn.XLOOKUP(ROUND(DO$6,0),ROUND($G$7:$G$59,0),$M$7:$M$59,,1))
            -LN(_xlfn.XLOOKUP(ROUND(DO$6,0),ROUND($G$7:$G$59,0),$M$7:$M$59,,-1))
        )
        *
        (ROUND(DO$6,0)-_xlfn.XLOOKUP(ROUND(DO$6,0),ROUND($G$7:$G$59,0),ROUND($G$7:$G$59,0),,-1))
        /
        (
            _xlfn.XLOOKUP(ROUND(DO$6,0),ROUND($G$7:$G$59,0),ROUND($G$7:$G$59,0),,1)
            -_xlfn.XLOOKUP(ROUND(DO$6,0),ROUND($G$7:$G$59,0),ROUND($G$7:$G$59,0),,-1)
        )
    )
)</f>
        <v>0.37731845403086051</v>
      </c>
      <c r="DP5" s="24" cm="1">
        <f t="array" ref="DP5">IF(
    ISNUMBER(_xlfn.XMATCH(ROUND(DP$6,0),ROUND($G$7:$G$59,0))),
    _xlfn.XLOOKUP(ROUND(DP$6,0),ROUND($G$7:$G$59,0),$M$7:$M$59),
    EXP(
        LN(_xlfn.XLOOKUP(ROUND(DP$6,0),ROUND($G$7:$G$59,0),$M$7:$M$59,,-1))
        +
        (
            LN(_xlfn.XLOOKUP(ROUND(DP$6,0),ROUND($G$7:$G$59,0),$M$7:$M$59,,1))
            -LN(_xlfn.XLOOKUP(ROUND(DP$6,0),ROUND($G$7:$G$59,0),$M$7:$M$59,,-1))
        )
        *
        (ROUND(DP$6,0)-_xlfn.XLOOKUP(ROUND(DP$6,0),ROUND($G$7:$G$59,0),ROUND($G$7:$G$59,0),,-1))
        /
        (
            _xlfn.XLOOKUP(ROUND(DP$6,0),ROUND($G$7:$G$59,0),ROUND($G$7:$G$59,0),,1)
            -_xlfn.XLOOKUP(ROUND(DP$6,0),ROUND($G$7:$G$59,0),ROUND($G$7:$G$59,0),,-1)
        )
    )
)</f>
        <v>0.37428714168118804</v>
      </c>
      <c r="DQ5" s="24" cm="1">
        <f t="array" ref="DQ5">IF(
    ISNUMBER(_xlfn.XMATCH(ROUND(DQ$6,0),ROUND($G$7:$G$59,0))),
    _xlfn.XLOOKUP(ROUND(DQ$6,0),ROUND($G$7:$G$59,0),$M$7:$M$59),
    EXP(
        LN(_xlfn.XLOOKUP(ROUND(DQ$6,0),ROUND($G$7:$G$59,0),$M$7:$M$59,,-1))
        +
        (
            LN(_xlfn.XLOOKUP(ROUND(DQ$6,0),ROUND($G$7:$G$59,0),$M$7:$M$59,,1))
            -LN(_xlfn.XLOOKUP(ROUND(DQ$6,0),ROUND($G$7:$G$59,0),$M$7:$M$59,,-1))
        )
        *
        (ROUND(DQ$6,0)-_xlfn.XLOOKUP(ROUND(DQ$6,0),ROUND($G$7:$G$59,0),ROUND($G$7:$G$59,0),,-1))
        /
        (
            _xlfn.XLOOKUP(ROUND(DQ$6,0),ROUND($G$7:$G$59,0),ROUND($G$7:$G$59,0),,1)
            -_xlfn.XLOOKUP(ROUND(DQ$6,0),ROUND($G$7:$G$59,0),ROUND($G$7:$G$59,0),,-1)
        )
    )
)</f>
        <v>0.37555096648888192</v>
      </c>
      <c r="DR5" s="24" cm="1">
        <f t="array" ref="DR5">IF(
    ISNUMBER(_xlfn.XMATCH(ROUND(DR$6,0),ROUND($G$7:$G$59,0))),
    _xlfn.XLOOKUP(ROUND(DR$6,0),ROUND($G$7:$G$59,0),$M$7:$M$59),
    EXP(
        LN(_xlfn.XLOOKUP(ROUND(DR$6,0),ROUND($G$7:$G$59,0),$M$7:$M$59,,-1))
        +
        (
            LN(_xlfn.XLOOKUP(ROUND(DR$6,0),ROUND($G$7:$G$59,0),$M$7:$M$59,,1))
            -LN(_xlfn.XLOOKUP(ROUND(DR$6,0),ROUND($G$7:$G$59,0),$M$7:$M$59,,-1))
        )
        *
        (ROUND(DR$6,0)-_xlfn.XLOOKUP(ROUND(DR$6,0),ROUND($G$7:$G$59,0),ROUND($G$7:$G$59,0),,-1))
        /
        (
            _xlfn.XLOOKUP(ROUND(DR$6,0),ROUND($G$7:$G$59,0),ROUND($G$7:$G$59,0),,1)
            -_xlfn.XLOOKUP(ROUND(DR$6,0),ROUND($G$7:$G$59,0),ROUND($G$7:$G$59,0),,-1)
        )
    )
)</f>
        <v>0.37681905875053479</v>
      </c>
      <c r="DS5" s="24" cm="1">
        <f t="array" ref="DS5">IF(
    ISNUMBER(_xlfn.XMATCH(ROUND(DS$6,0),ROUND($G$7:$G$59,0))),
    _xlfn.XLOOKUP(ROUND(DS$6,0),ROUND($G$7:$G$59,0),$M$7:$M$59),
    EXP(
        LN(_xlfn.XLOOKUP(ROUND(DS$6,0),ROUND($G$7:$G$59,0),$M$7:$M$59,,-1))
        +
        (
            LN(_xlfn.XLOOKUP(ROUND(DS$6,0),ROUND($G$7:$G$59,0),$M$7:$M$59,,1))
            -LN(_xlfn.XLOOKUP(ROUND(DS$6,0),ROUND($G$7:$G$59,0),$M$7:$M$59,,-1))
        )
        *
        (ROUND(DS$6,0)-_xlfn.XLOOKUP(ROUND(DS$6,0),ROUND($G$7:$G$59,0),ROUND($G$7:$G$59,0),,-1))
        /
        (
            _xlfn.XLOOKUP(ROUND(DS$6,0),ROUND($G$7:$G$59,0),ROUND($G$7:$G$59,0),,1)
            -_xlfn.XLOOKUP(ROUND(DS$6,0),ROUND($G$7:$G$59,0),ROUND($G$7:$G$59,0),,-1)
        )
    )
)</f>
        <v>0.37809143287570968</v>
      </c>
      <c r="DT5" s="24" cm="1">
        <f t="array" ref="DT5">IF(
    ISNUMBER(_xlfn.XMATCH(ROUND(DT$6,0),ROUND($G$7:$G$59,0))),
    _xlfn.XLOOKUP(ROUND(DT$6,0),ROUND($G$7:$G$59,0),$M$7:$M$59),
    EXP(
        LN(_xlfn.XLOOKUP(ROUND(DT$6,0),ROUND($G$7:$G$59,0),$M$7:$M$59,,-1))
        +
        (
            LN(_xlfn.XLOOKUP(ROUND(DT$6,0),ROUND($G$7:$G$59,0),$M$7:$M$59,,1))
            -LN(_xlfn.XLOOKUP(ROUND(DT$6,0),ROUND($G$7:$G$59,0),$M$7:$M$59,,-1))
        )
        *
        (ROUND(DT$6,0)-_xlfn.XLOOKUP(ROUND(DT$6,0),ROUND($G$7:$G$59,0),ROUND($G$7:$G$59,0),,-1))
        /
        (
            _xlfn.XLOOKUP(ROUND(DT$6,0),ROUND($G$7:$G$59,0),ROUND($G$7:$G$59,0),,1)
            -_xlfn.XLOOKUP(ROUND(DT$6,0),ROUND($G$7:$G$59,0),ROUND($G$7:$G$59,0),,-1)
        )
    )
)</f>
        <v>0.37936810332262516</v>
      </c>
      <c r="DU5" s="24" cm="1">
        <f t="array" ref="DU5">IF(
    ISNUMBER(_xlfn.XMATCH(ROUND(DU$6,0),ROUND($G$7:$G$59,0))),
    _xlfn.XLOOKUP(ROUND(DU$6,0),ROUND($G$7:$G$59,0),$M$7:$M$59),
    EXP(
        LN(_xlfn.XLOOKUP(ROUND(DU$6,0),ROUND($G$7:$G$59,0),$M$7:$M$59,,-1))
        +
        (
            LN(_xlfn.XLOOKUP(ROUND(DU$6,0),ROUND($G$7:$G$59,0),$M$7:$M$59,,1))
            -LN(_xlfn.XLOOKUP(ROUND(DU$6,0),ROUND($G$7:$G$59,0),$M$7:$M$59,,-1))
        )
        *
        (ROUND(DU$6,0)-_xlfn.XLOOKUP(ROUND(DU$6,0),ROUND($G$7:$G$59,0),ROUND($G$7:$G$59,0),,-1))
        /
        (
            _xlfn.XLOOKUP(ROUND(DU$6,0),ROUND($G$7:$G$59,0),ROUND($G$7:$G$59,0),,1)
            -_xlfn.XLOOKUP(ROUND(DU$6,0),ROUND($G$7:$G$59,0),ROUND($G$7:$G$59,0),,-1)
        )
    )
)</f>
        <v>0.37358011345532444</v>
      </c>
      <c r="DV5" s="24" cm="1">
        <f t="array" ref="DV5">IF(
    ISNUMBER(_xlfn.XMATCH(ROUND(DV$6,0),ROUND($G$7:$G$59,0))),
    _xlfn.XLOOKUP(ROUND(DV$6,0),ROUND($G$7:$G$59,0),$M$7:$M$59),
    EXP(
        LN(_xlfn.XLOOKUP(ROUND(DV$6,0),ROUND($G$7:$G$59,0),$M$7:$M$59,,-1))
        +
        (
            LN(_xlfn.XLOOKUP(ROUND(DV$6,0),ROUND($G$7:$G$59,0),$M$7:$M$59,,1))
            -LN(_xlfn.XLOOKUP(ROUND(DV$6,0),ROUND($G$7:$G$59,0),$M$7:$M$59,,-1))
        )
        *
        (ROUND(DV$6,0)-_xlfn.XLOOKUP(ROUND(DV$6,0),ROUND($G$7:$G$59,0),ROUND($G$7:$G$59,0),,-1))
        /
        (
            _xlfn.XLOOKUP(ROUND(DV$6,0),ROUND($G$7:$G$59,0),ROUND($G$7:$G$59,0),,1)
            -_xlfn.XLOOKUP(ROUND(DV$6,0),ROUND($G$7:$G$59,0),ROUND($G$7:$G$59,0),,-1)
        )
    )
)</f>
        <v>0.36788043050262859</v>
      </c>
      <c r="DW5" s="24" cm="1">
        <f t="array" ref="DW5">IF(
    ISNUMBER(_xlfn.XMATCH(ROUND(DW$6,0),ROUND($G$7:$G$59,0))),
    _xlfn.XLOOKUP(ROUND(DW$6,0),ROUND($G$7:$G$59,0),$M$7:$M$59),
    EXP(
        LN(_xlfn.XLOOKUP(ROUND(DW$6,0),ROUND($G$7:$G$59,0),$M$7:$M$59,,-1))
        +
        (
            LN(_xlfn.XLOOKUP(ROUND(DW$6,0),ROUND($G$7:$G$59,0),$M$7:$M$59,,1))
            -LN(_xlfn.XLOOKUP(ROUND(DW$6,0),ROUND($G$7:$G$59,0),$M$7:$M$59,,-1))
        )
        *
        (ROUND(DW$6,0)-_xlfn.XLOOKUP(ROUND(DW$6,0),ROUND($G$7:$G$59,0),ROUND($G$7:$G$59,0),,-1))
        /
        (
            _xlfn.XLOOKUP(ROUND(DW$6,0),ROUND($G$7:$G$59,0),ROUND($G$7:$G$59,0),,1)
            -_xlfn.XLOOKUP(ROUND(DW$6,0),ROUND($G$7:$G$59,0),ROUND($G$7:$G$59,0),,-1)
        )
    )
)</f>
        <v>0.36226770717275852</v>
      </c>
      <c r="DX5" s="24" cm="1">
        <f t="array" ref="DX5">IF(
    ISNUMBER(_xlfn.XMATCH(ROUND(DX$6,0),ROUND($G$7:$G$59,0))),
    _xlfn.XLOOKUP(ROUND(DX$6,0),ROUND($G$7:$G$59,0),$M$7:$M$59),
    EXP(
        LN(_xlfn.XLOOKUP(ROUND(DX$6,0),ROUND($G$7:$G$59,0),$M$7:$M$59,,-1))
        +
        (
            LN(_xlfn.XLOOKUP(ROUND(DX$6,0),ROUND($G$7:$G$59,0),$M$7:$M$59,,1))
            -LN(_xlfn.XLOOKUP(ROUND(DX$6,0),ROUND($G$7:$G$59,0),$M$7:$M$59,,-1))
        )
        *
        (ROUND(DX$6,0)-_xlfn.XLOOKUP(ROUND(DX$6,0),ROUND($G$7:$G$59,0),ROUND($G$7:$G$59,0),,-1))
        /
        (
            _xlfn.XLOOKUP(ROUND(DX$6,0),ROUND($G$7:$G$59,0),ROUND($G$7:$G$59,0),,1)
            -_xlfn.XLOOKUP(ROUND(DX$6,0),ROUND($G$7:$G$59,0),ROUND($G$7:$G$59,0),,-1)
        )
    )
)</f>
        <v>0.35674061672946145</v>
      </c>
      <c r="DY5" s="24" cm="1">
        <f t="array" ref="DY5">IF(
    ISNUMBER(_xlfn.XMATCH(ROUND(DY$6,0),ROUND($G$7:$G$59,0))),
    _xlfn.XLOOKUP(ROUND(DY$6,0),ROUND($G$7:$G$59,0),$M$7:$M$59),
    EXP(
        LN(_xlfn.XLOOKUP(ROUND(DY$6,0),ROUND($G$7:$G$59,0),$M$7:$M$59,,-1))
        +
        (
            LN(_xlfn.XLOOKUP(ROUND(DY$6,0),ROUND($G$7:$G$59,0),$M$7:$M$59,,1))
            -LN(_xlfn.XLOOKUP(ROUND(DY$6,0),ROUND($G$7:$G$59,0),$M$7:$M$59,,-1))
        )
        *
        (ROUND(DY$6,0)-_xlfn.XLOOKUP(ROUND(DY$6,0),ROUND($G$7:$G$59,0),ROUND($G$7:$G$59,0),,-1))
        /
        (
            _xlfn.XLOOKUP(ROUND(DY$6,0),ROUND($G$7:$G$59,0),ROUND($G$7:$G$59,0),,1)
            -_xlfn.XLOOKUP(ROUND(DY$6,0),ROUND($G$7:$G$59,0),ROUND($G$7:$G$59,0),,-1)
        )
    )
)</f>
        <v>0.35042368707476457</v>
      </c>
      <c r="DZ5" s="24" cm="1">
        <f t="array" ref="DZ5">IF(
    ISNUMBER(_xlfn.XMATCH(ROUND(DZ$6,0),ROUND($G$7:$G$59,0))),
    _xlfn.XLOOKUP(ROUND(DZ$6,0),ROUND($G$7:$G$59,0),$M$7:$M$59),
    EXP(
        LN(_xlfn.XLOOKUP(ROUND(DZ$6,0),ROUND($G$7:$G$59,0),$M$7:$M$59,,-1))
        +
        (
            LN(_xlfn.XLOOKUP(ROUND(DZ$6,0),ROUND($G$7:$G$59,0),$M$7:$M$59,,1))
            -LN(_xlfn.XLOOKUP(ROUND(DZ$6,0),ROUND($G$7:$G$59,0),$M$7:$M$59,,-1))
        )
        *
        (ROUND(DZ$6,0)-_xlfn.XLOOKUP(ROUND(DZ$6,0),ROUND($G$7:$G$59,0),ROUND($G$7:$G$59,0),,-1))
        /
        (
            _xlfn.XLOOKUP(ROUND(DZ$6,0),ROUND($G$7:$G$59,0),ROUND($G$7:$G$59,0),,1)
            -_xlfn.XLOOKUP(ROUND(DZ$6,0),ROUND($G$7:$G$59,0),ROUND($G$7:$G$59,0),,-1)
        )
    )
)</f>
        <v>0.34421861348128163</v>
      </c>
      <c r="EA5" s="24" cm="1">
        <f t="array" ref="EA5">IF(
    ISNUMBER(_xlfn.XMATCH(ROUND(EA$6,0),ROUND($G$7:$G$59,0))),
    _xlfn.XLOOKUP(ROUND(EA$6,0),ROUND($G$7:$G$59,0),$M$7:$M$59),
    EXP(
        LN(_xlfn.XLOOKUP(ROUND(EA$6,0),ROUND($G$7:$G$59,0),$M$7:$M$59,,-1))
        +
        (
            LN(_xlfn.XLOOKUP(ROUND(EA$6,0),ROUND($G$7:$G$59,0),$M$7:$M$59,,1))
            -LN(_xlfn.XLOOKUP(ROUND(EA$6,0),ROUND($G$7:$G$59,0),$M$7:$M$59,,-1))
        )
        *
        (ROUND(EA$6,0)-_xlfn.XLOOKUP(ROUND(EA$6,0),ROUND($G$7:$G$59,0),ROUND($G$7:$G$59,0),,-1))
        /
        (
            _xlfn.XLOOKUP(ROUND(EA$6,0),ROUND($G$7:$G$59,0),ROUND($G$7:$G$59,0),,1)
            -_xlfn.XLOOKUP(ROUND(EA$6,0),ROUND($G$7:$G$59,0),ROUND($G$7:$G$59,0),,-1)
        )
    )
)</f>
        <v>0.33812341527499623</v>
      </c>
      <c r="EB5" s="24" cm="1">
        <f t="array" ref="EB5">IF(
    ISNUMBER(_xlfn.XMATCH(ROUND(EB$6,0),ROUND($G$7:$G$59,0))),
    _xlfn.XLOOKUP(ROUND(EB$6,0),ROUND($G$7:$G$59,0),$M$7:$M$59),
    EXP(
        LN(_xlfn.XLOOKUP(ROUND(EB$6,0),ROUND($G$7:$G$59,0),$M$7:$M$59,,-1))
        +
        (
            LN(_xlfn.XLOOKUP(ROUND(EB$6,0),ROUND($G$7:$G$59,0),$M$7:$M$59,,1))
            -LN(_xlfn.XLOOKUP(ROUND(EB$6,0),ROUND($G$7:$G$59,0),$M$7:$M$59,,-1))
        )
        *
        (ROUND(EB$6,0)-_xlfn.XLOOKUP(ROUND(EB$6,0),ROUND($G$7:$G$59,0),ROUND($G$7:$G$59,0),,-1))
        /
        (
            _xlfn.XLOOKUP(ROUND(EB$6,0),ROUND($G$7:$G$59,0),ROUND($G$7:$G$59,0),,1)
            -_xlfn.XLOOKUP(ROUND(EB$6,0),ROUND($G$7:$G$59,0),ROUND($G$7:$G$59,0),,-1)
        )
    )
)</f>
        <v>0.33213614685437287</v>
      </c>
      <c r="EC5" s="24" cm="1">
        <f t="array" ref="EC5">IF(
    ISNUMBER(_xlfn.XMATCH(ROUND(EC$6,0),ROUND($G$7:$G$59,0))),
    _xlfn.XLOOKUP(ROUND(EC$6,0),ROUND($G$7:$G$59,0),$M$7:$M$59),
    EXP(
        LN(_xlfn.XLOOKUP(ROUND(EC$6,0),ROUND($G$7:$G$59,0),$M$7:$M$59,,-1))
        +
        (
            LN(_xlfn.XLOOKUP(ROUND(EC$6,0),ROUND($G$7:$G$59,0),$M$7:$M$59,,1))
            -LN(_xlfn.XLOOKUP(ROUND(EC$6,0),ROUND($G$7:$G$59,0),$M$7:$M$59,,-1))
        )
        *
        (ROUND(EC$6,0)-_xlfn.XLOOKUP(ROUND(EC$6,0),ROUND($G$7:$G$59,0),ROUND($G$7:$G$59,0),,-1))
        /
        (
            _xlfn.XLOOKUP(ROUND(EC$6,0),ROUND($G$7:$G$59,0),ROUND($G$7:$G$59,0),,1)
            -_xlfn.XLOOKUP(ROUND(EC$6,0),ROUND($G$7:$G$59,0),ROUND($G$7:$G$59,0),,-1)
        )
    )
)</f>
        <v>0.32879510518464578</v>
      </c>
      <c r="ED5" s="24" cm="1">
        <f t="array" ref="ED5">IF(
    ISNUMBER(_xlfn.XMATCH(ROUND(ED$6,0),ROUND($G$7:$G$59,0))),
    _xlfn.XLOOKUP(ROUND(ED$6,0),ROUND($G$7:$G$59,0),$M$7:$M$59),
    EXP(
        LN(_xlfn.XLOOKUP(ROUND(ED$6,0),ROUND($G$7:$G$59,0),$M$7:$M$59,,-1))
        +
        (
            LN(_xlfn.XLOOKUP(ROUND(ED$6,0),ROUND($G$7:$G$59,0),$M$7:$M$59,,1))
            -LN(_xlfn.XLOOKUP(ROUND(ED$6,0),ROUND($G$7:$G$59,0),$M$7:$M$59,,-1))
        )
        *
        (ROUND(ED$6,0)-_xlfn.XLOOKUP(ROUND(ED$6,0),ROUND($G$7:$G$59,0),ROUND($G$7:$G$59,0),,-1))
        /
        (
            _xlfn.XLOOKUP(ROUND(ED$6,0),ROUND($G$7:$G$59,0),ROUND($G$7:$G$59,0),,1)
            -_xlfn.XLOOKUP(ROUND(ED$6,0),ROUND($G$7:$G$59,0),ROUND($G$7:$G$59,0),,-1)
        )
    )
)</f>
        <v>0.32548767189974692</v>
      </c>
      <c r="EE5" s="24" cm="1">
        <f t="array" ref="EE5">IF(
    ISNUMBER(_xlfn.XMATCH(ROUND(EE$6,0),ROUND($G$7:$G$59,0))),
    _xlfn.XLOOKUP(ROUND(EE$6,0),ROUND($G$7:$G$59,0),$M$7:$M$59),
    EXP(
        LN(_xlfn.XLOOKUP(ROUND(EE$6,0),ROUND($G$7:$G$59,0),$M$7:$M$59,,-1))
        +
        (
            LN(_xlfn.XLOOKUP(ROUND(EE$6,0),ROUND($G$7:$G$59,0),$M$7:$M$59,,1))
            -LN(_xlfn.XLOOKUP(ROUND(EE$6,0),ROUND($G$7:$G$59,0),$M$7:$M$59,,-1))
        )
        *
        (ROUND(EE$6,0)-_xlfn.XLOOKUP(ROUND(EE$6,0),ROUND($G$7:$G$59,0),ROUND($G$7:$G$59,0),,-1))
        /
        (
            _xlfn.XLOOKUP(ROUND(EE$6,0),ROUND($G$7:$G$59,0),ROUND($G$7:$G$59,0),,1)
            -_xlfn.XLOOKUP(ROUND(EE$6,0),ROUND($G$7:$G$59,0),ROUND($G$7:$G$59,0),,-1)
        )
    )
)</f>
        <v>0.32246455420284686</v>
      </c>
      <c r="EF5" s="24" cm="1">
        <f t="array" ref="EF5">IF(
    ISNUMBER(_xlfn.XMATCH(ROUND(EF$6,0),ROUND($G$7:$G$59,0))),
    _xlfn.XLOOKUP(ROUND(EF$6,0),ROUND($G$7:$G$59,0),$M$7:$M$59),
    EXP(
        LN(_xlfn.XLOOKUP(ROUND(EF$6,0),ROUND($G$7:$G$59,0),$M$7:$M$59,,-1))
        +
        (
            LN(_xlfn.XLOOKUP(ROUND(EF$6,0),ROUND($G$7:$G$59,0),$M$7:$M$59,,1))
            -LN(_xlfn.XLOOKUP(ROUND(EF$6,0),ROUND($G$7:$G$59,0),$M$7:$M$59,,-1))
        )
        *
        (ROUND(EF$6,0)-_xlfn.XLOOKUP(ROUND(EF$6,0),ROUND($G$7:$G$59,0),ROUND($G$7:$G$59,0),,-1))
        /
        (
            _xlfn.XLOOKUP(ROUND(EF$6,0),ROUND($G$7:$G$59,0),ROUND($G$7:$G$59,0),,1)
            -_xlfn.XLOOKUP(ROUND(EF$6,0),ROUND($G$7:$G$59,0),ROUND($G$7:$G$59,0),,-1)
        )
    )
)</f>
        <v>0.31946951511352029</v>
      </c>
      <c r="EG5" s="24" cm="1">
        <f t="array" ref="EG5">IF(
    ISNUMBER(_xlfn.XMATCH(ROUND(EG$6,0),ROUND($G$7:$G$59,0))),
    _xlfn.XLOOKUP(ROUND(EG$6,0),ROUND($G$7:$G$59,0),$M$7:$M$59),
    EXP(
        LN(_xlfn.XLOOKUP(ROUND(EG$6,0),ROUND($G$7:$G$59,0),$M$7:$M$59,,-1))
        +
        (
            LN(_xlfn.XLOOKUP(ROUND(EG$6,0),ROUND($G$7:$G$59,0),$M$7:$M$59,,1))
            -LN(_xlfn.XLOOKUP(ROUND(EG$6,0),ROUND($G$7:$G$59,0),$M$7:$M$59,,-1))
        )
        *
        (ROUND(EG$6,0)-_xlfn.XLOOKUP(ROUND(EG$6,0),ROUND($G$7:$G$59,0),ROUND($G$7:$G$59,0),,-1))
        /
        (
            _xlfn.XLOOKUP(ROUND(EG$6,0),ROUND($G$7:$G$59,0),ROUND($G$7:$G$59,0),,1)
            -_xlfn.XLOOKUP(ROUND(EG$6,0),ROUND($G$7:$G$59,0),ROUND($G$7:$G$59,0),,-1)
        )
    )
)</f>
        <v>0.31752931112982863</v>
      </c>
      <c r="EH5" s="24" cm="1">
        <f t="array" ref="EH5">IF(
    ISNUMBER(_xlfn.XMATCH(ROUND(EH$6,0),ROUND($G$7:$G$59,0))),
    _xlfn.XLOOKUP(ROUND(EH$6,0),ROUND($G$7:$G$59,0),$M$7:$M$59),
    EXP(
        LN(_xlfn.XLOOKUP(ROUND(EH$6,0),ROUND($G$7:$G$59,0),$M$7:$M$59,,-1))
        +
        (
            LN(_xlfn.XLOOKUP(ROUND(EH$6,0),ROUND($G$7:$G$59,0),$M$7:$M$59,,1))
            -LN(_xlfn.XLOOKUP(ROUND(EH$6,0),ROUND($G$7:$G$59,0),$M$7:$M$59,,-1))
        )
        *
        (ROUND(EH$6,0)-_xlfn.XLOOKUP(ROUND(EH$6,0),ROUND($G$7:$G$59,0),ROUND($G$7:$G$59,0),,-1))
        /
        (
            _xlfn.XLOOKUP(ROUND(EH$6,0),ROUND($G$7:$G$59,0),ROUND($G$7:$G$59,0),,1)
            -_xlfn.XLOOKUP(ROUND(EH$6,0),ROUND($G$7:$G$59,0),ROUND($G$7:$G$59,0),,-1)
        )
    )
)</f>
        <v>0.31560089040344391</v>
      </c>
      <c r="EI5" s="24" cm="1">
        <f t="array" ref="EI5">IF(
    ISNUMBER(_xlfn.XMATCH(ROUND(EI$6,0),ROUND($G$7:$G$59,0))),
    _xlfn.XLOOKUP(ROUND(EI$6,0),ROUND($G$7:$G$59,0),$M$7:$M$59),
    EXP(
        LN(_xlfn.XLOOKUP(ROUND(EI$6,0),ROUND($G$7:$G$59,0),$M$7:$M$59,,-1))
        +
        (
            LN(_xlfn.XLOOKUP(ROUND(EI$6,0),ROUND($G$7:$G$59,0),$M$7:$M$59,,1))
            -LN(_xlfn.XLOOKUP(ROUND(EI$6,0),ROUND($G$7:$G$59,0),$M$7:$M$59,,-1))
        )
        *
        (ROUND(EI$6,0)-_xlfn.XLOOKUP(ROUND(EI$6,0),ROUND($G$7:$G$59,0),ROUND($G$7:$G$59,0),,-1))
        /
        (
            _xlfn.XLOOKUP(ROUND(EI$6,0),ROUND($G$7:$G$59,0),ROUND($G$7:$G$59,0),,1)
            -_xlfn.XLOOKUP(ROUND(EI$6,0),ROUND($G$7:$G$59,0),ROUND($G$7:$G$59,0),,-1)
        )
    )
)</f>
        <v>0.31259367951266126</v>
      </c>
      <c r="EJ5" s="24" cm="1">
        <f t="array" ref="EJ5">IF(
    ISNUMBER(_xlfn.XMATCH(ROUND(EJ$6,0),ROUND($G$7:$G$59,0))),
    _xlfn.XLOOKUP(ROUND(EJ$6,0),ROUND($G$7:$G$59,0),$M$7:$M$59),
    EXP(
        LN(_xlfn.XLOOKUP(ROUND(EJ$6,0),ROUND($G$7:$G$59,0),$M$7:$M$59,,-1))
        +
        (
            LN(_xlfn.XLOOKUP(ROUND(EJ$6,0),ROUND($G$7:$G$59,0),$M$7:$M$59,,1))
            -LN(_xlfn.XLOOKUP(ROUND(EJ$6,0),ROUND($G$7:$G$59,0),$M$7:$M$59,,-1))
        )
        *
        (ROUND(EJ$6,0)-_xlfn.XLOOKUP(ROUND(EJ$6,0),ROUND($G$7:$G$59,0),ROUND($G$7:$G$59,0),,-1))
        /
        (
            _xlfn.XLOOKUP(ROUND(EJ$6,0),ROUND($G$7:$G$59,0),ROUND($G$7:$G$59,0),,1)
            -_xlfn.XLOOKUP(ROUND(EJ$6,0),ROUND($G$7:$G$59,0),ROUND($G$7:$G$59,0),,-1)
        )
    )
)</f>
        <v>0.30961512290523657</v>
      </c>
      <c r="EK5" s="24" cm="1">
        <f t="array" ref="EK5">IF(
    ISNUMBER(_xlfn.XMATCH(ROUND(EK$6,0),ROUND($G$7:$G$59,0))),
    _xlfn.XLOOKUP(ROUND(EK$6,0),ROUND($G$7:$G$59,0),$M$7:$M$59),
    EXP(
        LN(_xlfn.XLOOKUP(ROUND(EK$6,0),ROUND($G$7:$G$59,0),$M$7:$M$59,,-1))
        +
        (
            LN(_xlfn.XLOOKUP(ROUND(EK$6,0),ROUND($G$7:$G$59,0),$M$7:$M$59,,1))
            -LN(_xlfn.XLOOKUP(ROUND(EK$6,0),ROUND($G$7:$G$59,0),$M$7:$M$59,,-1))
        )
        *
        (ROUND(EK$6,0)-_xlfn.XLOOKUP(ROUND(EK$6,0),ROUND($G$7:$G$59,0),ROUND($G$7:$G$59,0),,-1))
        /
        (
            _xlfn.XLOOKUP(ROUND(EK$6,0),ROUND($G$7:$G$59,0),ROUND($G$7:$G$59,0),,1)
            -_xlfn.XLOOKUP(ROUND(EK$6,0),ROUND($G$7:$G$59,0),ROUND($G$7:$G$59,0),,-1)
        )
    )
)</f>
        <v>0.30666494754812207</v>
      </c>
      <c r="EL5" s="24" cm="1">
        <f t="array" ref="EL5">IF(
    ISNUMBER(_xlfn.XMATCH(ROUND(EL$6,0),ROUND($G$7:$G$59,0))),
    _xlfn.XLOOKUP(ROUND(EL$6,0),ROUND($G$7:$G$59,0),$M$7:$M$59),
    EXP(
        LN(_xlfn.XLOOKUP(ROUND(EL$6,0),ROUND($G$7:$G$59,0),$M$7:$M$59,,-1))
        +
        (
            LN(_xlfn.XLOOKUP(ROUND(EL$6,0),ROUND($G$7:$G$59,0),$M$7:$M$59,,1))
            -LN(_xlfn.XLOOKUP(ROUND(EL$6,0),ROUND($G$7:$G$59,0),$M$7:$M$59,,-1))
        )
        *
        (ROUND(EL$6,0)-_xlfn.XLOOKUP(ROUND(EL$6,0),ROUND($G$7:$G$59,0),ROUND($G$7:$G$59,0),,-1))
        /
        (
            _xlfn.XLOOKUP(ROUND(EL$6,0),ROUND($G$7:$G$59,0),ROUND($G$7:$G$59,0),,1)
            -_xlfn.XLOOKUP(ROUND(EL$6,0),ROUND($G$7:$G$59,0),ROUND($G$7:$G$59,0),,-1)
        )
    )
)</f>
        <v>0.30374288300987218</v>
      </c>
      <c r="EM5" s="24" cm="1">
        <f t="array" ref="EM5">IF(
    ISNUMBER(_xlfn.XMATCH(ROUND(EM$6,0),ROUND($G$7:$G$59,0))),
    _xlfn.XLOOKUP(ROUND(EM$6,0),ROUND($G$7:$G$59,0),$M$7:$M$59),
    EXP(
        LN(_xlfn.XLOOKUP(ROUND(EM$6,0),ROUND($G$7:$G$59,0),$M$7:$M$59,,-1))
        +
        (
            LN(_xlfn.XLOOKUP(ROUND(EM$6,0),ROUND($G$7:$G$59,0),$M$7:$M$59,,1))
            -LN(_xlfn.XLOOKUP(ROUND(EM$6,0),ROUND($G$7:$G$59,0),$M$7:$M$59,,-1))
        )
        *
        (ROUND(EM$6,0)-_xlfn.XLOOKUP(ROUND(EM$6,0),ROUND($G$7:$G$59,0),ROUND($G$7:$G$59,0),,-1))
        /
        (
            _xlfn.XLOOKUP(ROUND(EM$6,0),ROUND($G$7:$G$59,0),ROUND($G$7:$G$59,0),,1)
            -_xlfn.XLOOKUP(ROUND(EM$6,0),ROUND($G$7:$G$59,0),ROUND($G$7:$G$59,0),,-1)
        )
    )
)</f>
        <v>0.30084866143585393</v>
      </c>
      <c r="EN5" s="24" cm="1">
        <f t="array" ref="EN5">IF(
    ISNUMBER(_xlfn.XMATCH(ROUND(EN$6,0),ROUND($G$7:$G$59,0))),
    _xlfn.XLOOKUP(ROUND(EN$6,0),ROUND($G$7:$G$59,0),$M$7:$M$59),
    EXP(
        LN(_xlfn.XLOOKUP(ROUND(EN$6,0),ROUND($G$7:$G$59,0),$M$7:$M$59,,-1))
        +
        (
            LN(_xlfn.XLOOKUP(ROUND(EN$6,0),ROUND($G$7:$G$59,0),$M$7:$M$59,,1))
            -LN(_xlfn.XLOOKUP(ROUND(EN$6,0),ROUND($G$7:$G$59,0),$M$7:$M$59,,-1))
        )
        *
        (ROUND(EN$6,0)-_xlfn.XLOOKUP(ROUND(EN$6,0),ROUND($G$7:$G$59,0),ROUND($G$7:$G$59,0),,-1))
        /
        (
            _xlfn.XLOOKUP(ROUND(EN$6,0),ROUND($G$7:$G$59,0),ROUND($G$7:$G$59,0),,1)
            -_xlfn.XLOOKUP(ROUND(EN$6,0),ROUND($G$7:$G$59,0),ROUND($G$7:$G$59,0),,-1)
        )
    )
)</f>
        <v>0.29798201752369396</v>
      </c>
      <c r="EO5" s="24" cm="1">
        <f t="array" ref="EO5">IF(
    ISNUMBER(_xlfn.XMATCH(ROUND(EO$6,0),ROUND($G$7:$G$59,0))),
    _xlfn.XLOOKUP(ROUND(EO$6,0),ROUND($G$7:$G$59,0),$M$7:$M$59),
    EXP(
        LN(_xlfn.XLOOKUP(ROUND(EO$6,0),ROUND($G$7:$G$59,0),$M$7:$M$59,,-1))
        +
        (
            LN(_xlfn.XLOOKUP(ROUND(EO$6,0),ROUND($G$7:$G$59,0),$M$7:$M$59,,1))
            -LN(_xlfn.XLOOKUP(ROUND(EO$6,0),ROUND($G$7:$G$59,0),$M$7:$M$59,,-1))
        )
        *
        (ROUND(EO$6,0)-_xlfn.XLOOKUP(ROUND(EO$6,0),ROUND($G$7:$G$59,0),ROUND($G$7:$G$59,0),,-1))
        /
        (
            _xlfn.XLOOKUP(ROUND(EO$6,0),ROUND($G$7:$G$59,0),ROUND($G$7:$G$59,0),,1)
            -_xlfn.XLOOKUP(ROUND(EO$6,0),ROUND($G$7:$G$59,0),ROUND($G$7:$G$59,0),,-1)
        )
    )
)</f>
        <v>0.29514268849895925</v>
      </c>
      <c r="EP5" s="24" cm="1">
        <f t="array" ref="EP5">IF(
    ISNUMBER(_xlfn.XMATCH(ROUND(EP$6,0),ROUND($G$7:$G$59,0))),
    _xlfn.XLOOKUP(ROUND(EP$6,0),ROUND($G$7:$G$59,0),$M$7:$M$59),
    EXP(
        LN(_xlfn.XLOOKUP(ROUND(EP$6,0),ROUND($G$7:$G$59,0),$M$7:$M$59,,-1))
        +
        (
            LN(_xlfn.XLOOKUP(ROUND(EP$6,0),ROUND($G$7:$G$59,0),$M$7:$M$59,,1))
            -LN(_xlfn.XLOOKUP(ROUND(EP$6,0),ROUND($G$7:$G$59,0),$M$7:$M$59,,-1))
        )
        *
        (ROUND(EP$6,0)-_xlfn.XLOOKUP(ROUND(EP$6,0),ROUND($G$7:$G$59,0),ROUND($G$7:$G$59,0),,-1))
        /
        (
            _xlfn.XLOOKUP(ROUND(EP$6,0),ROUND($G$7:$G$59,0),ROUND($G$7:$G$59,0),,1)
            -_xlfn.XLOOKUP(ROUND(EP$6,0),ROUND($G$7:$G$59,0),ROUND($G$7:$G$59,0),,-1)
        )
    )
)</f>
        <v>0.29233041409106908</v>
      </c>
      <c r="EQ5" s="24" cm="1">
        <f t="array" ref="EQ5">IF(
    ISNUMBER(_xlfn.XMATCH(ROUND(EQ$6,0),ROUND($G$7:$G$59,0))),
    _xlfn.XLOOKUP(ROUND(EQ$6,0),ROUND($G$7:$G$59,0),$M$7:$M$59),
    EXP(
        LN(_xlfn.XLOOKUP(ROUND(EQ$6,0),ROUND($G$7:$G$59,0),$M$7:$M$59,,-1))
        +
        (
            LN(_xlfn.XLOOKUP(ROUND(EQ$6,0),ROUND($G$7:$G$59,0),$M$7:$M$59,,1))
            -LN(_xlfn.XLOOKUP(ROUND(EQ$6,0),ROUND($G$7:$G$59,0),$M$7:$M$59,,-1))
        )
        *
        (ROUND(EQ$6,0)-_xlfn.XLOOKUP(ROUND(EQ$6,0),ROUND($G$7:$G$59,0),ROUND($G$7:$G$59,0),,-1))
        /
        (
            _xlfn.XLOOKUP(ROUND(EQ$6,0),ROUND($G$7:$G$59,0),ROUND($G$7:$G$59,0),,1)
            -_xlfn.XLOOKUP(ROUND(EQ$6,0),ROUND($G$7:$G$59,0),ROUND($G$7:$G$59,0),,-1)
        )
    )
)</f>
        <v>0.28954493650943786</v>
      </c>
      <c r="ER5" s="24" cm="1">
        <f t="array" ref="ER5">IF(
    ISNUMBER(_xlfn.XMATCH(ROUND(ER$6,0),ROUND($G$7:$G$59,0))),
    _xlfn.XLOOKUP(ROUND(ER$6,0),ROUND($G$7:$G$59,0),$M$7:$M$59),
    EXP(
        LN(_xlfn.XLOOKUP(ROUND(ER$6,0),ROUND($G$7:$G$59,0),$M$7:$M$59,,-1))
        +
        (
            LN(_xlfn.XLOOKUP(ROUND(ER$6,0),ROUND($G$7:$G$59,0),$M$7:$M$59,,1))
            -LN(_xlfn.XLOOKUP(ROUND(ER$6,0),ROUND($G$7:$G$59,0),$M$7:$M$59,,-1))
        )
        *
        (ROUND(ER$6,0)-_xlfn.XLOOKUP(ROUND(ER$6,0),ROUND($G$7:$G$59,0),ROUND($G$7:$G$59,0),,-1))
        /
        (
            _xlfn.XLOOKUP(ROUND(ER$6,0),ROUND($G$7:$G$59,0),ROUND($G$7:$G$59,0),,1)
            -_xlfn.XLOOKUP(ROUND(ER$6,0),ROUND($G$7:$G$59,0),ROUND($G$7:$G$59,0),,-1)
        )
    )
)</f>
        <v>0.28678600041984353</v>
      </c>
      <c r="ES5" s="24" cm="1">
        <f t="array" ref="ES5">IF(
    ISNUMBER(_xlfn.XMATCH(ROUND(ES$6,0),ROUND($G$7:$G$59,0))),
    _xlfn.XLOOKUP(ROUND(ES$6,0),ROUND($G$7:$G$59,0),$M$7:$M$59),
    EXP(
        LN(_xlfn.XLOOKUP(ROUND(ES$6,0),ROUND($G$7:$G$59,0),$M$7:$M$59,,-1))
        +
        (
            LN(_xlfn.XLOOKUP(ROUND(ES$6,0),ROUND($G$7:$G$59,0),$M$7:$M$59,,1))
            -LN(_xlfn.XLOOKUP(ROUND(ES$6,0),ROUND($G$7:$G$59,0),$M$7:$M$59,,-1))
        )
        *
        (ROUND(ES$6,0)-_xlfn.XLOOKUP(ROUND(ES$6,0),ROUND($G$7:$G$59,0),ROUND($G$7:$G$59,0),,-1))
        /
        (
            _xlfn.XLOOKUP(ROUND(ES$6,0),ROUND($G$7:$G$59,0),ROUND($G$7:$G$59,0),,1)
            -_xlfn.XLOOKUP(ROUND(ES$6,0),ROUND($G$7:$G$59,0),ROUND($G$7:$G$59,0),,-1)
        )
    )
)</f>
        <v>0.28405335292102279</v>
      </c>
      <c r="ET5" s="24" cm="1">
        <f t="array" ref="ET5">IF(
    ISNUMBER(_xlfn.XMATCH(ROUND(ET$6,0),ROUND($G$7:$G$59,0))),
    _xlfn.XLOOKUP(ROUND(ET$6,0),ROUND($G$7:$G$59,0),$M$7:$M$59),
    EXP(
        LN(_xlfn.XLOOKUP(ROUND(ET$6,0),ROUND($G$7:$G$59,0),$M$7:$M$59,,-1))
        +
        (
            LN(_xlfn.XLOOKUP(ROUND(ET$6,0),ROUND($G$7:$G$59,0),$M$7:$M$59,,1))
            -LN(_xlfn.XLOOKUP(ROUND(ET$6,0),ROUND($G$7:$G$59,0),$M$7:$M$59,,-1))
        )
        *
        (ROUND(ET$6,0)-_xlfn.XLOOKUP(ROUND(ET$6,0),ROUND($G$7:$G$59,0),ROUND($G$7:$G$59,0),,-1))
        /
        (
            _xlfn.XLOOKUP(ROUND(ET$6,0),ROUND($G$7:$G$59,0),ROUND($G$7:$G$59,0),,1)
            -_xlfn.XLOOKUP(ROUND(ET$6,0),ROUND($G$7:$G$59,0),ROUND($G$7:$G$59,0),,-1)
        )
    )
)</f>
        <v>0.28134674352148831</v>
      </c>
      <c r="EU5" s="24" cm="1">
        <f t="array" ref="EU5">IF(
    ISNUMBER(_xlfn.XMATCH(ROUND(EU$6,0),ROUND($G$7:$G$59,0))),
    _xlfn.XLOOKUP(ROUND(EU$6,0),ROUND($G$7:$G$59,0),$M$7:$M$59),
    EXP(
        LN(_xlfn.XLOOKUP(ROUND(EU$6,0),ROUND($G$7:$G$59,0),$M$7:$M$59,,-1))
        +
        (
            LN(_xlfn.XLOOKUP(ROUND(EU$6,0),ROUND($G$7:$G$59,0),$M$7:$M$59,,1))
            -LN(_xlfn.XLOOKUP(ROUND(EU$6,0),ROUND($G$7:$G$59,0),$M$7:$M$59,,-1))
        )
        *
        (ROUND(EU$6,0)-_xlfn.XLOOKUP(ROUND(EU$6,0),ROUND($G$7:$G$59,0),ROUND($G$7:$G$59,0),,-1))
        /
        (
            _xlfn.XLOOKUP(ROUND(EU$6,0),ROUND($G$7:$G$59,0),ROUND($G$7:$G$59,0),,1)
            -_xlfn.XLOOKUP(ROUND(EU$6,0),ROUND($G$7:$G$59,0),ROUND($G$7:$G$59,0),,-1)
        )
    )
)</f>
        <v>0.27866592411656682</v>
      </c>
      <c r="EV5" s="24" cm="1">
        <f t="array" ref="EV5">IF(
    ISNUMBER(_xlfn.XMATCH(ROUND(EV$6,0),ROUND($G$7:$G$59,0))),
    _xlfn.XLOOKUP(ROUND(EV$6,0),ROUND($G$7:$G$59,0),$M$7:$M$59),
    EXP(
        LN(_xlfn.XLOOKUP(ROUND(EV$6,0),ROUND($G$7:$G$59,0),$M$7:$M$59,,-1))
        +
        (
            LN(_xlfn.XLOOKUP(ROUND(EV$6,0),ROUND($G$7:$G$59,0),$M$7:$M$59,,1))
            -LN(_xlfn.XLOOKUP(ROUND(EV$6,0),ROUND($G$7:$G$59,0),$M$7:$M$59,,-1))
        )
        *
        (ROUND(EV$6,0)-_xlfn.XLOOKUP(ROUND(EV$6,0),ROUND($G$7:$G$59,0),ROUND($G$7:$G$59,0),,-1))
        /
        (
            _xlfn.XLOOKUP(ROUND(EV$6,0),ROUND($G$7:$G$59,0),ROUND($G$7:$G$59,0),,1)
            -_xlfn.XLOOKUP(ROUND(EV$6,0),ROUND($G$7:$G$59,0),ROUND($G$7:$G$59,0),,-1)
        )
    )
)</f>
        <v>0.2760106489656568</v>
      </c>
      <c r="EW5" s="24" cm="1">
        <f t="array" ref="EW5">IF(
    ISNUMBER(_xlfn.XMATCH(ROUND(EW$6,0),ROUND($G$7:$G$59,0))),
    _xlfn.XLOOKUP(ROUND(EW$6,0),ROUND($G$7:$G$59,0),$M$7:$M$59),
    EXP(
        LN(_xlfn.XLOOKUP(ROUND(EW$6,0),ROUND($G$7:$G$59,0),$M$7:$M$59,,-1))
        +
        (
            LN(_xlfn.XLOOKUP(ROUND(EW$6,0),ROUND($G$7:$G$59,0),$M$7:$M$59,,1))
            -LN(_xlfn.XLOOKUP(ROUND(EW$6,0),ROUND($G$7:$G$59,0),$M$7:$M$59,,-1))
        )
        *
        (ROUND(EW$6,0)-_xlfn.XLOOKUP(ROUND(EW$6,0),ROUND($G$7:$G$59,0),ROUND($G$7:$G$59,0),,-1))
        /
        (
            _xlfn.XLOOKUP(ROUND(EW$6,0),ROUND($G$7:$G$59,0),ROUND($G$7:$G$59,0),,1)
            -_xlfn.XLOOKUP(ROUND(EW$6,0),ROUND($G$7:$G$59,0),ROUND($G$7:$G$59,0),,-1)
        )
    )
)</f>
        <v>0.27338067466970195</v>
      </c>
      <c r="EX5" s="24" cm="1">
        <f t="array" ref="EX5">IF(
    ISNUMBER(_xlfn.XMATCH(ROUND(EX$6,0),ROUND($G$7:$G$59,0))),
    _xlfn.XLOOKUP(ROUND(EX$6,0),ROUND($G$7:$G$59,0),$M$7:$M$59),
    EXP(
        LN(_xlfn.XLOOKUP(ROUND(EX$6,0),ROUND($G$7:$G$59,0),$M$7:$M$59,,-1))
        +
        (
            LN(_xlfn.XLOOKUP(ROUND(EX$6,0),ROUND($G$7:$G$59,0),$M$7:$M$59,,1))
            -LN(_xlfn.XLOOKUP(ROUND(EX$6,0),ROUND($G$7:$G$59,0),$M$7:$M$59,,-1))
        )
        *
        (ROUND(EX$6,0)-_xlfn.XLOOKUP(ROUND(EX$6,0),ROUND($G$7:$G$59,0),ROUND($G$7:$G$59,0),,-1))
        /
        (
            _xlfn.XLOOKUP(ROUND(EX$6,0),ROUND($G$7:$G$59,0),ROUND($G$7:$G$59,0),,1)
            -_xlfn.XLOOKUP(ROUND(EX$6,0),ROUND($G$7:$G$59,0),ROUND($G$7:$G$59,0),,-1)
        )
    )
)</f>
        <v>0.27077576014888016</v>
      </c>
      <c r="EY5" s="24" cm="1">
        <f t="array" ref="EY5">IF(
    ISNUMBER(_xlfn.XMATCH(ROUND(EY$6,0),ROUND($G$7:$G$59,0))),
    _xlfn.XLOOKUP(ROUND(EY$6,0),ROUND($G$7:$G$59,0),$M$7:$M$59),
    EXP(
        LN(_xlfn.XLOOKUP(ROUND(EY$6,0),ROUND($G$7:$G$59,0),$M$7:$M$59,,-1))
        +
        (
            LN(_xlfn.XLOOKUP(ROUND(EY$6,0),ROUND($G$7:$G$59,0),$M$7:$M$59,,1))
            -LN(_xlfn.XLOOKUP(ROUND(EY$6,0),ROUND($G$7:$G$59,0),$M$7:$M$59,,-1))
        )
        *
        (ROUND(EY$6,0)-_xlfn.XLOOKUP(ROUND(EY$6,0),ROUND($G$7:$G$59,0),ROUND($G$7:$G$59,0),,-1))
        /
        (
            _xlfn.XLOOKUP(ROUND(EY$6,0),ROUND($G$7:$G$59,0),ROUND($G$7:$G$59,0),,1)
            -_xlfn.XLOOKUP(ROUND(EY$6,0),ROUND($G$7:$G$59,0),ROUND($G$7:$G$59,0),,-1)
        )
    )
)</f>
        <v>0.26819566662050404</v>
      </c>
      <c r="EZ5" s="24" cm="1">
        <f t="array" ref="EZ5">IF(
    ISNUMBER(_xlfn.XMATCH(ROUND(EZ$6,0),ROUND($G$7:$G$59,0))),
    _xlfn.XLOOKUP(ROUND(EZ$6,0),ROUND($G$7:$G$59,0),$M$7:$M$59),
    EXP(
        LN(_xlfn.XLOOKUP(ROUND(EZ$6,0),ROUND($G$7:$G$59,0),$M$7:$M$59,,-1))
        +
        (
            LN(_xlfn.XLOOKUP(ROUND(EZ$6,0),ROUND($G$7:$G$59,0),$M$7:$M$59,,1))
            -LN(_xlfn.XLOOKUP(ROUND(EZ$6,0),ROUND($G$7:$G$59,0),$M$7:$M$59,,-1))
        )
        *
        (ROUND(EZ$6,0)-_xlfn.XLOOKUP(ROUND(EZ$6,0),ROUND($G$7:$G$59,0),ROUND($G$7:$G$59,0),,-1))
        /
        (
            _xlfn.XLOOKUP(ROUND(EZ$6,0),ROUND($G$7:$G$59,0),ROUND($G$7:$G$59,0),,1)
            -_xlfn.XLOOKUP(ROUND(EZ$6,0),ROUND($G$7:$G$59,0),ROUND($G$7:$G$59,0),,-1)
        )
    )
)</f>
        <v>0.26564015757713316</v>
      </c>
      <c r="FA5" s="24" cm="1">
        <f t="array" ref="FA5">IF(
    ISNUMBER(_xlfn.XMATCH(ROUND(FA$6,0),ROUND($G$7:$G$59,0))),
    _xlfn.XLOOKUP(ROUND(FA$6,0),ROUND($G$7:$G$59,0),$M$7:$M$59),
    EXP(
        LN(_xlfn.XLOOKUP(ROUND(FA$6,0),ROUND($G$7:$G$59,0),$M$7:$M$59,,-1))
        +
        (
            LN(_xlfn.XLOOKUP(ROUND(FA$6,0),ROUND($G$7:$G$59,0),$M$7:$M$59,,1))
            -LN(_xlfn.XLOOKUP(ROUND(FA$6,0),ROUND($G$7:$G$59,0),$M$7:$M$59,,-1))
        )
        *
        (ROUND(FA$6,0)-_xlfn.XLOOKUP(ROUND(FA$6,0),ROUND($G$7:$G$59,0),ROUND($G$7:$G$59,0),,-1))
        /
        (
            _xlfn.XLOOKUP(ROUND(FA$6,0),ROUND($G$7:$G$59,0),ROUND($G$7:$G$59,0),,1)
            -_xlfn.XLOOKUP(ROUND(FA$6,0),ROUND($G$7:$G$59,0),ROUND($G$7:$G$59,0),,-1)
        )
    )
)</f>
        <v>0.26310899876489413</v>
      </c>
      <c r="FB5" s="24" cm="1">
        <f t="array" ref="FB5">IF(
    ISNUMBER(_xlfn.XMATCH(ROUND(FB$6,0),ROUND($G$7:$G$59,0))),
    _xlfn.XLOOKUP(ROUND(FB$6,0),ROUND($G$7:$G$59,0),$M$7:$M$59),
    EXP(
        LN(_xlfn.XLOOKUP(ROUND(FB$6,0),ROUND($G$7:$G$59,0),$M$7:$M$59,,-1))
        +
        (
            LN(_xlfn.XLOOKUP(ROUND(FB$6,0),ROUND($G$7:$G$59,0),$M$7:$M$59,,1))
            -LN(_xlfn.XLOOKUP(ROUND(FB$6,0),ROUND($G$7:$G$59,0),$M$7:$M$59,,-1))
        )
        *
        (ROUND(FB$6,0)-_xlfn.XLOOKUP(ROUND(FB$6,0),ROUND($G$7:$G$59,0),ROUND($G$7:$G$59,0),,-1))
        /
        (
            _xlfn.XLOOKUP(ROUND(FB$6,0),ROUND($G$7:$G$59,0),ROUND($G$7:$G$59,0),,1)
            -_xlfn.XLOOKUP(ROUND(FB$6,0),ROUND($G$7:$G$59,0),ROUND($G$7:$G$59,0),,-1)
        )
    )
)</f>
        <v>0.26060195816200715</v>
      </c>
      <c r="FC5" s="24" cm="1">
        <f t="array" ref="FC5">IF(
    ISNUMBER(_xlfn.XMATCH(ROUND(FC$6,0),ROUND($G$7:$G$59,0))),
    _xlfn.XLOOKUP(ROUND(FC$6,0),ROUND($G$7:$G$59,0),$M$7:$M$59),
    EXP(
        LN(_xlfn.XLOOKUP(ROUND(FC$6,0),ROUND($G$7:$G$59,0),$M$7:$M$59,,-1))
        +
        (
            LN(_xlfn.XLOOKUP(ROUND(FC$6,0),ROUND($G$7:$G$59,0),$M$7:$M$59,,1))
            -LN(_xlfn.XLOOKUP(ROUND(FC$6,0),ROUND($G$7:$G$59,0),$M$7:$M$59,,-1))
        )
        *
        (ROUND(FC$6,0)-_xlfn.XLOOKUP(ROUND(FC$6,0),ROUND($G$7:$G$59,0),ROUND($G$7:$G$59,0),,-1))
        /
        (
            _xlfn.XLOOKUP(ROUND(FC$6,0),ROUND($G$7:$G$59,0),ROUND($G$7:$G$59,0),,1)
            -_xlfn.XLOOKUP(ROUND(FC$6,0),ROUND($G$7:$G$59,0),ROUND($G$7:$G$59,0),,-1)
        )
    )
)</f>
        <v>0.25811880595751796</v>
      </c>
      <c r="FD5" s="24" cm="1">
        <f t="array" ref="FD5">IF(
    ISNUMBER(_xlfn.XMATCH(ROUND(FD$6,0),ROUND($G$7:$G$59,0))),
    _xlfn.XLOOKUP(ROUND(FD$6,0),ROUND($G$7:$G$59,0),$M$7:$M$59),
    EXP(
        LN(_xlfn.XLOOKUP(ROUND(FD$6,0),ROUND($G$7:$G$59,0),$M$7:$M$59,,-1))
        +
        (
            LN(_xlfn.XLOOKUP(ROUND(FD$6,0),ROUND($G$7:$G$59,0),$M$7:$M$59,,1))
            -LN(_xlfn.XLOOKUP(ROUND(FD$6,0),ROUND($G$7:$G$59,0),$M$7:$M$59,,-1))
        )
        *
        (ROUND(FD$6,0)-_xlfn.XLOOKUP(ROUND(FD$6,0),ROUND($G$7:$G$59,0),ROUND($G$7:$G$59,0),,-1))
        /
        (
            _xlfn.XLOOKUP(ROUND(FD$6,0),ROUND($G$7:$G$59,0),ROUND($G$7:$G$59,0),,1)
            -_xlfn.XLOOKUP(ROUND(FD$6,0),ROUND($G$7:$G$59,0),ROUND($G$7:$G$59,0),,-1)
        )
    )
)</f>
        <v>0.25565931453023139</v>
      </c>
      <c r="FE5" s="24" cm="1">
        <f t="array" ref="FE5">IF(
    ISNUMBER(_xlfn.XMATCH(ROUND(FE$6,0),ROUND($G$7:$G$59,0))),
    _xlfn.XLOOKUP(ROUND(FE$6,0),ROUND($G$7:$G$59,0),$M$7:$M$59),
    EXP(
        LN(_xlfn.XLOOKUP(ROUND(FE$6,0),ROUND($G$7:$G$59,0),$M$7:$M$59,,-1))
        +
        (
            LN(_xlfn.XLOOKUP(ROUND(FE$6,0),ROUND($G$7:$G$59,0),$M$7:$M$59,,1))
            -LN(_xlfn.XLOOKUP(ROUND(FE$6,0),ROUND($G$7:$G$59,0),$M$7:$M$59,,-1))
        )
        *
        (ROUND(FE$6,0)-_xlfn.XLOOKUP(ROUND(FE$6,0),ROUND($G$7:$G$59,0),ROUND($G$7:$G$59,0),,-1))
        /
        (
            _xlfn.XLOOKUP(ROUND(FE$6,0),ROUND($G$7:$G$59,0),ROUND($G$7:$G$59,0),,1)
            -_xlfn.XLOOKUP(ROUND(FE$6,0),ROUND($G$7:$G$59,0),ROUND($G$7:$G$59,0),,-1)
        )
    )
)</f>
        <v>0.25322325842784671</v>
      </c>
      <c r="FF5" s="24" cm="1">
        <f t="array" ref="FF5">IF(
    ISNUMBER(_xlfn.XMATCH(ROUND(FF$6,0),ROUND($G$7:$G$59,0))),
    _xlfn.XLOOKUP(ROUND(FF$6,0),ROUND($G$7:$G$59,0),$M$7:$M$59),
    EXP(
        LN(_xlfn.XLOOKUP(ROUND(FF$6,0),ROUND($G$7:$G$59,0),$M$7:$M$59,,-1))
        +
        (
            LN(_xlfn.XLOOKUP(ROUND(FF$6,0),ROUND($G$7:$G$59,0),$M$7:$M$59,,1))
            -LN(_xlfn.XLOOKUP(ROUND(FF$6,0),ROUND($G$7:$G$59,0),$M$7:$M$59,,-1))
        )
        *
        (ROUND(FF$6,0)-_xlfn.XLOOKUP(ROUND(FF$6,0),ROUND($G$7:$G$59,0),ROUND($G$7:$G$59,0),,-1))
        /
        (
            _xlfn.XLOOKUP(ROUND(FF$6,0),ROUND($G$7:$G$59,0),ROUND($G$7:$G$59,0),,1)
            -_xlfn.XLOOKUP(ROUND(FF$6,0),ROUND($G$7:$G$59,0),ROUND($G$7:$G$59,0),,-1)
        )
    )
)</f>
        <v>0.25081041434629098</v>
      </c>
      <c r="FG5" s="24" cm="1">
        <f t="array" ref="FG5">IF(
    ISNUMBER(_xlfn.XMATCH(ROUND(FG$6,0),ROUND($G$7:$G$59,0))),
    _xlfn.XLOOKUP(ROUND(FG$6,0),ROUND($G$7:$G$59,0),$M$7:$M$59),
    EXP(
        LN(_xlfn.XLOOKUP(ROUND(FG$6,0),ROUND($G$7:$G$59,0),$M$7:$M$59,,-1))
        +
        (
            LN(_xlfn.XLOOKUP(ROUND(FG$6,0),ROUND($G$7:$G$59,0),$M$7:$M$59,,1))
            -LN(_xlfn.XLOOKUP(ROUND(FG$6,0),ROUND($G$7:$G$59,0),$M$7:$M$59,,-1))
        )
        *
        (ROUND(FG$6,0)-_xlfn.XLOOKUP(ROUND(FG$6,0),ROUND($G$7:$G$59,0),ROUND($G$7:$G$59,0),,-1))
        /
        (
            _xlfn.XLOOKUP(ROUND(FG$6,0),ROUND($G$7:$G$59,0),ROUND($G$7:$G$59,0),,1)
            -_xlfn.XLOOKUP(ROUND(FG$6,0),ROUND($G$7:$G$59,0),ROUND($G$7:$G$59,0),,-1)
        )
    )
)</f>
        <v>0.24842056110924937</v>
      </c>
      <c r="FH5" s="24" cm="1">
        <f t="array" ref="FH5">IF(
    ISNUMBER(_xlfn.XMATCH(ROUND(FH$6,0),ROUND($G$7:$G$59,0))),
    _xlfn.XLOOKUP(ROUND(FH$6,0),ROUND($G$7:$G$59,0),$M$7:$M$59),
    EXP(
        LN(_xlfn.XLOOKUP(ROUND(FH$6,0),ROUND($G$7:$G$59,0),$M$7:$M$59,,-1))
        +
        (
            LN(_xlfn.XLOOKUP(ROUND(FH$6,0),ROUND($G$7:$G$59,0),$M$7:$M$59,,1))
            -LN(_xlfn.XLOOKUP(ROUND(FH$6,0),ROUND($G$7:$G$59,0),$M$7:$M$59,,-1))
        )
        *
        (ROUND(FH$6,0)-_xlfn.XLOOKUP(ROUND(FH$6,0),ROUND($G$7:$G$59,0),ROUND($G$7:$G$59,0),,-1))
        /
        (
            _xlfn.XLOOKUP(ROUND(FH$6,0),ROUND($G$7:$G$59,0),ROUND($G$7:$G$59,0),,1)
            -_xlfn.XLOOKUP(ROUND(FH$6,0),ROUND($G$7:$G$59,0),ROUND($G$7:$G$59,0),,-1)
        )
    )
)</f>
        <v>0.2460534796478914</v>
      </c>
      <c r="FI5" s="24" cm="1">
        <f t="array" ref="FI5">IF(
    ISNUMBER(_xlfn.XMATCH(ROUND(FI$6,0),ROUND($G$7:$G$59,0))),
    _xlfn.XLOOKUP(ROUND(FI$6,0),ROUND($G$7:$G$59,0),$M$7:$M$59),
    EXP(
        LN(_xlfn.XLOOKUP(ROUND(FI$6,0),ROUND($G$7:$G$59,0),$M$7:$M$59,,-1))
        +
        (
            LN(_xlfn.XLOOKUP(ROUND(FI$6,0),ROUND($G$7:$G$59,0),$M$7:$M$59,,1))
            -LN(_xlfn.XLOOKUP(ROUND(FI$6,0),ROUND($G$7:$G$59,0),$M$7:$M$59,,-1))
        )
        *
        (ROUND(FI$6,0)-_xlfn.XLOOKUP(ROUND(FI$6,0),ROUND($G$7:$G$59,0),ROUND($G$7:$G$59,0),,-1))
        /
        (
            _xlfn.XLOOKUP(ROUND(FI$6,0),ROUND($G$7:$G$59,0),ROUND($G$7:$G$59,0),,1)
            -_xlfn.XLOOKUP(ROUND(FI$6,0),ROUND($G$7:$G$59,0),ROUND($G$7:$G$59,0),,-1)
        )
    )
)</f>
        <v>0.24370895298078907</v>
      </c>
      <c r="FJ5" s="24" cm="1">
        <f t="array" ref="FJ5">IF(
    ISNUMBER(_xlfn.XMATCH(ROUND(FJ$6,0),ROUND($G$7:$G$59,0))),
    _xlfn.XLOOKUP(ROUND(FJ$6,0),ROUND($G$7:$G$59,0),$M$7:$M$59),
    EXP(
        LN(_xlfn.XLOOKUP(ROUND(FJ$6,0),ROUND($G$7:$G$59,0),$M$7:$M$59,,-1))
        +
        (
            LN(_xlfn.XLOOKUP(ROUND(FJ$6,0),ROUND($G$7:$G$59,0),$M$7:$M$59,,1))
            -LN(_xlfn.XLOOKUP(ROUND(FJ$6,0),ROUND($G$7:$G$59,0),$M$7:$M$59,,-1))
        )
        *
        (ROUND(FJ$6,0)-_xlfn.XLOOKUP(ROUND(FJ$6,0),ROUND($G$7:$G$59,0),ROUND($G$7:$G$59,0),,-1))
        /
        (
            _xlfn.XLOOKUP(ROUND(FJ$6,0),ROUND($G$7:$G$59,0),ROUND($G$7:$G$59,0),,1)
            -_xlfn.XLOOKUP(ROUND(FJ$6,0),ROUND($G$7:$G$59,0),ROUND($G$7:$G$59,0),,-1)
        )
    )
)</f>
        <v>0.24138676619402746</v>
      </c>
      <c r="FK5" s="24" cm="1">
        <f t="array" ref="FK5">IF(
    ISNUMBER(_xlfn.XMATCH(ROUND(FK$6,0),ROUND($G$7:$G$59,0))),
    _xlfn.XLOOKUP(ROUND(FK$6,0),ROUND($G$7:$G$59,0),$M$7:$M$59),
    EXP(
        LN(_xlfn.XLOOKUP(ROUND(FK$6,0),ROUND($G$7:$G$59,0),$M$7:$M$59,,-1))
        +
        (
            LN(_xlfn.XLOOKUP(ROUND(FK$6,0),ROUND($G$7:$G$59,0),$M$7:$M$59,,1))
            -LN(_xlfn.XLOOKUP(ROUND(FK$6,0),ROUND($G$7:$G$59,0),$M$7:$M$59,,-1))
        )
        *
        (ROUND(FK$6,0)-_xlfn.XLOOKUP(ROUND(FK$6,0),ROUND($G$7:$G$59,0),ROUND($G$7:$G$59,0),,-1))
        /
        (
            _xlfn.XLOOKUP(ROUND(FK$6,0),ROUND($G$7:$G$59,0),ROUND($G$7:$G$59,0),,1)
            -_xlfn.XLOOKUP(ROUND(FK$6,0),ROUND($G$7:$G$59,0),ROUND($G$7:$G$59,0),,-1)
        )
    )
)</f>
        <v>0.23908670642150423</v>
      </c>
      <c r="FL5" s="24" cm="1">
        <f t="array" ref="FL5">IF(
    ISNUMBER(_xlfn.XMATCH(ROUND(FL$6,0),ROUND($G$7:$G$59,0))),
    _xlfn.XLOOKUP(ROUND(FL$6,0),ROUND($G$7:$G$59,0),$M$7:$M$59),
    EXP(
        LN(_xlfn.XLOOKUP(ROUND(FL$6,0),ROUND($G$7:$G$59,0),$M$7:$M$59,,-1))
        +
        (
            LN(_xlfn.XLOOKUP(ROUND(FL$6,0),ROUND($G$7:$G$59,0),$M$7:$M$59,,1))
            -LN(_xlfn.XLOOKUP(ROUND(FL$6,0),ROUND($G$7:$G$59,0),$M$7:$M$59,,-1))
        )
        *
        (ROUND(FL$6,0)-_xlfn.XLOOKUP(ROUND(FL$6,0),ROUND($G$7:$G$59,0),ROUND($G$7:$G$59,0),,-1))
        /
        (
            _xlfn.XLOOKUP(ROUND(FL$6,0),ROUND($G$7:$G$59,0),ROUND($G$7:$G$59,0),,1)
            -_xlfn.XLOOKUP(ROUND(FL$6,0),ROUND($G$7:$G$59,0),ROUND($G$7:$G$59,0),,-1)
        )
    )
)</f>
        <v>0.23680856282541676</v>
      </c>
      <c r="FM5" s="24" cm="1">
        <f t="array" ref="FM5">IF(
    ISNUMBER(_xlfn.XMATCH(ROUND(FM$6,0),ROUND($G$7:$G$59,0))),
    _xlfn.XLOOKUP(ROUND(FM$6,0),ROUND($G$7:$G$59,0),$M$7:$M$59),
    EXP(
        LN(_xlfn.XLOOKUP(ROUND(FM$6,0),ROUND($G$7:$G$59,0),$M$7:$M$59,,-1))
        +
        (
            LN(_xlfn.XLOOKUP(ROUND(FM$6,0),ROUND($G$7:$G$59,0),$M$7:$M$59,,1))
            -LN(_xlfn.XLOOKUP(ROUND(FM$6,0),ROUND($G$7:$G$59,0),$M$7:$M$59,,-1))
        )
        *
        (ROUND(FM$6,0)-_xlfn.XLOOKUP(ROUND(FM$6,0),ROUND($G$7:$G$59,0),ROUND($G$7:$G$59,0),,-1))
        /
        (
            _xlfn.XLOOKUP(ROUND(FM$6,0),ROUND($G$7:$G$59,0),ROUND($G$7:$G$59,0),,1)
            -_xlfn.XLOOKUP(ROUND(FM$6,0),ROUND($G$7:$G$59,0),ROUND($G$7:$G$59,0),,-1)
        )
    )
)</f>
        <v>0.23455212657693589</v>
      </c>
      <c r="FN5" s="24" cm="1">
        <f t="array" ref="FN5">IF(
    ISNUMBER(_xlfn.XMATCH(ROUND(FN$6,0),ROUND($G$7:$G$59,0))),
    _xlfn.XLOOKUP(ROUND(FN$6,0),ROUND($G$7:$G$59,0),$M$7:$M$59),
    EXP(
        LN(_xlfn.XLOOKUP(ROUND(FN$6,0),ROUND($G$7:$G$59,0),$M$7:$M$59,,-1))
        +
        (
            LN(_xlfn.XLOOKUP(ROUND(FN$6,0),ROUND($G$7:$G$59,0),$M$7:$M$59,,1))
            -LN(_xlfn.XLOOKUP(ROUND(FN$6,0),ROUND($G$7:$G$59,0),$M$7:$M$59,,-1))
        )
        *
        (ROUND(FN$6,0)-_xlfn.XLOOKUP(ROUND(FN$6,0),ROUND($G$7:$G$59,0),ROUND($G$7:$G$59,0),,-1))
        /
        (
            _xlfn.XLOOKUP(ROUND(FN$6,0),ROUND($G$7:$G$59,0),ROUND($G$7:$G$59,0),,1)
            -_xlfn.XLOOKUP(ROUND(FN$6,0),ROUND($G$7:$G$59,0),ROUND($G$7:$G$59,0),,-1)
        )
    )
)</f>
        <v>0.2323171908370629</v>
      </c>
      <c r="FO5" s="24" cm="1">
        <f t="array" ref="FO5">IF(
    ISNUMBER(_xlfn.XMATCH(ROUND(FO$6,0),ROUND($G$7:$G$59,0))),
    _xlfn.XLOOKUP(ROUND(FO$6,0),ROUND($G$7:$G$59,0),$M$7:$M$59),
    EXP(
        LN(_xlfn.XLOOKUP(ROUND(FO$6,0),ROUND($G$7:$G$59,0),$M$7:$M$59,,-1))
        +
        (
            LN(_xlfn.XLOOKUP(ROUND(FO$6,0),ROUND($G$7:$G$59,0),$M$7:$M$59,,1))
            -LN(_xlfn.XLOOKUP(ROUND(FO$6,0),ROUND($G$7:$G$59,0),$M$7:$M$59,,-1))
        )
        *
        (ROUND(FO$6,0)-_xlfn.XLOOKUP(ROUND(FO$6,0),ROUND($G$7:$G$59,0),ROUND($G$7:$G$59,0),,-1))
        /
        (
            _xlfn.XLOOKUP(ROUND(FO$6,0),ROUND($G$7:$G$59,0),ROUND($G$7:$G$59,0),,1)
            -_xlfn.XLOOKUP(ROUND(FO$6,0),ROUND($G$7:$G$59,0),ROUND($G$7:$G$59,0),,-1)
        )
    )
)</f>
        <v>0.23010355073766972</v>
      </c>
      <c r="FP5" s="24" cm="1">
        <f t="array" ref="FP5">IF(
    ISNUMBER(_xlfn.XMATCH(ROUND(FP$6,0),ROUND($G$7:$G$59,0))),
    _xlfn.XLOOKUP(ROUND(FP$6,0),ROUND($G$7:$G$59,0),$M$7:$M$59),
    EXP(
        LN(_xlfn.XLOOKUP(ROUND(FP$6,0),ROUND($G$7:$G$59,0),$M$7:$M$59,,-1))
        +
        (
            LN(_xlfn.XLOOKUP(ROUND(FP$6,0),ROUND($G$7:$G$59,0),$M$7:$M$59,,1))
            -LN(_xlfn.XLOOKUP(ROUND(FP$6,0),ROUND($G$7:$G$59,0),$M$7:$M$59,,-1))
        )
        *
        (ROUND(FP$6,0)-_xlfn.XLOOKUP(ROUND(FP$6,0),ROUND($G$7:$G$59,0),ROUND($G$7:$G$59,0),,-1))
        /
        (
            _xlfn.XLOOKUP(ROUND(FP$6,0),ROUND($G$7:$G$59,0),ROUND($G$7:$G$59,0),,1)
            -_xlfn.XLOOKUP(ROUND(FP$6,0),ROUND($G$7:$G$59,0),ROUND($G$7:$G$59,0),,-1)
        )
    )
)</f>
        <v>0.22791100336271936</v>
      </c>
      <c r="FQ5" s="24" cm="1">
        <f t="array" ref="FQ5">IF(
    ISNUMBER(_xlfn.XMATCH(ROUND(FQ$6,0),ROUND($G$7:$G$59,0))),
    _xlfn.XLOOKUP(ROUND(FQ$6,0),ROUND($G$7:$G$59,0),$M$7:$M$59),
    EXP(
        LN(_xlfn.XLOOKUP(ROUND(FQ$6,0),ROUND($G$7:$G$59,0),$M$7:$M$59,,-1))
        +
        (
            LN(_xlfn.XLOOKUP(ROUND(FQ$6,0),ROUND($G$7:$G$59,0),$M$7:$M$59,,1))
            -LN(_xlfn.XLOOKUP(ROUND(FQ$6,0),ROUND($G$7:$G$59,0),$M$7:$M$59,,-1))
        )
        *
        (ROUND(FQ$6,0)-_xlfn.XLOOKUP(ROUND(FQ$6,0),ROUND($G$7:$G$59,0),ROUND($G$7:$G$59,0),,-1))
        /
        (
            _xlfn.XLOOKUP(ROUND(FQ$6,0),ROUND($G$7:$G$59,0),ROUND($G$7:$G$59,0),,1)
            -_xlfn.XLOOKUP(ROUND(FQ$6,0),ROUND($G$7:$G$59,0),ROUND($G$7:$G$59,0),,-1)
        )
    )
)</f>
        <v>0.22573934772966511</v>
      </c>
      <c r="FR5" s="24" cm="1">
        <f t="array" ref="FR5">IF(
    ISNUMBER(_xlfn.XMATCH(ROUND(FR$6,0),ROUND($G$7:$G$59,0))),
    _xlfn.XLOOKUP(ROUND(FR$6,0),ROUND($G$7:$G$59,0),$M$7:$M$59),
    EXP(
        LN(_xlfn.XLOOKUP(ROUND(FR$6,0),ROUND($G$7:$G$59,0),$M$7:$M$59,,-1))
        +
        (
            LN(_xlfn.XLOOKUP(ROUND(FR$6,0),ROUND($G$7:$G$59,0),$M$7:$M$59,,1))
            -LN(_xlfn.XLOOKUP(ROUND(FR$6,0),ROUND($G$7:$G$59,0),$M$7:$M$59,,-1))
        )
        *
        (ROUND(FR$6,0)-_xlfn.XLOOKUP(ROUND(FR$6,0),ROUND($G$7:$G$59,0),ROUND($G$7:$G$59,0),,-1))
        /
        (
            _xlfn.XLOOKUP(ROUND(FR$6,0),ROUND($G$7:$G$59,0),ROUND($G$7:$G$59,0),,1)
            -_xlfn.XLOOKUP(ROUND(FR$6,0),ROUND($G$7:$G$59,0),ROUND($G$7:$G$59,0),,-1)
        )
    )
)</f>
        <v>0.22358838477102763</v>
      </c>
      <c r="FS5" s="24" cm="1">
        <f t="array" ref="FS5">IF(
    ISNUMBER(_xlfn.XMATCH(ROUND(FS$6,0),ROUND($G$7:$G$59,0))),
    _xlfn.XLOOKUP(ROUND(FS$6,0),ROUND($G$7:$G$59,0),$M$7:$M$59),
    EXP(
        LN(_xlfn.XLOOKUP(ROUND(FS$6,0),ROUND($G$7:$G$59,0),$M$7:$M$59,,-1))
        +
        (
            LN(_xlfn.XLOOKUP(ROUND(FS$6,0),ROUND($G$7:$G$59,0),$M$7:$M$59,,1))
            -LN(_xlfn.XLOOKUP(ROUND(FS$6,0),ROUND($G$7:$G$59,0),$M$7:$M$59,,-1))
        )
        *
        (ROUND(FS$6,0)-_xlfn.XLOOKUP(ROUND(FS$6,0),ROUND($G$7:$G$59,0),ROUND($G$7:$G$59,0),,-1))
        /
        (
            _xlfn.XLOOKUP(ROUND(FS$6,0),ROUND($G$7:$G$59,0),ROUND($G$7:$G$59,0),,1)
            -_xlfn.XLOOKUP(ROUND(FS$6,0),ROUND($G$7:$G$59,0),ROUND($G$7:$G$59,0),,-1)
        )
    )
)</f>
        <v>0.22145791731614684</v>
      </c>
      <c r="FT5" s="24" cm="1">
        <f t="array" ref="FT5">IF(
    ISNUMBER(_xlfn.XMATCH(ROUND(FT$6,0),ROUND($G$7:$G$59,0))),
    _xlfn.XLOOKUP(ROUND(FT$6,0),ROUND($G$7:$G$59,0),$M$7:$M$59),
    EXP(
        LN(_xlfn.XLOOKUP(ROUND(FT$6,0),ROUND($G$7:$G$59,0),$M$7:$M$59,,-1))
        +
        (
            LN(_xlfn.XLOOKUP(ROUND(FT$6,0),ROUND($G$7:$G$59,0),$M$7:$M$59,,1))
            -LN(_xlfn.XLOOKUP(ROUND(FT$6,0),ROUND($G$7:$G$59,0),$M$7:$M$59,,-1))
        )
        *
        (ROUND(FT$6,0)-_xlfn.XLOOKUP(ROUND(FT$6,0),ROUND($G$7:$G$59,0),ROUND($G$7:$G$59,0),,-1))
        /
        (
            _xlfn.XLOOKUP(ROUND(FT$6,0),ROUND($G$7:$G$59,0),ROUND($G$7:$G$59,0),,1)
            -_xlfn.XLOOKUP(ROUND(FT$6,0),ROUND($G$7:$G$59,0),ROUND($G$7:$G$59,0),,-1)
        )
    )
)</f>
        <v>0.21934775007310822</v>
      </c>
      <c r="FU5" s="24" cm="1">
        <f t="array" ref="FU5">IF(
    ISNUMBER(_xlfn.XMATCH(ROUND(FU$6,0),ROUND($G$7:$G$59,0))),
    _xlfn.XLOOKUP(ROUND(FU$6,0),ROUND($G$7:$G$59,0),$M$7:$M$59),
    EXP(
        LN(_xlfn.XLOOKUP(ROUND(FU$6,0),ROUND($G$7:$G$59,0),$M$7:$M$59,,-1))
        +
        (
            LN(_xlfn.XLOOKUP(ROUND(FU$6,0),ROUND($G$7:$G$59,0),$M$7:$M$59,,1))
            -LN(_xlfn.XLOOKUP(ROUND(FU$6,0),ROUND($G$7:$G$59,0),$M$7:$M$59,,-1))
        )
        *
        (ROUND(FU$6,0)-_xlfn.XLOOKUP(ROUND(FU$6,0),ROUND($G$7:$G$59,0),ROUND($G$7:$G$59,0),,-1))
        /
        (
            _xlfn.XLOOKUP(ROUND(FU$6,0),ROUND($G$7:$G$59,0),ROUND($G$7:$G$59,0),,1)
            -_xlfn.XLOOKUP(ROUND(FU$6,0),ROUND($G$7:$G$59,0),ROUND($G$7:$G$59,0),,-1)
        )
    )
)</f>
        <v>0.21725768961084116</v>
      </c>
      <c r="FV5" s="24" cm="1">
        <f t="array" ref="FV5">IF(
    ISNUMBER(_xlfn.XMATCH(ROUND(FV$6,0),ROUND($G$7:$G$59,0))),
    _xlfn.XLOOKUP(ROUND(FV$6,0),ROUND($G$7:$G$59,0),$M$7:$M$59),
    EXP(
        LN(_xlfn.XLOOKUP(ROUND(FV$6,0),ROUND($G$7:$G$59,0),$M$7:$M$59,,-1))
        +
        (
            LN(_xlfn.XLOOKUP(ROUND(FV$6,0),ROUND($G$7:$G$59,0),$M$7:$M$59,,1))
            -LN(_xlfn.XLOOKUP(ROUND(FV$6,0),ROUND($G$7:$G$59,0),$M$7:$M$59,,-1))
        )
        *
        (ROUND(FV$6,0)-_xlfn.XLOOKUP(ROUND(FV$6,0),ROUND($G$7:$G$59,0),ROUND($G$7:$G$59,0),,-1))
        /
        (
            _xlfn.XLOOKUP(ROUND(FV$6,0),ROUND($G$7:$G$59,0),ROUND($G$7:$G$59,0),,1)
            -_xlfn.XLOOKUP(ROUND(FV$6,0),ROUND($G$7:$G$59,0),ROUND($G$7:$G$59,0),,-1)
        )
    )
)</f>
        <v>0.21518754434138765</v>
      </c>
      <c r="FW5" s="24" cm="1">
        <f t="array" ref="FW5">IF(
    ISNUMBER(_xlfn.XMATCH(ROUND(FW$6,0),ROUND($G$7:$G$59,0))),
    _xlfn.XLOOKUP(ROUND(FW$6,0),ROUND($G$7:$G$59,0),$M$7:$M$59),
    EXP(
        LN(_xlfn.XLOOKUP(ROUND(FW$6,0),ROUND($G$7:$G$59,0),$M$7:$M$59,,-1))
        +
        (
            LN(_xlfn.XLOOKUP(ROUND(FW$6,0),ROUND($G$7:$G$59,0),$M$7:$M$59,,1))
            -LN(_xlfn.XLOOKUP(ROUND(FW$6,0),ROUND($G$7:$G$59,0),$M$7:$M$59,,-1))
        )
        *
        (ROUND(FW$6,0)-_xlfn.XLOOKUP(ROUND(FW$6,0),ROUND($G$7:$G$59,0),ROUND($G$7:$G$59,0),,-1))
        /
        (
            _xlfn.XLOOKUP(ROUND(FW$6,0),ROUND($G$7:$G$59,0),ROUND($G$7:$G$59,0),,1)
            -_xlfn.XLOOKUP(ROUND(FW$6,0),ROUND($G$7:$G$59,0),ROUND($G$7:$G$59,0),,-1)
        )
    )
)</f>
        <v>0.21313712450234046</v>
      </c>
      <c r="FX5" s="24" cm="1">
        <f t="array" ref="FX5">IF(
    ISNUMBER(_xlfn.XMATCH(ROUND(FX$6,0),ROUND($G$7:$G$59,0))),
    _xlfn.XLOOKUP(ROUND(FX$6,0),ROUND($G$7:$G$59,0),$M$7:$M$59),
    EXP(
        LN(_xlfn.XLOOKUP(ROUND(FX$6,0),ROUND($G$7:$G$59,0),$M$7:$M$59,,-1))
        +
        (
            LN(_xlfn.XLOOKUP(ROUND(FX$6,0),ROUND($G$7:$G$59,0),$M$7:$M$59,,1))
            -LN(_xlfn.XLOOKUP(ROUND(FX$6,0),ROUND($G$7:$G$59,0),$M$7:$M$59,,-1))
        )
        *
        (ROUND(FX$6,0)-_xlfn.XLOOKUP(ROUND(FX$6,0),ROUND($G$7:$G$59,0),ROUND($G$7:$G$59,0),,-1))
        /
        (
            _xlfn.XLOOKUP(ROUND(FX$6,0),ROUND($G$7:$G$59,0),ROUND($G$7:$G$59,0),,1)
            -_xlfn.XLOOKUP(ROUND(FX$6,0),ROUND($G$7:$G$59,0),ROUND($G$7:$G$59,0),,-1)
        )
    )
)</f>
        <v>0.2111062421394479</v>
      </c>
      <c r="FY5" s="24" cm="1">
        <f t="array" ref="FY5">IF(
    ISNUMBER(_xlfn.XMATCH(ROUND(FY$6,0),ROUND($G$7:$G$59,0))),
    _xlfn.XLOOKUP(ROUND(FY$6,0),ROUND($G$7:$G$59,0),$M$7:$M$59),
    EXP(
        LN(_xlfn.XLOOKUP(ROUND(FY$6,0),ROUND($G$7:$G$59,0),$M$7:$M$59,,-1))
        +
        (
            LN(_xlfn.XLOOKUP(ROUND(FY$6,0),ROUND($G$7:$G$59,0),$M$7:$M$59,,1))
            -LN(_xlfn.XLOOKUP(ROUND(FY$6,0),ROUND($G$7:$G$59,0),$M$7:$M$59,,-1))
        )
        *
        (ROUND(FY$6,0)-_xlfn.XLOOKUP(ROUND(FY$6,0),ROUND($G$7:$G$59,0),ROUND($G$7:$G$59,0),,-1))
        /
        (
            _xlfn.XLOOKUP(ROUND(FY$6,0),ROUND($G$7:$G$59,0),ROUND($G$7:$G$59,0),,1)
            -_xlfn.XLOOKUP(ROUND(FY$6,0),ROUND($G$7:$G$59,0),ROUND($G$7:$G$59,0),,-1)
        )
    )
)</f>
        <v>0.20909471108938521</v>
      </c>
      <c r="FZ5" s="24" cm="1">
        <f t="array" ref="FZ5">IF(
    ISNUMBER(_xlfn.XMATCH(ROUND(FZ$6,0),ROUND($G$7:$G$59,0))),
    _xlfn.XLOOKUP(ROUND(FZ$6,0),ROUND($G$7:$G$59,0),$M$7:$M$59),
    EXP(
        LN(_xlfn.XLOOKUP(ROUND(FZ$6,0),ROUND($G$7:$G$59,0),$M$7:$M$59,,-1))
        +
        (
            LN(_xlfn.XLOOKUP(ROUND(FZ$6,0),ROUND($G$7:$G$59,0),$M$7:$M$59,,1))
            -LN(_xlfn.XLOOKUP(ROUND(FZ$6,0),ROUND($G$7:$G$59,0),$M$7:$M$59,,-1))
        )
        *
        (ROUND(FZ$6,0)-_xlfn.XLOOKUP(ROUND(FZ$6,0),ROUND($G$7:$G$59,0),ROUND($G$7:$G$59,0),,-1))
        /
        (
            _xlfn.XLOOKUP(ROUND(FZ$6,0),ROUND($G$7:$G$59,0),ROUND($G$7:$G$59,0),,1)
            -_xlfn.XLOOKUP(ROUND(FZ$6,0),ROUND($G$7:$G$59,0),ROUND($G$7:$G$59,0),,-1)
        )
    )
)</f>
        <v>0.20710234696268953</v>
      </c>
      <c r="GA5" s="24" cm="1">
        <f t="array" ref="GA5">IF(
    ISNUMBER(_xlfn.XMATCH(ROUND(GA$6,0),ROUND($G$7:$G$59,0))),
    _xlfn.XLOOKUP(ROUND(GA$6,0),ROUND($G$7:$G$59,0),$M$7:$M$59),
    EXP(
        LN(_xlfn.XLOOKUP(ROUND(GA$6,0),ROUND($G$7:$G$59,0),$M$7:$M$59,,-1))
        +
        (
            LN(_xlfn.XLOOKUP(ROUND(GA$6,0),ROUND($G$7:$G$59,0),$M$7:$M$59,,1))
            -LN(_xlfn.XLOOKUP(ROUND(GA$6,0),ROUND($G$7:$G$59,0),$M$7:$M$59,,-1))
        )
        *
        (ROUND(GA$6,0)-_xlfn.XLOOKUP(ROUND(GA$6,0),ROUND($G$7:$G$59,0),ROUND($G$7:$G$59,0),,-1))
        /
        (
            _xlfn.XLOOKUP(ROUND(GA$6,0),ROUND($G$7:$G$59,0),ROUND($G$7:$G$59,0),,1)
            -_xlfn.XLOOKUP(ROUND(GA$6,0),ROUND($G$7:$G$59,0),ROUND($G$7:$G$59,0),,-1)
        )
    )
)</f>
        <v>0.2051289671268573</v>
      </c>
      <c r="GB5" s="24" cm="1">
        <f t="array" ref="GB5">IF(
    ISNUMBER(_xlfn.XMATCH(ROUND(GB$6,0),ROUND($G$7:$G$59,0))),
    _xlfn.XLOOKUP(ROUND(GB$6,0),ROUND($G$7:$G$59,0),$M$7:$M$59),
    EXP(
        LN(_xlfn.XLOOKUP(ROUND(GB$6,0),ROUND($G$7:$G$59,0),$M$7:$M$59,,-1))
        +
        (
            LN(_xlfn.XLOOKUP(ROUND(GB$6,0),ROUND($G$7:$G$59,0),$M$7:$M$59,,1))
            -LN(_xlfn.XLOOKUP(ROUND(GB$6,0),ROUND($G$7:$G$59,0),$M$7:$M$59,,-1))
        )
        *
        (ROUND(GB$6,0)-_xlfn.XLOOKUP(ROUND(GB$6,0),ROUND($G$7:$G$59,0),ROUND($G$7:$G$59,0),,-1))
        /
        (
            _xlfn.XLOOKUP(ROUND(GB$6,0),ROUND($G$7:$G$59,0),ROUND($G$7:$G$59,0),,1)
            -_xlfn.XLOOKUP(ROUND(GB$6,0),ROUND($G$7:$G$59,0),ROUND($G$7:$G$59,0),,-1)
        )
    )
)</f>
        <v>0.20317439068960355</v>
      </c>
      <c r="GC5" s="24" cm="1">
        <f t="array" ref="GC5">IF(
    ISNUMBER(_xlfn.XMATCH(ROUND(GC$6,0),ROUND($G$7:$G$59,0))),
    _xlfn.XLOOKUP(ROUND(GC$6,0),ROUND($G$7:$G$59,0),$M$7:$M$59),
    EXP(
        LN(_xlfn.XLOOKUP(ROUND(GC$6,0),ROUND($G$7:$G$59,0),$M$7:$M$59,,-1))
        +
        (
            LN(_xlfn.XLOOKUP(ROUND(GC$6,0),ROUND($G$7:$G$59,0),$M$7:$M$59,,1))
            -LN(_xlfn.XLOOKUP(ROUND(GC$6,0),ROUND($G$7:$G$59,0),$M$7:$M$59,,-1))
        )
        *
        (ROUND(GC$6,0)-_xlfn.XLOOKUP(ROUND(GC$6,0),ROUND($G$7:$G$59,0),ROUND($G$7:$G$59,0),,-1))
        /
        (
            _xlfn.XLOOKUP(ROUND(GC$6,0),ROUND($G$7:$G$59,0),ROUND($G$7:$G$59,0),,1)
            -_xlfn.XLOOKUP(ROUND(GC$6,0),ROUND($G$7:$G$59,0),ROUND($G$7:$G$59,0),,-1)
        )
    )
)</f>
        <v>0.20123843848227974</v>
      </c>
      <c r="GD5" s="24" cm="1">
        <f t="array" ref="GD5">IF(
    ISNUMBER(_xlfn.XMATCH(ROUND(GD$6,0),ROUND($G$7:$G$59,0))),
    _xlfn.XLOOKUP(ROUND(GD$6,0),ROUND($G$7:$G$59,0),$M$7:$M$59),
    EXP(
        LN(_xlfn.XLOOKUP(ROUND(GD$6,0),ROUND($G$7:$G$59,0),$M$7:$M$59,,-1))
        +
        (
            LN(_xlfn.XLOOKUP(ROUND(GD$6,0),ROUND($G$7:$G$59,0),$M$7:$M$59,,1))
            -LN(_xlfn.XLOOKUP(ROUND(GD$6,0),ROUND($G$7:$G$59,0),$M$7:$M$59,,-1))
        )
        *
        (ROUND(GD$6,0)-_xlfn.XLOOKUP(ROUND(GD$6,0),ROUND($G$7:$G$59,0),ROUND($G$7:$G$59,0),,-1))
        /
        (
            _xlfn.XLOOKUP(ROUND(GD$6,0),ROUND($G$7:$G$59,0),ROUND($G$7:$G$59,0),,1)
            -_xlfn.XLOOKUP(ROUND(GD$6,0),ROUND($G$7:$G$59,0),ROUND($G$7:$G$59,0),,-1)
        )
    )
)</f>
        <v>0.1993209330434503</v>
      </c>
      <c r="GE5" s="24" cm="1">
        <f t="array" ref="GE5">IF(
    ISNUMBER(_xlfn.XMATCH(ROUND(GE$6,0),ROUND($G$7:$G$59,0))),
    _xlfn.XLOOKUP(ROUND(GE$6,0),ROUND($G$7:$G$59,0),$M$7:$M$59),
    EXP(
        LN(_xlfn.XLOOKUP(ROUND(GE$6,0),ROUND($G$7:$G$59,0),$M$7:$M$59,,-1))
        +
        (
            LN(_xlfn.XLOOKUP(ROUND(GE$6,0),ROUND($G$7:$G$59,0),$M$7:$M$59,,1))
            -LN(_xlfn.XLOOKUP(ROUND(GE$6,0),ROUND($G$7:$G$59,0),$M$7:$M$59,,-1))
        )
        *
        (ROUND(GE$6,0)-_xlfn.XLOOKUP(ROUND(GE$6,0),ROUND($G$7:$G$59,0),ROUND($G$7:$G$59,0),,-1))
        /
        (
            _xlfn.XLOOKUP(ROUND(GE$6,0),ROUND($G$7:$G$59,0),ROUND($G$7:$G$59,0),,1)
            -_xlfn.XLOOKUP(ROUND(GE$6,0),ROUND($G$7:$G$59,0),ROUND($G$7:$G$59,0),,-1)
        )
    )
)</f>
        <v>0.19742169860262543</v>
      </c>
      <c r="GF5" s="24" cm="1">
        <f t="array" ref="GF5">IF(
    ISNUMBER(_xlfn.XMATCH(ROUND(GF$6,0),ROUND($G$7:$G$59,0))),
    _xlfn.XLOOKUP(ROUND(GF$6,0),ROUND($G$7:$G$59,0),$M$7:$M$59),
    EXP(
        LN(_xlfn.XLOOKUP(ROUND(GF$6,0),ROUND($G$7:$G$59,0),$M$7:$M$59,,-1))
        +
        (
            LN(_xlfn.XLOOKUP(ROUND(GF$6,0),ROUND($G$7:$G$59,0),$M$7:$M$59,,1))
            -LN(_xlfn.XLOOKUP(ROUND(GF$6,0),ROUND($G$7:$G$59,0),$M$7:$M$59,,-1))
        )
        *
        (ROUND(GF$6,0)-_xlfn.XLOOKUP(ROUND(GF$6,0),ROUND($G$7:$G$59,0),ROUND($G$7:$G$59,0),,-1))
        /
        (
            _xlfn.XLOOKUP(ROUND(GF$6,0),ROUND($G$7:$G$59,0),ROUND($G$7:$G$59,0),,1)
            -_xlfn.XLOOKUP(ROUND(GF$6,0),ROUND($G$7:$G$59,0),ROUND($G$7:$G$59,0),,-1)
        )
    )
)</f>
        <v>0.1955405610641486</v>
      </c>
      <c r="GG5" s="24" cm="1">
        <f t="array" ref="GG5">IF(
    ISNUMBER(_xlfn.XMATCH(ROUND(GG$6,0),ROUND($G$7:$G$59,0))),
    _xlfn.XLOOKUP(ROUND(GG$6,0),ROUND($G$7:$G$59,0),$M$7:$M$59),
    EXP(
        LN(_xlfn.XLOOKUP(ROUND(GG$6,0),ROUND($G$7:$G$59,0),$M$7:$M$59,,-1))
        +
        (
            LN(_xlfn.XLOOKUP(ROUND(GG$6,0),ROUND($G$7:$G$59,0),$M$7:$M$59,,1))
            -LN(_xlfn.XLOOKUP(ROUND(GG$6,0),ROUND($G$7:$G$59,0),$M$7:$M$59,,-1))
        )
        *
        (ROUND(GG$6,0)-_xlfn.XLOOKUP(ROUND(GG$6,0),ROUND($G$7:$G$59,0),ROUND($G$7:$G$59,0),,-1))
        /
        (
            _xlfn.XLOOKUP(ROUND(GG$6,0),ROUND($G$7:$G$59,0),ROUND($G$7:$G$59,0),,1)
            -_xlfn.XLOOKUP(ROUND(GG$6,0),ROUND($G$7:$G$59,0),ROUND($G$7:$G$59,0),,-1)
        )
    )
)</f>
        <v>0.19367734799123823</v>
      </c>
      <c r="GH5" s="24" cm="1">
        <f t="array" ref="GH5">IF(
    ISNUMBER(_xlfn.XMATCH(ROUND(GH$6,0),ROUND($G$7:$G$59,0))),
    _xlfn.XLOOKUP(ROUND(GH$6,0),ROUND($G$7:$G$59,0),$M$7:$M$59),
    EXP(
        LN(_xlfn.XLOOKUP(ROUND(GH$6,0),ROUND($G$7:$G$59,0),$M$7:$M$59,,-1))
        +
        (
            LN(_xlfn.XLOOKUP(ROUND(GH$6,0),ROUND($G$7:$G$59,0),$M$7:$M$59,,1))
            -LN(_xlfn.XLOOKUP(ROUND(GH$6,0),ROUND($G$7:$G$59,0),$M$7:$M$59,,-1))
        )
        *
        (ROUND(GH$6,0)-_xlfn.XLOOKUP(ROUND(GH$6,0),ROUND($G$7:$G$59,0),ROUND($G$7:$G$59,0),,-1))
        /
        (
            _xlfn.XLOOKUP(ROUND(GH$6,0),ROUND($G$7:$G$59,0),ROUND($G$7:$G$59,0),,1)
            -_xlfn.XLOOKUP(ROUND(GH$6,0),ROUND($G$7:$G$59,0),ROUND($G$7:$G$59,0),,-1)
        )
    )
)</f>
        <v>0.19183188859018074</v>
      </c>
    </row>
    <row r="6" spans="1:190" ht="14.5" thickBot="1">
      <c r="B6" s="25" t="s">
        <v>201</v>
      </c>
      <c r="C6" s="25" t="s">
        <v>202</v>
      </c>
      <c r="D6" s="25" t="s">
        <v>203</v>
      </c>
      <c r="E6" s="25" t="s">
        <v>204</v>
      </c>
      <c r="F6" s="25" t="s">
        <v>205</v>
      </c>
      <c r="G6" s="25" t="s">
        <v>181</v>
      </c>
      <c r="H6" s="25" t="s">
        <v>52</v>
      </c>
      <c r="I6" s="25" t="s">
        <v>206</v>
      </c>
      <c r="J6" s="25" t="s">
        <v>183</v>
      </c>
      <c r="K6" s="25" t="s">
        <v>207</v>
      </c>
      <c r="L6" s="25" t="s">
        <v>182</v>
      </c>
      <c r="M6" s="25" t="s">
        <v>208</v>
      </c>
      <c r="N6" s="25" t="s">
        <v>209</v>
      </c>
      <c r="O6" s="25" t="s">
        <v>210</v>
      </c>
      <c r="P6" s="25" t="s">
        <v>211</v>
      </c>
      <c r="Q6" s="26"/>
      <c r="R6" s="27" t="s">
        <v>52</v>
      </c>
      <c r="S6" s="28">
        <f>2</f>
        <v>2</v>
      </c>
      <c r="T6" s="28">
        <f>S6+3</f>
        <v>5</v>
      </c>
      <c r="U6" s="28">
        <f t="shared" ref="U6:CF6" si="0">T6+3</f>
        <v>8</v>
      </c>
      <c r="V6" s="28">
        <f t="shared" si="0"/>
        <v>11</v>
      </c>
      <c r="W6" s="28">
        <f t="shared" si="0"/>
        <v>14</v>
      </c>
      <c r="X6" s="28">
        <f t="shared" si="0"/>
        <v>17</v>
      </c>
      <c r="Y6" s="28">
        <f t="shared" si="0"/>
        <v>20</v>
      </c>
      <c r="Z6" s="28">
        <f t="shared" si="0"/>
        <v>23</v>
      </c>
      <c r="AA6" s="28">
        <f t="shared" si="0"/>
        <v>26</v>
      </c>
      <c r="AB6" s="28">
        <f t="shared" si="0"/>
        <v>29</v>
      </c>
      <c r="AC6" s="28">
        <f t="shared" si="0"/>
        <v>32</v>
      </c>
      <c r="AD6" s="28">
        <f t="shared" si="0"/>
        <v>35</v>
      </c>
      <c r="AE6" s="28">
        <f t="shared" si="0"/>
        <v>38</v>
      </c>
      <c r="AF6" s="28">
        <f t="shared" si="0"/>
        <v>41</v>
      </c>
      <c r="AG6" s="28">
        <f t="shared" si="0"/>
        <v>44</v>
      </c>
      <c r="AH6" s="28">
        <f t="shared" si="0"/>
        <v>47</v>
      </c>
      <c r="AI6" s="28">
        <f t="shared" si="0"/>
        <v>50</v>
      </c>
      <c r="AJ6" s="28">
        <f t="shared" si="0"/>
        <v>53</v>
      </c>
      <c r="AK6" s="28">
        <f t="shared" si="0"/>
        <v>56</v>
      </c>
      <c r="AL6" s="28">
        <f t="shared" si="0"/>
        <v>59</v>
      </c>
      <c r="AM6" s="28">
        <f t="shared" si="0"/>
        <v>62</v>
      </c>
      <c r="AN6" s="28">
        <f t="shared" si="0"/>
        <v>65</v>
      </c>
      <c r="AO6" s="28">
        <f t="shared" si="0"/>
        <v>68</v>
      </c>
      <c r="AP6" s="28">
        <f t="shared" si="0"/>
        <v>71</v>
      </c>
      <c r="AQ6" s="28">
        <f t="shared" si="0"/>
        <v>74</v>
      </c>
      <c r="AR6" s="28">
        <f t="shared" si="0"/>
        <v>77</v>
      </c>
      <c r="AS6" s="28">
        <f t="shared" si="0"/>
        <v>80</v>
      </c>
      <c r="AT6" s="28">
        <f t="shared" si="0"/>
        <v>83</v>
      </c>
      <c r="AU6" s="28">
        <f t="shared" si="0"/>
        <v>86</v>
      </c>
      <c r="AV6" s="28">
        <f t="shared" si="0"/>
        <v>89</v>
      </c>
      <c r="AW6" s="28">
        <f t="shared" si="0"/>
        <v>92</v>
      </c>
      <c r="AX6" s="28">
        <f t="shared" si="0"/>
        <v>95</v>
      </c>
      <c r="AY6" s="28">
        <f t="shared" si="0"/>
        <v>98</v>
      </c>
      <c r="AZ6" s="28">
        <f t="shared" si="0"/>
        <v>101</v>
      </c>
      <c r="BA6" s="28">
        <f t="shared" si="0"/>
        <v>104</v>
      </c>
      <c r="BB6" s="28">
        <f t="shared" si="0"/>
        <v>107</v>
      </c>
      <c r="BC6" s="28">
        <f t="shared" si="0"/>
        <v>110</v>
      </c>
      <c r="BD6" s="28">
        <f t="shared" si="0"/>
        <v>113</v>
      </c>
      <c r="BE6" s="28">
        <f t="shared" si="0"/>
        <v>116</v>
      </c>
      <c r="BF6" s="28">
        <f t="shared" si="0"/>
        <v>119</v>
      </c>
      <c r="BG6" s="28">
        <f t="shared" si="0"/>
        <v>122</v>
      </c>
      <c r="BH6" s="28">
        <f t="shared" si="0"/>
        <v>125</v>
      </c>
      <c r="BI6" s="28">
        <f t="shared" si="0"/>
        <v>128</v>
      </c>
      <c r="BJ6" s="28">
        <f t="shared" si="0"/>
        <v>131</v>
      </c>
      <c r="BK6" s="28">
        <f t="shared" si="0"/>
        <v>134</v>
      </c>
      <c r="BL6" s="28">
        <f t="shared" si="0"/>
        <v>137</v>
      </c>
      <c r="BM6" s="28">
        <f t="shared" si="0"/>
        <v>140</v>
      </c>
      <c r="BN6" s="28">
        <f t="shared" si="0"/>
        <v>143</v>
      </c>
      <c r="BO6" s="28">
        <f t="shared" si="0"/>
        <v>146</v>
      </c>
      <c r="BP6" s="28">
        <f t="shared" si="0"/>
        <v>149</v>
      </c>
      <c r="BQ6" s="28">
        <f t="shared" si="0"/>
        <v>152</v>
      </c>
      <c r="BR6" s="28">
        <f t="shared" si="0"/>
        <v>155</v>
      </c>
      <c r="BS6" s="29">
        <f t="shared" si="0"/>
        <v>158</v>
      </c>
      <c r="BT6" s="27">
        <f t="shared" si="0"/>
        <v>161</v>
      </c>
      <c r="BU6" s="27">
        <f t="shared" si="0"/>
        <v>164</v>
      </c>
      <c r="BV6" s="27">
        <f t="shared" si="0"/>
        <v>167</v>
      </c>
      <c r="BW6" s="27">
        <f t="shared" si="0"/>
        <v>170</v>
      </c>
      <c r="BX6" s="27">
        <f t="shared" si="0"/>
        <v>173</v>
      </c>
      <c r="BY6" s="27">
        <f t="shared" si="0"/>
        <v>176</v>
      </c>
      <c r="BZ6" s="27">
        <f t="shared" si="0"/>
        <v>179</v>
      </c>
      <c r="CA6" s="27">
        <f t="shared" si="0"/>
        <v>182</v>
      </c>
      <c r="CB6" s="27">
        <f t="shared" si="0"/>
        <v>185</v>
      </c>
      <c r="CC6" s="27">
        <f t="shared" si="0"/>
        <v>188</v>
      </c>
      <c r="CD6" s="27">
        <f t="shared" si="0"/>
        <v>191</v>
      </c>
      <c r="CE6" s="27">
        <f t="shared" si="0"/>
        <v>194</v>
      </c>
      <c r="CF6" s="27">
        <f t="shared" si="0"/>
        <v>197</v>
      </c>
      <c r="CG6" s="27">
        <f t="shared" ref="CG6:ER6" si="1">CF6+3</f>
        <v>200</v>
      </c>
      <c r="CH6" s="27">
        <f t="shared" si="1"/>
        <v>203</v>
      </c>
      <c r="CI6" s="27">
        <f t="shared" si="1"/>
        <v>206</v>
      </c>
      <c r="CJ6" s="27">
        <f t="shared" si="1"/>
        <v>209</v>
      </c>
      <c r="CK6" s="27">
        <f t="shared" si="1"/>
        <v>212</v>
      </c>
      <c r="CL6" s="27">
        <f t="shared" si="1"/>
        <v>215</v>
      </c>
      <c r="CM6" s="27">
        <f t="shared" si="1"/>
        <v>218</v>
      </c>
      <c r="CN6" s="27">
        <f t="shared" si="1"/>
        <v>221</v>
      </c>
      <c r="CO6" s="27">
        <f t="shared" si="1"/>
        <v>224</v>
      </c>
      <c r="CP6" s="27">
        <f t="shared" si="1"/>
        <v>227</v>
      </c>
      <c r="CQ6" s="27">
        <f t="shared" si="1"/>
        <v>230</v>
      </c>
      <c r="CR6" s="27">
        <f t="shared" si="1"/>
        <v>233</v>
      </c>
      <c r="CS6" s="27">
        <f t="shared" si="1"/>
        <v>236</v>
      </c>
      <c r="CT6" s="27">
        <f t="shared" si="1"/>
        <v>239</v>
      </c>
      <c r="CU6" s="27">
        <f t="shared" si="1"/>
        <v>242</v>
      </c>
      <c r="CV6" s="27">
        <f t="shared" si="1"/>
        <v>245</v>
      </c>
      <c r="CW6" s="27">
        <f t="shared" si="1"/>
        <v>248</v>
      </c>
      <c r="CX6" s="27">
        <f t="shared" si="1"/>
        <v>251</v>
      </c>
      <c r="CY6" s="27">
        <f t="shared" si="1"/>
        <v>254</v>
      </c>
      <c r="CZ6" s="27">
        <f t="shared" si="1"/>
        <v>257</v>
      </c>
      <c r="DA6" s="27">
        <f t="shared" si="1"/>
        <v>260</v>
      </c>
      <c r="DB6" s="27">
        <f t="shared" si="1"/>
        <v>263</v>
      </c>
      <c r="DC6" s="27">
        <f t="shared" si="1"/>
        <v>266</v>
      </c>
      <c r="DD6" s="27">
        <f t="shared" si="1"/>
        <v>269</v>
      </c>
      <c r="DE6" s="27">
        <f t="shared" si="1"/>
        <v>272</v>
      </c>
      <c r="DF6" s="27">
        <f t="shared" si="1"/>
        <v>275</v>
      </c>
      <c r="DG6" s="27">
        <f t="shared" si="1"/>
        <v>278</v>
      </c>
      <c r="DH6" s="27">
        <f t="shared" si="1"/>
        <v>281</v>
      </c>
      <c r="DI6" s="27">
        <f t="shared" si="1"/>
        <v>284</v>
      </c>
      <c r="DJ6" s="27">
        <f t="shared" si="1"/>
        <v>287</v>
      </c>
      <c r="DK6" s="27">
        <f t="shared" si="1"/>
        <v>290</v>
      </c>
      <c r="DL6" s="27">
        <f t="shared" si="1"/>
        <v>293</v>
      </c>
      <c r="DM6" s="27">
        <f t="shared" si="1"/>
        <v>296</v>
      </c>
      <c r="DN6" s="27">
        <f t="shared" si="1"/>
        <v>299</v>
      </c>
      <c r="DO6" s="27">
        <f t="shared" si="1"/>
        <v>302</v>
      </c>
      <c r="DP6" s="27">
        <f t="shared" si="1"/>
        <v>305</v>
      </c>
      <c r="DQ6" s="27">
        <f t="shared" si="1"/>
        <v>308</v>
      </c>
      <c r="DR6" s="27">
        <f t="shared" si="1"/>
        <v>311</v>
      </c>
      <c r="DS6" s="27">
        <f t="shared" si="1"/>
        <v>314</v>
      </c>
      <c r="DT6" s="27">
        <f t="shared" si="1"/>
        <v>317</v>
      </c>
      <c r="DU6" s="27">
        <f t="shared" si="1"/>
        <v>320</v>
      </c>
      <c r="DV6" s="27">
        <f t="shared" si="1"/>
        <v>323</v>
      </c>
      <c r="DW6" s="27">
        <f t="shared" si="1"/>
        <v>326</v>
      </c>
      <c r="DX6" s="27">
        <f t="shared" si="1"/>
        <v>329</v>
      </c>
      <c r="DY6" s="27">
        <f t="shared" si="1"/>
        <v>332</v>
      </c>
      <c r="DZ6" s="27">
        <f t="shared" si="1"/>
        <v>335</v>
      </c>
      <c r="EA6" s="27">
        <f t="shared" si="1"/>
        <v>338</v>
      </c>
      <c r="EB6" s="27">
        <f t="shared" si="1"/>
        <v>341</v>
      </c>
      <c r="EC6" s="27">
        <f t="shared" si="1"/>
        <v>344</v>
      </c>
      <c r="ED6" s="27">
        <f t="shared" si="1"/>
        <v>347</v>
      </c>
      <c r="EE6" s="27">
        <f t="shared" si="1"/>
        <v>350</v>
      </c>
      <c r="EF6" s="27">
        <f t="shared" si="1"/>
        <v>353</v>
      </c>
      <c r="EG6" s="27">
        <f t="shared" si="1"/>
        <v>356</v>
      </c>
      <c r="EH6" s="27">
        <f t="shared" si="1"/>
        <v>359</v>
      </c>
      <c r="EI6" s="27">
        <f t="shared" si="1"/>
        <v>362</v>
      </c>
      <c r="EJ6" s="27">
        <f t="shared" si="1"/>
        <v>365</v>
      </c>
      <c r="EK6" s="27">
        <f t="shared" si="1"/>
        <v>368</v>
      </c>
      <c r="EL6" s="27">
        <f t="shared" si="1"/>
        <v>371</v>
      </c>
      <c r="EM6" s="27">
        <f t="shared" si="1"/>
        <v>374</v>
      </c>
      <c r="EN6" s="27">
        <f t="shared" si="1"/>
        <v>377</v>
      </c>
      <c r="EO6" s="27">
        <f t="shared" si="1"/>
        <v>380</v>
      </c>
      <c r="EP6" s="27">
        <f t="shared" si="1"/>
        <v>383</v>
      </c>
      <c r="EQ6" s="27">
        <f t="shared" si="1"/>
        <v>386</v>
      </c>
      <c r="ER6" s="27">
        <f t="shared" si="1"/>
        <v>389</v>
      </c>
      <c r="ES6" s="27">
        <f t="shared" ref="ES6:GH6" si="2">ER6+3</f>
        <v>392</v>
      </c>
      <c r="ET6" s="27">
        <f t="shared" si="2"/>
        <v>395</v>
      </c>
      <c r="EU6" s="27">
        <f t="shared" si="2"/>
        <v>398</v>
      </c>
      <c r="EV6" s="27">
        <f t="shared" si="2"/>
        <v>401</v>
      </c>
      <c r="EW6" s="27">
        <f t="shared" si="2"/>
        <v>404</v>
      </c>
      <c r="EX6" s="27">
        <f t="shared" si="2"/>
        <v>407</v>
      </c>
      <c r="EY6" s="27">
        <f t="shared" si="2"/>
        <v>410</v>
      </c>
      <c r="EZ6" s="27">
        <f t="shared" si="2"/>
        <v>413</v>
      </c>
      <c r="FA6" s="27">
        <f t="shared" si="2"/>
        <v>416</v>
      </c>
      <c r="FB6" s="27">
        <f t="shared" si="2"/>
        <v>419</v>
      </c>
      <c r="FC6" s="27">
        <f t="shared" si="2"/>
        <v>422</v>
      </c>
      <c r="FD6" s="27">
        <f t="shared" si="2"/>
        <v>425</v>
      </c>
      <c r="FE6" s="27">
        <f t="shared" si="2"/>
        <v>428</v>
      </c>
      <c r="FF6" s="27">
        <f t="shared" si="2"/>
        <v>431</v>
      </c>
      <c r="FG6" s="27">
        <f t="shared" si="2"/>
        <v>434</v>
      </c>
      <c r="FH6" s="27">
        <f t="shared" si="2"/>
        <v>437</v>
      </c>
      <c r="FI6" s="27">
        <f t="shared" si="2"/>
        <v>440</v>
      </c>
      <c r="FJ6" s="27">
        <f t="shared" si="2"/>
        <v>443</v>
      </c>
      <c r="FK6" s="27">
        <f t="shared" si="2"/>
        <v>446</v>
      </c>
      <c r="FL6" s="27">
        <f t="shared" si="2"/>
        <v>449</v>
      </c>
      <c r="FM6" s="27">
        <f t="shared" si="2"/>
        <v>452</v>
      </c>
      <c r="FN6" s="27">
        <f t="shared" si="2"/>
        <v>455</v>
      </c>
      <c r="FO6" s="27">
        <f t="shared" si="2"/>
        <v>458</v>
      </c>
      <c r="FP6" s="27">
        <f t="shared" si="2"/>
        <v>461</v>
      </c>
      <c r="FQ6" s="27">
        <f t="shared" si="2"/>
        <v>464</v>
      </c>
      <c r="FR6" s="27">
        <f t="shared" si="2"/>
        <v>467</v>
      </c>
      <c r="FS6" s="27">
        <f t="shared" si="2"/>
        <v>470</v>
      </c>
      <c r="FT6" s="27">
        <f t="shared" si="2"/>
        <v>473</v>
      </c>
      <c r="FU6" s="27">
        <f t="shared" si="2"/>
        <v>476</v>
      </c>
      <c r="FV6" s="27">
        <f t="shared" si="2"/>
        <v>479</v>
      </c>
      <c r="FW6" s="27">
        <f t="shared" si="2"/>
        <v>482</v>
      </c>
      <c r="FX6" s="27">
        <f t="shared" si="2"/>
        <v>485</v>
      </c>
      <c r="FY6" s="27">
        <f t="shared" si="2"/>
        <v>488</v>
      </c>
      <c r="FZ6" s="27">
        <f t="shared" si="2"/>
        <v>491</v>
      </c>
      <c r="GA6" s="27">
        <f t="shared" si="2"/>
        <v>494</v>
      </c>
      <c r="GB6" s="27">
        <f t="shared" si="2"/>
        <v>497</v>
      </c>
      <c r="GC6" s="27">
        <f t="shared" si="2"/>
        <v>500</v>
      </c>
      <c r="GD6" s="27">
        <f t="shared" si="2"/>
        <v>503</v>
      </c>
      <c r="GE6" s="27">
        <f t="shared" si="2"/>
        <v>506</v>
      </c>
      <c r="GF6" s="27">
        <f t="shared" si="2"/>
        <v>509</v>
      </c>
      <c r="GG6" s="27">
        <f t="shared" si="2"/>
        <v>512</v>
      </c>
      <c r="GH6" s="27">
        <f t="shared" si="2"/>
        <v>515</v>
      </c>
    </row>
    <row r="7" spans="1:190" ht="14.5" thickBot="1">
      <c r="B7" s="30" t="s">
        <v>212</v>
      </c>
      <c r="C7" s="31">
        <v>44175</v>
      </c>
      <c r="D7" s="31">
        <v>45270</v>
      </c>
      <c r="E7" s="32">
        <v>0.875</v>
      </c>
      <c r="F7" s="33" t="s">
        <v>0</v>
      </c>
      <c r="G7" s="34">
        <v>2.4700000000000002</v>
      </c>
      <c r="H7" s="34">
        <v>75</v>
      </c>
      <c r="I7" s="32">
        <v>3.3959999999999999</v>
      </c>
      <c r="J7" s="35">
        <v>9975.24</v>
      </c>
      <c r="K7" s="36">
        <v>0</v>
      </c>
      <c r="L7" s="37">
        <f t="shared" ref="L7:L38" si="3">J7+K7</f>
        <v>9975.24</v>
      </c>
      <c r="M7" s="119">
        <v>0.99317880881580511</v>
      </c>
      <c r="N7" s="38">
        <f t="shared" ref="N7:N38" si="4">-LN(M7)/(H7/365)</f>
        <v>3.3310200986706597E-2</v>
      </c>
      <c r="O7" s="99">
        <f t="shared" ref="O7:O38" si="5">SUMPRODUCT($S$5:$GH$5,S7:GH7)</f>
        <v>9975.2396610437427</v>
      </c>
      <c r="P7" s="39">
        <f t="shared" ref="P7:P38" si="6">O7-L7</f>
        <v>-3.3895625711011235E-4</v>
      </c>
      <c r="Q7" s="40"/>
      <c r="R7" s="41">
        <f>2</f>
        <v>2</v>
      </c>
      <c r="S7" s="42">
        <f>IF(
    S$6=$R7,
    10000+10000*$E7/200,
    IF(
        AND(S$6&lt;$R7,MOD($R7-S$6,6)=0),
        10000*$E7/200,
        0
    )
)</f>
        <v>10043.75</v>
      </c>
      <c r="T7" s="42">
        <f t="shared" ref="T7:CE8" si="7">IF(
    T$6=$R7,
    10000+10000*$E7/200,
    IF(
        AND(T$6&lt;$R7,MOD($R7-T$6,6)=0),
        10000*$E7/200,
        0
    )
)</f>
        <v>0</v>
      </c>
      <c r="U7" s="42">
        <f t="shared" si="7"/>
        <v>0</v>
      </c>
      <c r="V7" s="42">
        <f t="shared" si="7"/>
        <v>0</v>
      </c>
      <c r="W7" s="42">
        <f t="shared" si="7"/>
        <v>0</v>
      </c>
      <c r="X7" s="42">
        <f t="shared" si="7"/>
        <v>0</v>
      </c>
      <c r="Y7" s="42">
        <f t="shared" si="7"/>
        <v>0</v>
      </c>
      <c r="Z7" s="42">
        <f t="shared" si="7"/>
        <v>0</v>
      </c>
      <c r="AA7" s="42">
        <f t="shared" si="7"/>
        <v>0</v>
      </c>
      <c r="AB7" s="42">
        <f t="shared" si="7"/>
        <v>0</v>
      </c>
      <c r="AC7" s="42">
        <f t="shared" si="7"/>
        <v>0</v>
      </c>
      <c r="AD7" s="42">
        <f t="shared" si="7"/>
        <v>0</v>
      </c>
      <c r="AE7" s="42">
        <f t="shared" si="7"/>
        <v>0</v>
      </c>
      <c r="AF7" s="42">
        <f t="shared" si="7"/>
        <v>0</v>
      </c>
      <c r="AG7" s="42">
        <f t="shared" si="7"/>
        <v>0</v>
      </c>
      <c r="AH7" s="42">
        <f t="shared" si="7"/>
        <v>0</v>
      </c>
      <c r="AI7" s="42">
        <f t="shared" si="7"/>
        <v>0</v>
      </c>
      <c r="AJ7" s="42">
        <f t="shared" si="7"/>
        <v>0</v>
      </c>
      <c r="AK7" s="42">
        <f t="shared" si="7"/>
        <v>0</v>
      </c>
      <c r="AL7" s="42">
        <f t="shared" si="7"/>
        <v>0</v>
      </c>
      <c r="AM7" s="42">
        <f t="shared" si="7"/>
        <v>0</v>
      </c>
      <c r="AN7" s="42">
        <f t="shared" si="7"/>
        <v>0</v>
      </c>
      <c r="AO7" s="42">
        <f t="shared" si="7"/>
        <v>0</v>
      </c>
      <c r="AP7" s="42">
        <f t="shared" si="7"/>
        <v>0</v>
      </c>
      <c r="AQ7" s="42">
        <f t="shared" si="7"/>
        <v>0</v>
      </c>
      <c r="AR7" s="42">
        <f t="shared" si="7"/>
        <v>0</v>
      </c>
      <c r="AS7" s="42">
        <f t="shared" si="7"/>
        <v>0</v>
      </c>
      <c r="AT7" s="42">
        <f t="shared" si="7"/>
        <v>0</v>
      </c>
      <c r="AU7" s="42">
        <f t="shared" si="7"/>
        <v>0</v>
      </c>
      <c r="AV7" s="42">
        <f t="shared" si="7"/>
        <v>0</v>
      </c>
      <c r="AW7" s="42">
        <f t="shared" si="7"/>
        <v>0</v>
      </c>
      <c r="AX7" s="42">
        <f t="shared" si="7"/>
        <v>0</v>
      </c>
      <c r="AY7" s="42">
        <f t="shared" si="7"/>
        <v>0</v>
      </c>
      <c r="AZ7" s="42">
        <f t="shared" si="7"/>
        <v>0</v>
      </c>
      <c r="BA7" s="42">
        <f t="shared" si="7"/>
        <v>0</v>
      </c>
      <c r="BB7" s="42">
        <f t="shared" si="7"/>
        <v>0</v>
      </c>
      <c r="BC7" s="42">
        <f t="shared" si="7"/>
        <v>0</v>
      </c>
      <c r="BD7" s="42">
        <f t="shared" si="7"/>
        <v>0</v>
      </c>
      <c r="BE7" s="42">
        <f t="shared" si="7"/>
        <v>0</v>
      </c>
      <c r="BF7" s="42">
        <f t="shared" si="7"/>
        <v>0</v>
      </c>
      <c r="BG7" s="42">
        <f t="shared" si="7"/>
        <v>0</v>
      </c>
      <c r="BH7" s="42">
        <f t="shared" si="7"/>
        <v>0</v>
      </c>
      <c r="BI7" s="42">
        <f t="shared" si="7"/>
        <v>0</v>
      </c>
      <c r="BJ7" s="42">
        <f t="shared" si="7"/>
        <v>0</v>
      </c>
      <c r="BK7" s="42">
        <f t="shared" si="7"/>
        <v>0</v>
      </c>
      <c r="BL7" s="42">
        <f t="shared" si="7"/>
        <v>0</v>
      </c>
      <c r="BM7" s="42">
        <f t="shared" si="7"/>
        <v>0</v>
      </c>
      <c r="BN7" s="42">
        <f t="shared" si="7"/>
        <v>0</v>
      </c>
      <c r="BO7" s="42">
        <f t="shared" si="7"/>
        <v>0</v>
      </c>
      <c r="BP7" s="42">
        <f t="shared" si="7"/>
        <v>0</v>
      </c>
      <c r="BQ7" s="42">
        <f t="shared" si="7"/>
        <v>0</v>
      </c>
      <c r="BR7" s="42">
        <f t="shared" si="7"/>
        <v>0</v>
      </c>
      <c r="BS7" s="42">
        <f t="shared" si="7"/>
        <v>0</v>
      </c>
      <c r="BT7" s="42">
        <f t="shared" si="7"/>
        <v>0</v>
      </c>
      <c r="BU7" s="42">
        <f t="shared" si="7"/>
        <v>0</v>
      </c>
      <c r="BV7" s="42">
        <f t="shared" si="7"/>
        <v>0</v>
      </c>
      <c r="BW7" s="42">
        <f t="shared" si="7"/>
        <v>0</v>
      </c>
      <c r="BX7" s="42">
        <f t="shared" si="7"/>
        <v>0</v>
      </c>
      <c r="BY7" s="42">
        <f t="shared" si="7"/>
        <v>0</v>
      </c>
      <c r="BZ7" s="42">
        <f t="shared" si="7"/>
        <v>0</v>
      </c>
      <c r="CA7" s="42">
        <f t="shared" si="7"/>
        <v>0</v>
      </c>
      <c r="CB7" s="42">
        <f t="shared" si="7"/>
        <v>0</v>
      </c>
      <c r="CC7" s="42">
        <f t="shared" si="7"/>
        <v>0</v>
      </c>
      <c r="CD7" s="42">
        <f t="shared" si="7"/>
        <v>0</v>
      </c>
      <c r="CE7" s="42">
        <f t="shared" si="7"/>
        <v>0</v>
      </c>
      <c r="CF7" s="42">
        <f t="shared" ref="CF7:EQ10" si="8">IF(
    CF$6=$R7,
    10000+10000*$E7/200,
    IF(
        AND(CF$6&lt;$R7,MOD($R7-CF$6,6)=0),
        10000*$E7/200,
        0
    )
)</f>
        <v>0</v>
      </c>
      <c r="CG7" s="42">
        <f t="shared" si="8"/>
        <v>0</v>
      </c>
      <c r="CH7" s="42">
        <f t="shared" si="8"/>
        <v>0</v>
      </c>
      <c r="CI7" s="42">
        <f t="shared" si="8"/>
        <v>0</v>
      </c>
      <c r="CJ7" s="42">
        <f t="shared" si="8"/>
        <v>0</v>
      </c>
      <c r="CK7" s="42">
        <f t="shared" si="8"/>
        <v>0</v>
      </c>
      <c r="CL7" s="42">
        <f t="shared" si="8"/>
        <v>0</v>
      </c>
      <c r="CM7" s="42">
        <f t="shared" si="8"/>
        <v>0</v>
      </c>
      <c r="CN7" s="42">
        <f t="shared" si="8"/>
        <v>0</v>
      </c>
      <c r="CO7" s="42">
        <f t="shared" si="8"/>
        <v>0</v>
      </c>
      <c r="CP7" s="42">
        <f t="shared" si="8"/>
        <v>0</v>
      </c>
      <c r="CQ7" s="42">
        <f t="shared" si="8"/>
        <v>0</v>
      </c>
      <c r="CR7" s="42">
        <f t="shared" si="8"/>
        <v>0</v>
      </c>
      <c r="CS7" s="42">
        <f t="shared" si="8"/>
        <v>0</v>
      </c>
      <c r="CT7" s="42">
        <f t="shared" si="8"/>
        <v>0</v>
      </c>
      <c r="CU7" s="42">
        <f t="shared" si="8"/>
        <v>0</v>
      </c>
      <c r="CV7" s="42">
        <f t="shared" si="8"/>
        <v>0</v>
      </c>
      <c r="CW7" s="42">
        <f t="shared" si="8"/>
        <v>0</v>
      </c>
      <c r="CX7" s="42">
        <f t="shared" si="8"/>
        <v>0</v>
      </c>
      <c r="CY7" s="42">
        <f t="shared" si="8"/>
        <v>0</v>
      </c>
      <c r="CZ7" s="42">
        <f t="shared" si="8"/>
        <v>0</v>
      </c>
      <c r="DA7" s="42">
        <f t="shared" si="8"/>
        <v>0</v>
      </c>
      <c r="DB7" s="42">
        <f t="shared" si="8"/>
        <v>0</v>
      </c>
      <c r="DC7" s="42">
        <f t="shared" si="8"/>
        <v>0</v>
      </c>
      <c r="DD7" s="42">
        <f t="shared" si="8"/>
        <v>0</v>
      </c>
      <c r="DE7" s="42">
        <f t="shared" si="8"/>
        <v>0</v>
      </c>
      <c r="DF7" s="42">
        <f t="shared" si="8"/>
        <v>0</v>
      </c>
      <c r="DG7" s="42">
        <f t="shared" si="8"/>
        <v>0</v>
      </c>
      <c r="DH7" s="42">
        <f t="shared" si="8"/>
        <v>0</v>
      </c>
      <c r="DI7" s="42">
        <f t="shared" si="8"/>
        <v>0</v>
      </c>
      <c r="DJ7" s="42">
        <f t="shared" si="8"/>
        <v>0</v>
      </c>
      <c r="DK7" s="42">
        <f t="shared" si="8"/>
        <v>0</v>
      </c>
      <c r="DL7" s="42">
        <f t="shared" si="8"/>
        <v>0</v>
      </c>
      <c r="DM7" s="42">
        <f t="shared" si="8"/>
        <v>0</v>
      </c>
      <c r="DN7" s="42">
        <f t="shared" si="8"/>
        <v>0</v>
      </c>
      <c r="DO7" s="42">
        <f t="shared" si="8"/>
        <v>0</v>
      </c>
      <c r="DP7" s="42">
        <f t="shared" si="8"/>
        <v>0</v>
      </c>
      <c r="DQ7" s="42">
        <f t="shared" si="8"/>
        <v>0</v>
      </c>
      <c r="DR7" s="42">
        <f t="shared" si="8"/>
        <v>0</v>
      </c>
      <c r="DS7" s="42">
        <f t="shared" si="8"/>
        <v>0</v>
      </c>
      <c r="DT7" s="42">
        <f t="shared" si="8"/>
        <v>0</v>
      </c>
      <c r="DU7" s="42">
        <f t="shared" si="8"/>
        <v>0</v>
      </c>
      <c r="DV7" s="42">
        <f t="shared" si="8"/>
        <v>0</v>
      </c>
      <c r="DW7" s="42">
        <f t="shared" si="8"/>
        <v>0</v>
      </c>
      <c r="DX7" s="42">
        <f t="shared" si="8"/>
        <v>0</v>
      </c>
      <c r="DY7" s="42">
        <f t="shared" si="8"/>
        <v>0</v>
      </c>
      <c r="DZ7" s="42">
        <f t="shared" si="8"/>
        <v>0</v>
      </c>
      <c r="EA7" s="42">
        <f t="shared" si="8"/>
        <v>0</v>
      </c>
      <c r="EB7" s="42">
        <f t="shared" si="8"/>
        <v>0</v>
      </c>
      <c r="EC7" s="42">
        <f t="shared" si="8"/>
        <v>0</v>
      </c>
      <c r="ED7" s="42">
        <f t="shared" si="8"/>
        <v>0</v>
      </c>
      <c r="EE7" s="42">
        <f t="shared" si="8"/>
        <v>0</v>
      </c>
      <c r="EF7" s="42">
        <f t="shared" si="8"/>
        <v>0</v>
      </c>
      <c r="EG7" s="42">
        <f t="shared" si="8"/>
        <v>0</v>
      </c>
      <c r="EH7" s="42">
        <f t="shared" si="8"/>
        <v>0</v>
      </c>
      <c r="EI7" s="42">
        <f t="shared" si="8"/>
        <v>0</v>
      </c>
      <c r="EJ7" s="42">
        <f t="shared" si="8"/>
        <v>0</v>
      </c>
      <c r="EK7" s="42">
        <f t="shared" si="8"/>
        <v>0</v>
      </c>
      <c r="EL7" s="42">
        <f t="shared" si="8"/>
        <v>0</v>
      </c>
      <c r="EM7" s="42">
        <f t="shared" si="8"/>
        <v>0</v>
      </c>
      <c r="EN7" s="42">
        <f t="shared" si="8"/>
        <v>0</v>
      </c>
      <c r="EO7" s="42">
        <f t="shared" si="8"/>
        <v>0</v>
      </c>
      <c r="EP7" s="42">
        <f t="shared" si="8"/>
        <v>0</v>
      </c>
      <c r="EQ7" s="42">
        <f t="shared" si="8"/>
        <v>0</v>
      </c>
      <c r="ER7" s="42">
        <f t="shared" ref="ER7:GH9" si="9">IF(
    ER$6=$R7,
    10000+10000*$E7/200,
    IF(
        AND(ER$6&lt;$R7,MOD($R7-ER$6,6)=0),
        10000*$E7/200,
        0
    )
)</f>
        <v>0</v>
      </c>
      <c r="ES7" s="42">
        <f t="shared" si="9"/>
        <v>0</v>
      </c>
      <c r="ET7" s="42">
        <f t="shared" si="9"/>
        <v>0</v>
      </c>
      <c r="EU7" s="42">
        <f t="shared" si="9"/>
        <v>0</v>
      </c>
      <c r="EV7" s="42">
        <f t="shared" si="9"/>
        <v>0</v>
      </c>
      <c r="EW7" s="42">
        <f t="shared" si="9"/>
        <v>0</v>
      </c>
      <c r="EX7" s="42">
        <f t="shared" si="9"/>
        <v>0</v>
      </c>
      <c r="EY7" s="42">
        <f t="shared" si="9"/>
        <v>0</v>
      </c>
      <c r="EZ7" s="42">
        <f t="shared" si="9"/>
        <v>0</v>
      </c>
      <c r="FA7" s="42">
        <f t="shared" si="9"/>
        <v>0</v>
      </c>
      <c r="FB7" s="42">
        <f t="shared" si="9"/>
        <v>0</v>
      </c>
      <c r="FC7" s="42">
        <f t="shared" si="9"/>
        <v>0</v>
      </c>
      <c r="FD7" s="42">
        <f t="shared" si="9"/>
        <v>0</v>
      </c>
      <c r="FE7" s="42">
        <f t="shared" si="9"/>
        <v>0</v>
      </c>
      <c r="FF7" s="42">
        <f t="shared" si="9"/>
        <v>0</v>
      </c>
      <c r="FG7" s="42">
        <f t="shared" si="9"/>
        <v>0</v>
      </c>
      <c r="FH7" s="42">
        <f t="shared" si="9"/>
        <v>0</v>
      </c>
      <c r="FI7" s="42">
        <f t="shared" si="9"/>
        <v>0</v>
      </c>
      <c r="FJ7" s="42">
        <f t="shared" si="9"/>
        <v>0</v>
      </c>
      <c r="FK7" s="42">
        <f t="shared" si="9"/>
        <v>0</v>
      </c>
      <c r="FL7" s="42">
        <f t="shared" si="9"/>
        <v>0</v>
      </c>
      <c r="FM7" s="42">
        <f t="shared" si="9"/>
        <v>0</v>
      </c>
      <c r="FN7" s="42">
        <f t="shared" si="9"/>
        <v>0</v>
      </c>
      <c r="FO7" s="42">
        <f t="shared" si="9"/>
        <v>0</v>
      </c>
      <c r="FP7" s="42">
        <f t="shared" si="9"/>
        <v>0</v>
      </c>
      <c r="FQ7" s="42">
        <f t="shared" si="9"/>
        <v>0</v>
      </c>
      <c r="FR7" s="42">
        <f t="shared" si="9"/>
        <v>0</v>
      </c>
      <c r="FS7" s="42">
        <f t="shared" si="9"/>
        <v>0</v>
      </c>
      <c r="FT7" s="42">
        <f t="shared" si="9"/>
        <v>0</v>
      </c>
      <c r="FU7" s="42">
        <f t="shared" si="9"/>
        <v>0</v>
      </c>
      <c r="FV7" s="42">
        <f t="shared" si="9"/>
        <v>0</v>
      </c>
      <c r="FW7" s="42">
        <f t="shared" si="9"/>
        <v>0</v>
      </c>
      <c r="FX7" s="42">
        <f t="shared" si="9"/>
        <v>0</v>
      </c>
      <c r="FY7" s="42">
        <f t="shared" si="9"/>
        <v>0</v>
      </c>
      <c r="FZ7" s="42">
        <f t="shared" si="9"/>
        <v>0</v>
      </c>
      <c r="GA7" s="42">
        <f t="shared" si="9"/>
        <v>0</v>
      </c>
      <c r="GB7" s="42">
        <f t="shared" si="9"/>
        <v>0</v>
      </c>
      <c r="GC7" s="42">
        <f t="shared" si="9"/>
        <v>0</v>
      </c>
      <c r="GD7" s="42">
        <f t="shared" si="9"/>
        <v>0</v>
      </c>
      <c r="GE7" s="42">
        <f t="shared" si="9"/>
        <v>0</v>
      </c>
      <c r="GF7" s="42">
        <f t="shared" si="9"/>
        <v>0</v>
      </c>
      <c r="GG7" s="42">
        <f t="shared" si="9"/>
        <v>0</v>
      </c>
      <c r="GH7" s="42">
        <f t="shared" si="9"/>
        <v>0</v>
      </c>
    </row>
    <row r="8" spans="1:190" ht="14.5" thickBot="1">
      <c r="B8" s="43" t="s">
        <v>213</v>
      </c>
      <c r="C8" s="31">
        <v>43534</v>
      </c>
      <c r="D8" s="31">
        <v>45361</v>
      </c>
      <c r="E8" s="32">
        <v>1.875</v>
      </c>
      <c r="F8" s="33" t="s">
        <v>1</v>
      </c>
      <c r="G8" s="34">
        <v>5.47</v>
      </c>
      <c r="H8" s="34">
        <v>167</v>
      </c>
      <c r="I8" s="32">
        <v>3.6850000000000001</v>
      </c>
      <c r="J8" s="35">
        <v>9927.9</v>
      </c>
      <c r="K8" s="44">
        <v>0</v>
      </c>
      <c r="L8" s="37">
        <f t="shared" si="3"/>
        <v>9927.9</v>
      </c>
      <c r="M8" s="120">
        <v>0.9835690496291849</v>
      </c>
      <c r="N8" s="45">
        <f t="shared" si="4"/>
        <v>3.6210263339390016E-2</v>
      </c>
      <c r="O8" s="99">
        <f t="shared" si="5"/>
        <v>9927.9000946945853</v>
      </c>
      <c r="P8" s="39">
        <f t="shared" si="6"/>
        <v>9.4694585641263984E-5</v>
      </c>
      <c r="R8" s="41">
        <f t="shared" ref="R8:R39" si="10">ROUND(G8,0)</f>
        <v>5</v>
      </c>
      <c r="S8" s="42">
        <f t="shared" ref="S8:AH22" si="11">IF(
    S$6=$R8,
    10000+10000*$E8/200,
    IF(
        AND(S$6&lt;$R8,MOD($R8-S$6,6)=0),
        10000*$E8/200,
        0
    )
)</f>
        <v>0</v>
      </c>
      <c r="T8" s="42">
        <f t="shared" si="11"/>
        <v>10093.75</v>
      </c>
      <c r="U8" s="42">
        <f t="shared" si="11"/>
        <v>0</v>
      </c>
      <c r="V8" s="42">
        <f t="shared" si="11"/>
        <v>0</v>
      </c>
      <c r="W8" s="42">
        <f t="shared" si="11"/>
        <v>0</v>
      </c>
      <c r="X8" s="42">
        <f t="shared" si="11"/>
        <v>0</v>
      </c>
      <c r="Y8" s="42">
        <f t="shared" si="11"/>
        <v>0</v>
      </c>
      <c r="Z8" s="42">
        <f t="shared" si="11"/>
        <v>0</v>
      </c>
      <c r="AA8" s="42">
        <f t="shared" si="11"/>
        <v>0</v>
      </c>
      <c r="AB8" s="42">
        <f t="shared" si="11"/>
        <v>0</v>
      </c>
      <c r="AC8" s="42">
        <f t="shared" si="11"/>
        <v>0</v>
      </c>
      <c r="AD8" s="42">
        <f t="shared" si="11"/>
        <v>0</v>
      </c>
      <c r="AE8" s="42">
        <f t="shared" si="11"/>
        <v>0</v>
      </c>
      <c r="AF8" s="42">
        <f t="shared" si="11"/>
        <v>0</v>
      </c>
      <c r="AG8" s="42">
        <f t="shared" si="11"/>
        <v>0</v>
      </c>
      <c r="AH8" s="42">
        <f t="shared" si="11"/>
        <v>0</v>
      </c>
      <c r="AI8" s="42">
        <f t="shared" si="7"/>
        <v>0</v>
      </c>
      <c r="AJ8" s="42">
        <f t="shared" si="7"/>
        <v>0</v>
      </c>
      <c r="AK8" s="42">
        <f t="shared" si="7"/>
        <v>0</v>
      </c>
      <c r="AL8" s="42">
        <f t="shared" si="7"/>
        <v>0</v>
      </c>
      <c r="AM8" s="42">
        <f t="shared" si="7"/>
        <v>0</v>
      </c>
      <c r="AN8" s="42">
        <f t="shared" si="7"/>
        <v>0</v>
      </c>
      <c r="AO8" s="42">
        <f t="shared" si="7"/>
        <v>0</v>
      </c>
      <c r="AP8" s="42">
        <f t="shared" si="7"/>
        <v>0</v>
      </c>
      <c r="AQ8" s="42">
        <f t="shared" si="7"/>
        <v>0</v>
      </c>
      <c r="AR8" s="42">
        <f t="shared" si="7"/>
        <v>0</v>
      </c>
      <c r="AS8" s="42">
        <f t="shared" si="7"/>
        <v>0</v>
      </c>
      <c r="AT8" s="42">
        <f t="shared" si="7"/>
        <v>0</v>
      </c>
      <c r="AU8" s="42">
        <f t="shared" si="7"/>
        <v>0</v>
      </c>
      <c r="AV8" s="42">
        <f t="shared" si="7"/>
        <v>0</v>
      </c>
      <c r="AW8" s="42">
        <f t="shared" si="7"/>
        <v>0</v>
      </c>
      <c r="AX8" s="42">
        <f t="shared" si="7"/>
        <v>0</v>
      </c>
      <c r="AY8" s="42">
        <f t="shared" si="7"/>
        <v>0</v>
      </c>
      <c r="AZ8" s="42">
        <f t="shared" si="7"/>
        <v>0</v>
      </c>
      <c r="BA8" s="42">
        <f t="shared" si="7"/>
        <v>0</v>
      </c>
      <c r="BB8" s="42">
        <f t="shared" si="7"/>
        <v>0</v>
      </c>
      <c r="BC8" s="42">
        <f t="shared" si="7"/>
        <v>0</v>
      </c>
      <c r="BD8" s="42">
        <f t="shared" si="7"/>
        <v>0</v>
      </c>
      <c r="BE8" s="42">
        <f t="shared" si="7"/>
        <v>0</v>
      </c>
      <c r="BF8" s="42">
        <f t="shared" si="7"/>
        <v>0</v>
      </c>
      <c r="BG8" s="42">
        <f t="shared" si="7"/>
        <v>0</v>
      </c>
      <c r="BH8" s="42">
        <f t="shared" si="7"/>
        <v>0</v>
      </c>
      <c r="BI8" s="42">
        <f t="shared" si="7"/>
        <v>0</v>
      </c>
      <c r="BJ8" s="42">
        <f t="shared" si="7"/>
        <v>0</v>
      </c>
      <c r="BK8" s="42">
        <f t="shared" si="7"/>
        <v>0</v>
      </c>
      <c r="BL8" s="42">
        <f t="shared" si="7"/>
        <v>0</v>
      </c>
      <c r="BM8" s="42">
        <f t="shared" si="7"/>
        <v>0</v>
      </c>
      <c r="BN8" s="42">
        <f t="shared" si="7"/>
        <v>0</v>
      </c>
      <c r="BO8" s="42">
        <f t="shared" si="7"/>
        <v>0</v>
      </c>
      <c r="BP8" s="42">
        <f t="shared" si="7"/>
        <v>0</v>
      </c>
      <c r="BQ8" s="42">
        <f t="shared" si="7"/>
        <v>0</v>
      </c>
      <c r="BR8" s="42">
        <f t="shared" si="7"/>
        <v>0</v>
      </c>
      <c r="BS8" s="42">
        <f t="shared" si="7"/>
        <v>0</v>
      </c>
      <c r="BT8" s="42">
        <f t="shared" si="7"/>
        <v>0</v>
      </c>
      <c r="BU8" s="42">
        <f t="shared" si="7"/>
        <v>0</v>
      </c>
      <c r="BV8" s="42">
        <f t="shared" si="7"/>
        <v>0</v>
      </c>
      <c r="BW8" s="42">
        <f t="shared" si="7"/>
        <v>0</v>
      </c>
      <c r="BX8" s="42">
        <f t="shared" si="7"/>
        <v>0</v>
      </c>
      <c r="BY8" s="42">
        <f t="shared" si="7"/>
        <v>0</v>
      </c>
      <c r="BZ8" s="42">
        <f t="shared" si="7"/>
        <v>0</v>
      </c>
      <c r="CA8" s="42">
        <f t="shared" si="7"/>
        <v>0</v>
      </c>
      <c r="CB8" s="42">
        <f t="shared" si="7"/>
        <v>0</v>
      </c>
      <c r="CC8" s="42">
        <f t="shared" si="7"/>
        <v>0</v>
      </c>
      <c r="CD8" s="42">
        <f t="shared" si="7"/>
        <v>0</v>
      </c>
      <c r="CE8" s="42">
        <f t="shared" si="7"/>
        <v>0</v>
      </c>
      <c r="CF8" s="42">
        <f t="shared" si="8"/>
        <v>0</v>
      </c>
      <c r="CG8" s="42">
        <f t="shared" si="8"/>
        <v>0</v>
      </c>
      <c r="CH8" s="42">
        <f t="shared" si="8"/>
        <v>0</v>
      </c>
      <c r="CI8" s="42">
        <f t="shared" si="8"/>
        <v>0</v>
      </c>
      <c r="CJ8" s="42">
        <f t="shared" si="8"/>
        <v>0</v>
      </c>
      <c r="CK8" s="42">
        <f t="shared" si="8"/>
        <v>0</v>
      </c>
      <c r="CL8" s="42">
        <f t="shared" si="8"/>
        <v>0</v>
      </c>
      <c r="CM8" s="42">
        <f t="shared" si="8"/>
        <v>0</v>
      </c>
      <c r="CN8" s="42">
        <f t="shared" si="8"/>
        <v>0</v>
      </c>
      <c r="CO8" s="42">
        <f t="shared" si="8"/>
        <v>0</v>
      </c>
      <c r="CP8" s="42">
        <f t="shared" si="8"/>
        <v>0</v>
      </c>
      <c r="CQ8" s="42">
        <f t="shared" si="8"/>
        <v>0</v>
      </c>
      <c r="CR8" s="42">
        <f t="shared" si="8"/>
        <v>0</v>
      </c>
      <c r="CS8" s="42">
        <f t="shared" si="8"/>
        <v>0</v>
      </c>
      <c r="CT8" s="42">
        <f t="shared" si="8"/>
        <v>0</v>
      </c>
      <c r="CU8" s="42">
        <f t="shared" si="8"/>
        <v>0</v>
      </c>
      <c r="CV8" s="42">
        <f t="shared" si="8"/>
        <v>0</v>
      </c>
      <c r="CW8" s="42">
        <f t="shared" si="8"/>
        <v>0</v>
      </c>
      <c r="CX8" s="42">
        <f t="shared" si="8"/>
        <v>0</v>
      </c>
      <c r="CY8" s="42">
        <f t="shared" si="8"/>
        <v>0</v>
      </c>
      <c r="CZ8" s="42">
        <f t="shared" si="8"/>
        <v>0</v>
      </c>
      <c r="DA8" s="42">
        <f t="shared" si="8"/>
        <v>0</v>
      </c>
      <c r="DB8" s="42">
        <f t="shared" si="8"/>
        <v>0</v>
      </c>
      <c r="DC8" s="42">
        <f t="shared" si="8"/>
        <v>0</v>
      </c>
      <c r="DD8" s="42">
        <f t="shared" si="8"/>
        <v>0</v>
      </c>
      <c r="DE8" s="42">
        <f t="shared" si="8"/>
        <v>0</v>
      </c>
      <c r="DF8" s="42">
        <f t="shared" si="8"/>
        <v>0</v>
      </c>
      <c r="DG8" s="42">
        <f t="shared" si="8"/>
        <v>0</v>
      </c>
      <c r="DH8" s="42">
        <f t="shared" si="8"/>
        <v>0</v>
      </c>
      <c r="DI8" s="42">
        <f t="shared" si="8"/>
        <v>0</v>
      </c>
      <c r="DJ8" s="42">
        <f t="shared" si="8"/>
        <v>0</v>
      </c>
      <c r="DK8" s="42">
        <f t="shared" si="8"/>
        <v>0</v>
      </c>
      <c r="DL8" s="42">
        <f t="shared" si="8"/>
        <v>0</v>
      </c>
      <c r="DM8" s="42">
        <f t="shared" si="8"/>
        <v>0</v>
      </c>
      <c r="DN8" s="42">
        <f t="shared" si="8"/>
        <v>0</v>
      </c>
      <c r="DO8" s="42">
        <f t="shared" si="8"/>
        <v>0</v>
      </c>
      <c r="DP8" s="42">
        <f t="shared" si="8"/>
        <v>0</v>
      </c>
      <c r="DQ8" s="42">
        <f t="shared" si="8"/>
        <v>0</v>
      </c>
      <c r="DR8" s="42">
        <f t="shared" si="8"/>
        <v>0</v>
      </c>
      <c r="DS8" s="42">
        <f t="shared" si="8"/>
        <v>0</v>
      </c>
      <c r="DT8" s="42">
        <f t="shared" si="8"/>
        <v>0</v>
      </c>
      <c r="DU8" s="42">
        <f t="shared" si="8"/>
        <v>0</v>
      </c>
      <c r="DV8" s="42">
        <f t="shared" si="8"/>
        <v>0</v>
      </c>
      <c r="DW8" s="42">
        <f t="shared" si="8"/>
        <v>0</v>
      </c>
      <c r="DX8" s="42">
        <f t="shared" si="8"/>
        <v>0</v>
      </c>
      <c r="DY8" s="42">
        <f t="shared" si="8"/>
        <v>0</v>
      </c>
      <c r="DZ8" s="42">
        <f t="shared" si="8"/>
        <v>0</v>
      </c>
      <c r="EA8" s="42">
        <f t="shared" si="8"/>
        <v>0</v>
      </c>
      <c r="EB8" s="42">
        <f t="shared" si="8"/>
        <v>0</v>
      </c>
      <c r="EC8" s="42">
        <f t="shared" si="8"/>
        <v>0</v>
      </c>
      <c r="ED8" s="42">
        <f t="shared" si="8"/>
        <v>0</v>
      </c>
      <c r="EE8" s="42">
        <f t="shared" si="8"/>
        <v>0</v>
      </c>
      <c r="EF8" s="42">
        <f t="shared" si="8"/>
        <v>0</v>
      </c>
      <c r="EG8" s="42">
        <f t="shared" si="8"/>
        <v>0</v>
      </c>
      <c r="EH8" s="42">
        <f t="shared" si="8"/>
        <v>0</v>
      </c>
      <c r="EI8" s="42">
        <f t="shared" si="8"/>
        <v>0</v>
      </c>
      <c r="EJ8" s="42">
        <f t="shared" si="8"/>
        <v>0</v>
      </c>
      <c r="EK8" s="42">
        <f t="shared" si="8"/>
        <v>0</v>
      </c>
      <c r="EL8" s="42">
        <f t="shared" si="8"/>
        <v>0</v>
      </c>
      <c r="EM8" s="42">
        <f t="shared" si="8"/>
        <v>0</v>
      </c>
      <c r="EN8" s="42">
        <f t="shared" si="8"/>
        <v>0</v>
      </c>
      <c r="EO8" s="42">
        <f t="shared" si="8"/>
        <v>0</v>
      </c>
      <c r="EP8" s="42">
        <f t="shared" si="8"/>
        <v>0</v>
      </c>
      <c r="EQ8" s="42">
        <f t="shared" si="8"/>
        <v>0</v>
      </c>
      <c r="ER8" s="42">
        <f t="shared" si="9"/>
        <v>0</v>
      </c>
      <c r="ES8" s="42">
        <f t="shared" si="9"/>
        <v>0</v>
      </c>
      <c r="ET8" s="42">
        <f t="shared" si="9"/>
        <v>0</v>
      </c>
      <c r="EU8" s="42">
        <f t="shared" si="9"/>
        <v>0</v>
      </c>
      <c r="EV8" s="42">
        <f t="shared" si="9"/>
        <v>0</v>
      </c>
      <c r="EW8" s="42">
        <f t="shared" si="9"/>
        <v>0</v>
      </c>
      <c r="EX8" s="42">
        <f t="shared" si="9"/>
        <v>0</v>
      </c>
      <c r="EY8" s="42">
        <f t="shared" si="9"/>
        <v>0</v>
      </c>
      <c r="EZ8" s="42">
        <f t="shared" si="9"/>
        <v>0</v>
      </c>
      <c r="FA8" s="42">
        <f t="shared" si="9"/>
        <v>0</v>
      </c>
      <c r="FB8" s="42">
        <f t="shared" si="9"/>
        <v>0</v>
      </c>
      <c r="FC8" s="42">
        <f t="shared" si="9"/>
        <v>0</v>
      </c>
      <c r="FD8" s="42">
        <f t="shared" si="9"/>
        <v>0</v>
      </c>
      <c r="FE8" s="42">
        <f t="shared" si="9"/>
        <v>0</v>
      </c>
      <c r="FF8" s="42">
        <f t="shared" si="9"/>
        <v>0</v>
      </c>
      <c r="FG8" s="42">
        <f t="shared" si="9"/>
        <v>0</v>
      </c>
      <c r="FH8" s="42">
        <f t="shared" si="9"/>
        <v>0</v>
      </c>
      <c r="FI8" s="42">
        <f t="shared" si="9"/>
        <v>0</v>
      </c>
      <c r="FJ8" s="42">
        <f t="shared" si="9"/>
        <v>0</v>
      </c>
      <c r="FK8" s="42">
        <f t="shared" si="9"/>
        <v>0</v>
      </c>
      <c r="FL8" s="42">
        <f t="shared" si="9"/>
        <v>0</v>
      </c>
      <c r="FM8" s="42">
        <f t="shared" si="9"/>
        <v>0</v>
      </c>
      <c r="FN8" s="42">
        <f t="shared" si="9"/>
        <v>0</v>
      </c>
      <c r="FO8" s="42">
        <f t="shared" si="9"/>
        <v>0</v>
      </c>
      <c r="FP8" s="42">
        <f t="shared" si="9"/>
        <v>0</v>
      </c>
      <c r="FQ8" s="42">
        <f t="shared" si="9"/>
        <v>0</v>
      </c>
      <c r="FR8" s="42">
        <f t="shared" si="9"/>
        <v>0</v>
      </c>
      <c r="FS8" s="42">
        <f t="shared" si="9"/>
        <v>0</v>
      </c>
      <c r="FT8" s="42">
        <f t="shared" si="9"/>
        <v>0</v>
      </c>
      <c r="FU8" s="42">
        <f t="shared" si="9"/>
        <v>0</v>
      </c>
      <c r="FV8" s="42">
        <f t="shared" si="9"/>
        <v>0</v>
      </c>
      <c r="FW8" s="42">
        <f t="shared" si="9"/>
        <v>0</v>
      </c>
      <c r="FX8" s="42">
        <f t="shared" si="9"/>
        <v>0</v>
      </c>
      <c r="FY8" s="42">
        <f t="shared" si="9"/>
        <v>0</v>
      </c>
      <c r="FZ8" s="42">
        <f t="shared" si="9"/>
        <v>0</v>
      </c>
      <c r="GA8" s="42">
        <f t="shared" si="9"/>
        <v>0</v>
      </c>
      <c r="GB8" s="42">
        <f t="shared" si="9"/>
        <v>0</v>
      </c>
      <c r="GC8" s="42">
        <f t="shared" si="9"/>
        <v>0</v>
      </c>
      <c r="GD8" s="42">
        <f t="shared" si="9"/>
        <v>0</v>
      </c>
      <c r="GE8" s="42">
        <f t="shared" si="9"/>
        <v>0</v>
      </c>
      <c r="GF8" s="42">
        <f t="shared" si="9"/>
        <v>0</v>
      </c>
      <c r="GG8" s="42">
        <f t="shared" si="9"/>
        <v>0</v>
      </c>
      <c r="GH8" s="42">
        <f t="shared" si="9"/>
        <v>0</v>
      </c>
    </row>
    <row r="9" spans="1:190" ht="14.5" thickBot="1">
      <c r="B9" s="43" t="s">
        <v>214</v>
      </c>
      <c r="C9" s="31">
        <v>44357</v>
      </c>
      <c r="D9" s="31">
        <v>45453</v>
      </c>
      <c r="E9" s="32">
        <v>1.125</v>
      </c>
      <c r="F9" s="33" t="s">
        <v>2</v>
      </c>
      <c r="G9" s="34">
        <v>8.4700000000000006</v>
      </c>
      <c r="H9" s="34">
        <v>257</v>
      </c>
      <c r="I9" s="32">
        <v>3.5619999999999998</v>
      </c>
      <c r="J9" s="35">
        <v>9865.44</v>
      </c>
      <c r="K9" s="44" cm="1">
        <f t="array" ref="K9">_xlfn.LET(
    _xlpm.settle,$B$3,
    _xlpm.mat,$D9,
    _xlpm.coupon,10000*$E9/200,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33.196721311475407</v>
      </c>
      <c r="L9" s="37">
        <f t="shared" si="3"/>
        <v>9898.6367213114754</v>
      </c>
      <c r="M9" s="120">
        <v>0.97877133234160407</v>
      </c>
      <c r="N9" s="45">
        <f t="shared" si="4"/>
        <v>3.0474285186163578E-2</v>
      </c>
      <c r="O9" s="99">
        <f t="shared" si="5"/>
        <v>9898.6355188561447</v>
      </c>
      <c r="P9" s="39">
        <f t="shared" si="6"/>
        <v>-1.2024553307128372E-3</v>
      </c>
      <c r="R9" s="41">
        <f t="shared" si="10"/>
        <v>8</v>
      </c>
      <c r="S9" s="42">
        <f t="shared" si="11"/>
        <v>56.25</v>
      </c>
      <c r="T9" s="42">
        <f t="shared" ref="T9:CE12" si="12">IF(
    T$6=$R9,
    10000+10000*$E9/200,
    IF(
        AND(T$6&lt;$R9,MOD($R9-T$6,6)=0),
        10000*$E9/200,
        0
    )
)</f>
        <v>0</v>
      </c>
      <c r="U9" s="42">
        <f t="shared" si="12"/>
        <v>10056.25</v>
      </c>
      <c r="V9" s="42">
        <f t="shared" si="12"/>
        <v>0</v>
      </c>
      <c r="W9" s="42">
        <f t="shared" si="12"/>
        <v>0</v>
      </c>
      <c r="X9" s="42">
        <f t="shared" si="12"/>
        <v>0</v>
      </c>
      <c r="Y9" s="42">
        <f t="shared" si="12"/>
        <v>0</v>
      </c>
      <c r="Z9" s="42">
        <f t="shared" si="12"/>
        <v>0</v>
      </c>
      <c r="AA9" s="42">
        <f t="shared" si="12"/>
        <v>0</v>
      </c>
      <c r="AB9" s="42">
        <f t="shared" si="12"/>
        <v>0</v>
      </c>
      <c r="AC9" s="42">
        <f t="shared" si="12"/>
        <v>0</v>
      </c>
      <c r="AD9" s="42">
        <f t="shared" si="12"/>
        <v>0</v>
      </c>
      <c r="AE9" s="42">
        <f t="shared" si="12"/>
        <v>0</v>
      </c>
      <c r="AF9" s="42">
        <f t="shared" si="12"/>
        <v>0</v>
      </c>
      <c r="AG9" s="42">
        <f t="shared" si="12"/>
        <v>0</v>
      </c>
      <c r="AH9" s="42">
        <f t="shared" si="12"/>
        <v>0</v>
      </c>
      <c r="AI9" s="42">
        <f t="shared" si="12"/>
        <v>0</v>
      </c>
      <c r="AJ9" s="42">
        <f t="shared" si="12"/>
        <v>0</v>
      </c>
      <c r="AK9" s="42">
        <f t="shared" si="12"/>
        <v>0</v>
      </c>
      <c r="AL9" s="42">
        <f t="shared" si="12"/>
        <v>0</v>
      </c>
      <c r="AM9" s="42">
        <f t="shared" si="12"/>
        <v>0</v>
      </c>
      <c r="AN9" s="42">
        <f t="shared" si="12"/>
        <v>0</v>
      </c>
      <c r="AO9" s="42">
        <f t="shared" si="12"/>
        <v>0</v>
      </c>
      <c r="AP9" s="42">
        <f t="shared" si="12"/>
        <v>0</v>
      </c>
      <c r="AQ9" s="42">
        <f t="shared" si="12"/>
        <v>0</v>
      </c>
      <c r="AR9" s="42">
        <f t="shared" si="12"/>
        <v>0</v>
      </c>
      <c r="AS9" s="42">
        <f t="shared" si="12"/>
        <v>0</v>
      </c>
      <c r="AT9" s="42">
        <f t="shared" si="12"/>
        <v>0</v>
      </c>
      <c r="AU9" s="42">
        <f t="shared" si="12"/>
        <v>0</v>
      </c>
      <c r="AV9" s="42">
        <f t="shared" si="12"/>
        <v>0</v>
      </c>
      <c r="AW9" s="42">
        <f t="shared" si="12"/>
        <v>0</v>
      </c>
      <c r="AX9" s="42">
        <f t="shared" si="12"/>
        <v>0</v>
      </c>
      <c r="AY9" s="42">
        <f t="shared" si="12"/>
        <v>0</v>
      </c>
      <c r="AZ9" s="42">
        <f t="shared" si="12"/>
        <v>0</v>
      </c>
      <c r="BA9" s="42">
        <f t="shared" si="12"/>
        <v>0</v>
      </c>
      <c r="BB9" s="42">
        <f t="shared" si="12"/>
        <v>0</v>
      </c>
      <c r="BC9" s="42">
        <f t="shared" si="12"/>
        <v>0</v>
      </c>
      <c r="BD9" s="42">
        <f t="shared" si="12"/>
        <v>0</v>
      </c>
      <c r="BE9" s="42">
        <f t="shared" si="12"/>
        <v>0</v>
      </c>
      <c r="BF9" s="42">
        <f t="shared" si="12"/>
        <v>0</v>
      </c>
      <c r="BG9" s="42">
        <f t="shared" si="12"/>
        <v>0</v>
      </c>
      <c r="BH9" s="42">
        <f t="shared" si="12"/>
        <v>0</v>
      </c>
      <c r="BI9" s="42">
        <f t="shared" si="12"/>
        <v>0</v>
      </c>
      <c r="BJ9" s="42">
        <f t="shared" si="12"/>
        <v>0</v>
      </c>
      <c r="BK9" s="42">
        <f t="shared" si="12"/>
        <v>0</v>
      </c>
      <c r="BL9" s="42">
        <f t="shared" si="12"/>
        <v>0</v>
      </c>
      <c r="BM9" s="42">
        <f t="shared" si="12"/>
        <v>0</v>
      </c>
      <c r="BN9" s="42">
        <f t="shared" si="12"/>
        <v>0</v>
      </c>
      <c r="BO9" s="42">
        <f t="shared" si="12"/>
        <v>0</v>
      </c>
      <c r="BP9" s="42">
        <f t="shared" si="12"/>
        <v>0</v>
      </c>
      <c r="BQ9" s="42">
        <f t="shared" si="12"/>
        <v>0</v>
      </c>
      <c r="BR9" s="42">
        <f t="shared" si="12"/>
        <v>0</v>
      </c>
      <c r="BS9" s="42">
        <f t="shared" si="12"/>
        <v>0</v>
      </c>
      <c r="BT9" s="42">
        <f t="shared" si="12"/>
        <v>0</v>
      </c>
      <c r="BU9" s="42">
        <f t="shared" si="12"/>
        <v>0</v>
      </c>
      <c r="BV9" s="42">
        <f t="shared" si="12"/>
        <v>0</v>
      </c>
      <c r="BW9" s="42">
        <f t="shared" si="12"/>
        <v>0</v>
      </c>
      <c r="BX9" s="42">
        <f t="shared" si="12"/>
        <v>0</v>
      </c>
      <c r="BY9" s="42">
        <f t="shared" si="12"/>
        <v>0</v>
      </c>
      <c r="BZ9" s="42">
        <f t="shared" si="12"/>
        <v>0</v>
      </c>
      <c r="CA9" s="42">
        <f t="shared" si="12"/>
        <v>0</v>
      </c>
      <c r="CB9" s="42">
        <f t="shared" si="12"/>
        <v>0</v>
      </c>
      <c r="CC9" s="42">
        <f t="shared" si="12"/>
        <v>0</v>
      </c>
      <c r="CD9" s="42">
        <f t="shared" si="12"/>
        <v>0</v>
      </c>
      <c r="CE9" s="42">
        <f t="shared" si="12"/>
        <v>0</v>
      </c>
      <c r="CF9" s="42">
        <f t="shared" si="8"/>
        <v>0</v>
      </c>
      <c r="CG9" s="42">
        <f t="shared" si="8"/>
        <v>0</v>
      </c>
      <c r="CH9" s="42">
        <f t="shared" si="8"/>
        <v>0</v>
      </c>
      <c r="CI9" s="42">
        <f t="shared" si="8"/>
        <v>0</v>
      </c>
      <c r="CJ9" s="42">
        <f t="shared" si="8"/>
        <v>0</v>
      </c>
      <c r="CK9" s="42">
        <f t="shared" si="8"/>
        <v>0</v>
      </c>
      <c r="CL9" s="42">
        <f t="shared" si="8"/>
        <v>0</v>
      </c>
      <c r="CM9" s="42">
        <f t="shared" si="8"/>
        <v>0</v>
      </c>
      <c r="CN9" s="42">
        <f t="shared" si="8"/>
        <v>0</v>
      </c>
      <c r="CO9" s="42">
        <f t="shared" si="8"/>
        <v>0</v>
      </c>
      <c r="CP9" s="42">
        <f t="shared" si="8"/>
        <v>0</v>
      </c>
      <c r="CQ9" s="42">
        <f t="shared" si="8"/>
        <v>0</v>
      </c>
      <c r="CR9" s="42">
        <f t="shared" si="8"/>
        <v>0</v>
      </c>
      <c r="CS9" s="42">
        <f t="shared" si="8"/>
        <v>0</v>
      </c>
      <c r="CT9" s="42">
        <f t="shared" si="8"/>
        <v>0</v>
      </c>
      <c r="CU9" s="42">
        <f t="shared" si="8"/>
        <v>0</v>
      </c>
      <c r="CV9" s="42">
        <f t="shared" si="8"/>
        <v>0</v>
      </c>
      <c r="CW9" s="42">
        <f t="shared" si="8"/>
        <v>0</v>
      </c>
      <c r="CX9" s="42">
        <f t="shared" si="8"/>
        <v>0</v>
      </c>
      <c r="CY9" s="42">
        <f t="shared" si="8"/>
        <v>0</v>
      </c>
      <c r="CZ9" s="42">
        <f t="shared" si="8"/>
        <v>0</v>
      </c>
      <c r="DA9" s="42">
        <f t="shared" si="8"/>
        <v>0</v>
      </c>
      <c r="DB9" s="42">
        <f t="shared" si="8"/>
        <v>0</v>
      </c>
      <c r="DC9" s="42">
        <f t="shared" si="8"/>
        <v>0</v>
      </c>
      <c r="DD9" s="42">
        <f t="shared" si="8"/>
        <v>0</v>
      </c>
      <c r="DE9" s="42">
        <f t="shared" si="8"/>
        <v>0</v>
      </c>
      <c r="DF9" s="42">
        <f t="shared" si="8"/>
        <v>0</v>
      </c>
      <c r="DG9" s="42">
        <f t="shared" si="8"/>
        <v>0</v>
      </c>
      <c r="DH9" s="42">
        <f t="shared" si="8"/>
        <v>0</v>
      </c>
      <c r="DI9" s="42">
        <f t="shared" si="8"/>
        <v>0</v>
      </c>
      <c r="DJ9" s="42">
        <f t="shared" si="8"/>
        <v>0</v>
      </c>
      <c r="DK9" s="42">
        <f t="shared" si="8"/>
        <v>0</v>
      </c>
      <c r="DL9" s="42">
        <f t="shared" si="8"/>
        <v>0</v>
      </c>
      <c r="DM9" s="42">
        <f t="shared" si="8"/>
        <v>0</v>
      </c>
      <c r="DN9" s="42">
        <f t="shared" si="8"/>
        <v>0</v>
      </c>
      <c r="DO9" s="42">
        <f t="shared" si="8"/>
        <v>0</v>
      </c>
      <c r="DP9" s="42">
        <f t="shared" si="8"/>
        <v>0</v>
      </c>
      <c r="DQ9" s="42">
        <f t="shared" si="8"/>
        <v>0</v>
      </c>
      <c r="DR9" s="42">
        <f t="shared" si="8"/>
        <v>0</v>
      </c>
      <c r="DS9" s="42">
        <f t="shared" si="8"/>
        <v>0</v>
      </c>
      <c r="DT9" s="42">
        <f t="shared" si="8"/>
        <v>0</v>
      </c>
      <c r="DU9" s="42">
        <f t="shared" si="8"/>
        <v>0</v>
      </c>
      <c r="DV9" s="42">
        <f t="shared" si="8"/>
        <v>0</v>
      </c>
      <c r="DW9" s="42">
        <f t="shared" si="8"/>
        <v>0</v>
      </c>
      <c r="DX9" s="42">
        <f t="shared" si="8"/>
        <v>0</v>
      </c>
      <c r="DY9" s="42">
        <f t="shared" si="8"/>
        <v>0</v>
      </c>
      <c r="DZ9" s="42">
        <f t="shared" si="8"/>
        <v>0</v>
      </c>
      <c r="EA9" s="42">
        <f t="shared" si="8"/>
        <v>0</v>
      </c>
      <c r="EB9" s="42">
        <f t="shared" si="8"/>
        <v>0</v>
      </c>
      <c r="EC9" s="42">
        <f t="shared" si="8"/>
        <v>0</v>
      </c>
      <c r="ED9" s="42">
        <f t="shared" si="8"/>
        <v>0</v>
      </c>
      <c r="EE9" s="42">
        <f t="shared" si="8"/>
        <v>0</v>
      </c>
      <c r="EF9" s="42">
        <f t="shared" si="8"/>
        <v>0</v>
      </c>
      <c r="EG9" s="42">
        <f t="shared" si="8"/>
        <v>0</v>
      </c>
      <c r="EH9" s="42">
        <f t="shared" si="8"/>
        <v>0</v>
      </c>
      <c r="EI9" s="42">
        <f t="shared" si="8"/>
        <v>0</v>
      </c>
      <c r="EJ9" s="42">
        <f t="shared" si="8"/>
        <v>0</v>
      </c>
      <c r="EK9" s="42">
        <f t="shared" si="8"/>
        <v>0</v>
      </c>
      <c r="EL9" s="42">
        <f t="shared" si="8"/>
        <v>0</v>
      </c>
      <c r="EM9" s="42">
        <f t="shared" si="8"/>
        <v>0</v>
      </c>
      <c r="EN9" s="42">
        <f t="shared" si="8"/>
        <v>0</v>
      </c>
      <c r="EO9" s="42">
        <f t="shared" si="8"/>
        <v>0</v>
      </c>
      <c r="EP9" s="42">
        <f t="shared" si="8"/>
        <v>0</v>
      </c>
      <c r="EQ9" s="42">
        <f t="shared" si="8"/>
        <v>0</v>
      </c>
      <c r="ER9" s="42">
        <f t="shared" si="9"/>
        <v>0</v>
      </c>
      <c r="ES9" s="42">
        <f t="shared" si="9"/>
        <v>0</v>
      </c>
      <c r="ET9" s="42">
        <f t="shared" si="9"/>
        <v>0</v>
      </c>
      <c r="EU9" s="42">
        <f t="shared" si="9"/>
        <v>0</v>
      </c>
      <c r="EV9" s="42">
        <f t="shared" si="9"/>
        <v>0</v>
      </c>
      <c r="EW9" s="42">
        <f t="shared" si="9"/>
        <v>0</v>
      </c>
      <c r="EX9" s="42">
        <f t="shared" si="9"/>
        <v>0</v>
      </c>
      <c r="EY9" s="42">
        <f t="shared" si="9"/>
        <v>0</v>
      </c>
      <c r="EZ9" s="42">
        <f t="shared" si="9"/>
        <v>0</v>
      </c>
      <c r="FA9" s="42">
        <f t="shared" si="9"/>
        <v>0</v>
      </c>
      <c r="FB9" s="42">
        <f t="shared" si="9"/>
        <v>0</v>
      </c>
      <c r="FC9" s="42">
        <f t="shared" si="9"/>
        <v>0</v>
      </c>
      <c r="FD9" s="42">
        <f t="shared" si="9"/>
        <v>0</v>
      </c>
      <c r="FE9" s="42">
        <f t="shared" si="9"/>
        <v>0</v>
      </c>
      <c r="FF9" s="42">
        <f t="shared" si="9"/>
        <v>0</v>
      </c>
      <c r="FG9" s="42">
        <f t="shared" si="9"/>
        <v>0</v>
      </c>
      <c r="FH9" s="42">
        <f t="shared" si="9"/>
        <v>0</v>
      </c>
      <c r="FI9" s="42">
        <f t="shared" si="9"/>
        <v>0</v>
      </c>
      <c r="FJ9" s="42">
        <f t="shared" si="9"/>
        <v>0</v>
      </c>
      <c r="FK9" s="42">
        <f t="shared" si="9"/>
        <v>0</v>
      </c>
      <c r="FL9" s="42">
        <f t="shared" si="9"/>
        <v>0</v>
      </c>
      <c r="FM9" s="42">
        <f t="shared" si="9"/>
        <v>0</v>
      </c>
      <c r="FN9" s="42">
        <f t="shared" si="9"/>
        <v>0</v>
      </c>
      <c r="FO9" s="42">
        <f t="shared" si="9"/>
        <v>0</v>
      </c>
      <c r="FP9" s="42">
        <f t="shared" si="9"/>
        <v>0</v>
      </c>
      <c r="FQ9" s="42">
        <f t="shared" si="9"/>
        <v>0</v>
      </c>
      <c r="FR9" s="42">
        <f t="shared" si="9"/>
        <v>0</v>
      </c>
      <c r="FS9" s="42">
        <f t="shared" si="9"/>
        <v>0</v>
      </c>
      <c r="FT9" s="42">
        <f t="shared" si="9"/>
        <v>0</v>
      </c>
      <c r="FU9" s="42">
        <f t="shared" si="9"/>
        <v>0</v>
      </c>
      <c r="FV9" s="42">
        <f t="shared" si="9"/>
        <v>0</v>
      </c>
      <c r="FW9" s="42">
        <f t="shared" si="9"/>
        <v>0</v>
      </c>
      <c r="FX9" s="42">
        <f t="shared" si="9"/>
        <v>0</v>
      </c>
      <c r="FY9" s="42">
        <f t="shared" si="9"/>
        <v>0</v>
      </c>
      <c r="FZ9" s="42">
        <f t="shared" si="9"/>
        <v>0</v>
      </c>
      <c r="GA9" s="42">
        <f t="shared" si="9"/>
        <v>0</v>
      </c>
      <c r="GB9" s="42">
        <f t="shared" si="9"/>
        <v>0</v>
      </c>
      <c r="GC9" s="42">
        <f t="shared" si="9"/>
        <v>0</v>
      </c>
      <c r="GD9" s="42">
        <f t="shared" si="9"/>
        <v>0</v>
      </c>
      <c r="GE9" s="42">
        <f t="shared" si="9"/>
        <v>0</v>
      </c>
      <c r="GF9" s="42">
        <f t="shared" si="9"/>
        <v>0</v>
      </c>
      <c r="GG9" s="42">
        <f t="shared" si="9"/>
        <v>0</v>
      </c>
      <c r="GH9" s="42">
        <f t="shared" si="9"/>
        <v>0</v>
      </c>
    </row>
    <row r="10" spans="1:190" ht="14.5" thickBot="1">
      <c r="B10" s="43" t="s">
        <v>215</v>
      </c>
      <c r="C10" s="31">
        <v>41892</v>
      </c>
      <c r="D10" s="31">
        <v>45545</v>
      </c>
      <c r="E10" s="32">
        <v>3</v>
      </c>
      <c r="F10" s="33" t="s">
        <v>3</v>
      </c>
      <c r="G10" s="34">
        <v>11.47</v>
      </c>
      <c r="H10" s="34">
        <v>349</v>
      </c>
      <c r="I10" s="32">
        <v>3.6549999999999998</v>
      </c>
      <c r="J10" s="35">
        <v>9952.93</v>
      </c>
      <c r="K10" s="44" cm="1">
        <f t="array" ref="K10">_xlfn.LET(
    _xlpm.settle,$B$3,
    _xlpm.mat,$D10,
    _xlpm.coupon,10000*$E10/200,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13.186813186813186</v>
      </c>
      <c r="L10" s="37">
        <f t="shared" si="3"/>
        <v>9966.1168131868126</v>
      </c>
      <c r="M10" s="120">
        <v>0.96734790551082928</v>
      </c>
      <c r="N10" s="45">
        <f t="shared" si="4"/>
        <v>3.4718998754904001E-2</v>
      </c>
      <c r="O10" s="99">
        <f t="shared" si="5"/>
        <v>9966.1165983792944</v>
      </c>
      <c r="P10" s="39">
        <f t="shared" si="6"/>
        <v>-2.1480751820490696E-4</v>
      </c>
      <c r="R10" s="41">
        <f t="shared" si="10"/>
        <v>11</v>
      </c>
      <c r="S10" s="42">
        <f t="shared" si="11"/>
        <v>0</v>
      </c>
      <c r="T10" s="42">
        <f t="shared" si="12"/>
        <v>150</v>
      </c>
      <c r="U10" s="42">
        <f t="shared" si="12"/>
        <v>0</v>
      </c>
      <c r="V10" s="42">
        <f t="shared" si="12"/>
        <v>10150</v>
      </c>
      <c r="W10" s="42">
        <f t="shared" si="12"/>
        <v>0</v>
      </c>
      <c r="X10" s="42">
        <f t="shared" si="12"/>
        <v>0</v>
      </c>
      <c r="Y10" s="42">
        <f t="shared" si="12"/>
        <v>0</v>
      </c>
      <c r="Z10" s="42">
        <f t="shared" si="12"/>
        <v>0</v>
      </c>
      <c r="AA10" s="42">
        <f t="shared" si="12"/>
        <v>0</v>
      </c>
      <c r="AB10" s="42">
        <f t="shared" si="12"/>
        <v>0</v>
      </c>
      <c r="AC10" s="42">
        <f t="shared" si="12"/>
        <v>0</v>
      </c>
      <c r="AD10" s="42">
        <f t="shared" si="12"/>
        <v>0</v>
      </c>
      <c r="AE10" s="42">
        <f t="shared" si="12"/>
        <v>0</v>
      </c>
      <c r="AF10" s="42">
        <f t="shared" si="12"/>
        <v>0</v>
      </c>
      <c r="AG10" s="42">
        <f t="shared" si="12"/>
        <v>0</v>
      </c>
      <c r="AH10" s="42">
        <f t="shared" si="12"/>
        <v>0</v>
      </c>
      <c r="AI10" s="42">
        <f t="shared" si="12"/>
        <v>0</v>
      </c>
      <c r="AJ10" s="42">
        <f t="shared" si="12"/>
        <v>0</v>
      </c>
      <c r="AK10" s="42">
        <f t="shared" si="12"/>
        <v>0</v>
      </c>
      <c r="AL10" s="42">
        <f t="shared" si="12"/>
        <v>0</v>
      </c>
      <c r="AM10" s="42">
        <f t="shared" si="12"/>
        <v>0</v>
      </c>
      <c r="AN10" s="42">
        <f t="shared" si="12"/>
        <v>0</v>
      </c>
      <c r="AO10" s="42">
        <f t="shared" si="12"/>
        <v>0</v>
      </c>
      <c r="AP10" s="42">
        <f t="shared" si="12"/>
        <v>0</v>
      </c>
      <c r="AQ10" s="42">
        <f t="shared" si="12"/>
        <v>0</v>
      </c>
      <c r="AR10" s="42">
        <f t="shared" si="12"/>
        <v>0</v>
      </c>
      <c r="AS10" s="42">
        <f t="shared" si="12"/>
        <v>0</v>
      </c>
      <c r="AT10" s="42">
        <f t="shared" si="12"/>
        <v>0</v>
      </c>
      <c r="AU10" s="42">
        <f t="shared" si="12"/>
        <v>0</v>
      </c>
      <c r="AV10" s="42">
        <f t="shared" si="12"/>
        <v>0</v>
      </c>
      <c r="AW10" s="42">
        <f t="shared" si="12"/>
        <v>0</v>
      </c>
      <c r="AX10" s="42">
        <f t="shared" si="12"/>
        <v>0</v>
      </c>
      <c r="AY10" s="42">
        <f t="shared" si="12"/>
        <v>0</v>
      </c>
      <c r="AZ10" s="42">
        <f t="shared" si="12"/>
        <v>0</v>
      </c>
      <c r="BA10" s="42">
        <f t="shared" si="12"/>
        <v>0</v>
      </c>
      <c r="BB10" s="42">
        <f t="shared" si="12"/>
        <v>0</v>
      </c>
      <c r="BC10" s="42">
        <f t="shared" si="12"/>
        <v>0</v>
      </c>
      <c r="BD10" s="42">
        <f t="shared" si="12"/>
        <v>0</v>
      </c>
      <c r="BE10" s="42">
        <f t="shared" si="12"/>
        <v>0</v>
      </c>
      <c r="BF10" s="42">
        <f t="shared" si="12"/>
        <v>0</v>
      </c>
      <c r="BG10" s="42">
        <f t="shared" si="12"/>
        <v>0</v>
      </c>
      <c r="BH10" s="42">
        <f t="shared" si="12"/>
        <v>0</v>
      </c>
      <c r="BI10" s="42">
        <f t="shared" si="12"/>
        <v>0</v>
      </c>
      <c r="BJ10" s="42">
        <f t="shared" si="12"/>
        <v>0</v>
      </c>
      <c r="BK10" s="42">
        <f t="shared" si="12"/>
        <v>0</v>
      </c>
      <c r="BL10" s="42">
        <f t="shared" si="12"/>
        <v>0</v>
      </c>
      <c r="BM10" s="42">
        <f t="shared" si="12"/>
        <v>0</v>
      </c>
      <c r="BN10" s="42">
        <f t="shared" si="12"/>
        <v>0</v>
      </c>
      <c r="BO10" s="42">
        <f t="shared" si="12"/>
        <v>0</v>
      </c>
      <c r="BP10" s="42">
        <f t="shared" si="12"/>
        <v>0</v>
      </c>
      <c r="BQ10" s="42">
        <f t="shared" si="12"/>
        <v>0</v>
      </c>
      <c r="BR10" s="42">
        <f t="shared" si="12"/>
        <v>0</v>
      </c>
      <c r="BS10" s="42">
        <f t="shared" si="12"/>
        <v>0</v>
      </c>
      <c r="BT10" s="42">
        <f t="shared" si="12"/>
        <v>0</v>
      </c>
      <c r="BU10" s="42">
        <f t="shared" si="12"/>
        <v>0</v>
      </c>
      <c r="BV10" s="42">
        <f t="shared" si="12"/>
        <v>0</v>
      </c>
      <c r="BW10" s="42">
        <f t="shared" si="12"/>
        <v>0</v>
      </c>
      <c r="BX10" s="42">
        <f t="shared" si="12"/>
        <v>0</v>
      </c>
      <c r="BY10" s="42">
        <f t="shared" si="12"/>
        <v>0</v>
      </c>
      <c r="BZ10" s="42">
        <f t="shared" si="12"/>
        <v>0</v>
      </c>
      <c r="CA10" s="42">
        <f t="shared" si="12"/>
        <v>0</v>
      </c>
      <c r="CB10" s="42">
        <f t="shared" si="12"/>
        <v>0</v>
      </c>
      <c r="CC10" s="42">
        <f t="shared" si="12"/>
        <v>0</v>
      </c>
      <c r="CD10" s="42">
        <f t="shared" si="12"/>
        <v>0</v>
      </c>
      <c r="CE10" s="42">
        <f t="shared" si="12"/>
        <v>0</v>
      </c>
      <c r="CF10" s="42">
        <f t="shared" si="8"/>
        <v>0</v>
      </c>
      <c r="CG10" s="42">
        <f t="shared" si="8"/>
        <v>0</v>
      </c>
      <c r="CH10" s="42">
        <f t="shared" si="8"/>
        <v>0</v>
      </c>
      <c r="CI10" s="42">
        <f t="shared" si="8"/>
        <v>0</v>
      </c>
      <c r="CJ10" s="42">
        <f t="shared" si="8"/>
        <v>0</v>
      </c>
      <c r="CK10" s="42">
        <f t="shared" si="8"/>
        <v>0</v>
      </c>
      <c r="CL10" s="42">
        <f t="shared" si="8"/>
        <v>0</v>
      </c>
      <c r="CM10" s="42">
        <f t="shared" si="8"/>
        <v>0</v>
      </c>
      <c r="CN10" s="42">
        <f t="shared" si="8"/>
        <v>0</v>
      </c>
      <c r="CO10" s="42">
        <f t="shared" si="8"/>
        <v>0</v>
      </c>
      <c r="CP10" s="42">
        <f t="shared" si="8"/>
        <v>0</v>
      </c>
      <c r="CQ10" s="42">
        <f t="shared" si="8"/>
        <v>0</v>
      </c>
      <c r="CR10" s="42">
        <f t="shared" si="8"/>
        <v>0</v>
      </c>
      <c r="CS10" s="42">
        <f t="shared" si="8"/>
        <v>0</v>
      </c>
      <c r="CT10" s="42">
        <f t="shared" si="8"/>
        <v>0</v>
      </c>
      <c r="CU10" s="42">
        <f t="shared" si="8"/>
        <v>0</v>
      </c>
      <c r="CV10" s="42">
        <f t="shared" si="8"/>
        <v>0</v>
      </c>
      <c r="CW10" s="42">
        <f t="shared" si="8"/>
        <v>0</v>
      </c>
      <c r="CX10" s="42">
        <f t="shared" si="8"/>
        <v>0</v>
      </c>
      <c r="CY10" s="42">
        <f t="shared" si="8"/>
        <v>0</v>
      </c>
      <c r="CZ10" s="42">
        <f t="shared" si="8"/>
        <v>0</v>
      </c>
      <c r="DA10" s="42">
        <f t="shared" si="8"/>
        <v>0</v>
      </c>
      <c r="DB10" s="42">
        <f t="shared" si="8"/>
        <v>0</v>
      </c>
      <c r="DC10" s="42">
        <f t="shared" si="8"/>
        <v>0</v>
      </c>
      <c r="DD10" s="42">
        <f t="shared" si="8"/>
        <v>0</v>
      </c>
      <c r="DE10" s="42">
        <f t="shared" si="8"/>
        <v>0</v>
      </c>
      <c r="DF10" s="42">
        <f t="shared" si="8"/>
        <v>0</v>
      </c>
      <c r="DG10" s="42">
        <f t="shared" si="8"/>
        <v>0</v>
      </c>
      <c r="DH10" s="42">
        <f t="shared" si="8"/>
        <v>0</v>
      </c>
      <c r="DI10" s="42">
        <f t="shared" si="8"/>
        <v>0</v>
      </c>
      <c r="DJ10" s="42">
        <f t="shared" si="8"/>
        <v>0</v>
      </c>
      <c r="DK10" s="42">
        <f t="shared" si="8"/>
        <v>0</v>
      </c>
      <c r="DL10" s="42">
        <f t="shared" si="8"/>
        <v>0</v>
      </c>
      <c r="DM10" s="42">
        <f t="shared" si="8"/>
        <v>0</v>
      </c>
      <c r="DN10" s="42">
        <f t="shared" si="8"/>
        <v>0</v>
      </c>
      <c r="DO10" s="42">
        <f t="shared" si="8"/>
        <v>0</v>
      </c>
      <c r="DP10" s="42">
        <f t="shared" si="8"/>
        <v>0</v>
      </c>
      <c r="DQ10" s="42">
        <f t="shared" si="8"/>
        <v>0</v>
      </c>
      <c r="DR10" s="42">
        <f t="shared" si="8"/>
        <v>0</v>
      </c>
      <c r="DS10" s="42">
        <f t="shared" si="8"/>
        <v>0</v>
      </c>
      <c r="DT10" s="42">
        <f t="shared" si="8"/>
        <v>0</v>
      </c>
      <c r="DU10" s="42">
        <f t="shared" si="8"/>
        <v>0</v>
      </c>
      <c r="DV10" s="42">
        <f t="shared" si="8"/>
        <v>0</v>
      </c>
      <c r="DW10" s="42">
        <f t="shared" si="8"/>
        <v>0</v>
      </c>
      <c r="DX10" s="42">
        <f t="shared" si="8"/>
        <v>0</v>
      </c>
      <c r="DY10" s="42">
        <f t="shared" si="8"/>
        <v>0</v>
      </c>
      <c r="DZ10" s="42">
        <f t="shared" si="8"/>
        <v>0</v>
      </c>
      <c r="EA10" s="42">
        <f t="shared" si="8"/>
        <v>0</v>
      </c>
      <c r="EB10" s="42">
        <f t="shared" si="8"/>
        <v>0</v>
      </c>
      <c r="EC10" s="42">
        <f t="shared" si="8"/>
        <v>0</v>
      </c>
      <c r="ED10" s="42">
        <f t="shared" si="8"/>
        <v>0</v>
      </c>
      <c r="EE10" s="42">
        <f t="shared" si="8"/>
        <v>0</v>
      </c>
      <c r="EF10" s="42">
        <f t="shared" si="8"/>
        <v>0</v>
      </c>
      <c r="EG10" s="42">
        <f t="shared" si="8"/>
        <v>0</v>
      </c>
      <c r="EH10" s="42">
        <f t="shared" si="8"/>
        <v>0</v>
      </c>
      <c r="EI10" s="42">
        <f t="shared" si="8"/>
        <v>0</v>
      </c>
      <c r="EJ10" s="42">
        <f t="shared" si="8"/>
        <v>0</v>
      </c>
      <c r="EK10" s="42">
        <f t="shared" si="8"/>
        <v>0</v>
      </c>
      <c r="EL10" s="42">
        <f t="shared" si="8"/>
        <v>0</v>
      </c>
      <c r="EM10" s="42">
        <f t="shared" si="8"/>
        <v>0</v>
      </c>
      <c r="EN10" s="42">
        <f t="shared" si="8"/>
        <v>0</v>
      </c>
      <c r="EO10" s="42">
        <f t="shared" si="8"/>
        <v>0</v>
      </c>
      <c r="EP10" s="42">
        <f t="shared" si="8"/>
        <v>0</v>
      </c>
      <c r="EQ10" s="42">
        <f t="shared" ref="EQ10:GH15" si="13">IF(
    EQ$6=$R10,
    10000+10000*$E10/200,
    IF(
        AND(EQ$6&lt;$R10,MOD($R10-EQ$6,6)=0),
        10000*$E10/200,
        0
    )
)</f>
        <v>0</v>
      </c>
      <c r="ER10" s="42">
        <f t="shared" si="13"/>
        <v>0</v>
      </c>
      <c r="ES10" s="42">
        <f t="shared" si="13"/>
        <v>0</v>
      </c>
      <c r="ET10" s="42">
        <f t="shared" si="13"/>
        <v>0</v>
      </c>
      <c r="EU10" s="42">
        <f t="shared" si="13"/>
        <v>0</v>
      </c>
      <c r="EV10" s="42">
        <f t="shared" si="13"/>
        <v>0</v>
      </c>
      <c r="EW10" s="42">
        <f t="shared" si="13"/>
        <v>0</v>
      </c>
      <c r="EX10" s="42">
        <f t="shared" si="13"/>
        <v>0</v>
      </c>
      <c r="EY10" s="42">
        <f t="shared" si="13"/>
        <v>0</v>
      </c>
      <c r="EZ10" s="42">
        <f t="shared" si="13"/>
        <v>0</v>
      </c>
      <c r="FA10" s="42">
        <f t="shared" si="13"/>
        <v>0</v>
      </c>
      <c r="FB10" s="42">
        <f t="shared" si="13"/>
        <v>0</v>
      </c>
      <c r="FC10" s="42">
        <f t="shared" si="13"/>
        <v>0</v>
      </c>
      <c r="FD10" s="42">
        <f t="shared" si="13"/>
        <v>0</v>
      </c>
      <c r="FE10" s="42">
        <f t="shared" si="13"/>
        <v>0</v>
      </c>
      <c r="FF10" s="42">
        <f t="shared" si="13"/>
        <v>0</v>
      </c>
      <c r="FG10" s="42">
        <f t="shared" si="13"/>
        <v>0</v>
      </c>
      <c r="FH10" s="42">
        <f t="shared" si="13"/>
        <v>0</v>
      </c>
      <c r="FI10" s="42">
        <f t="shared" si="13"/>
        <v>0</v>
      </c>
      <c r="FJ10" s="42">
        <f t="shared" si="13"/>
        <v>0</v>
      </c>
      <c r="FK10" s="42">
        <f t="shared" si="13"/>
        <v>0</v>
      </c>
      <c r="FL10" s="42">
        <f t="shared" si="13"/>
        <v>0</v>
      </c>
      <c r="FM10" s="42">
        <f t="shared" si="13"/>
        <v>0</v>
      </c>
      <c r="FN10" s="42">
        <f t="shared" si="13"/>
        <v>0</v>
      </c>
      <c r="FO10" s="42">
        <f t="shared" si="13"/>
        <v>0</v>
      </c>
      <c r="FP10" s="42">
        <f t="shared" si="13"/>
        <v>0</v>
      </c>
      <c r="FQ10" s="42">
        <f t="shared" si="13"/>
        <v>0</v>
      </c>
      <c r="FR10" s="42">
        <f t="shared" si="13"/>
        <v>0</v>
      </c>
      <c r="FS10" s="42">
        <f t="shared" si="13"/>
        <v>0</v>
      </c>
      <c r="FT10" s="42">
        <f t="shared" si="13"/>
        <v>0</v>
      </c>
      <c r="FU10" s="42">
        <f t="shared" si="13"/>
        <v>0</v>
      </c>
      <c r="FV10" s="42">
        <f t="shared" si="13"/>
        <v>0</v>
      </c>
      <c r="FW10" s="42">
        <f t="shared" si="13"/>
        <v>0</v>
      </c>
      <c r="FX10" s="42">
        <f t="shared" si="13"/>
        <v>0</v>
      </c>
      <c r="FY10" s="42">
        <f t="shared" si="13"/>
        <v>0</v>
      </c>
      <c r="FZ10" s="42">
        <f t="shared" si="13"/>
        <v>0</v>
      </c>
      <c r="GA10" s="42">
        <f t="shared" si="13"/>
        <v>0</v>
      </c>
      <c r="GB10" s="42">
        <f t="shared" si="13"/>
        <v>0</v>
      </c>
      <c r="GC10" s="42">
        <f t="shared" si="13"/>
        <v>0</v>
      </c>
      <c r="GD10" s="42">
        <f t="shared" si="13"/>
        <v>0</v>
      </c>
      <c r="GE10" s="42">
        <f t="shared" si="13"/>
        <v>0</v>
      </c>
      <c r="GF10" s="42">
        <f t="shared" si="13"/>
        <v>0</v>
      </c>
      <c r="GG10" s="42">
        <f t="shared" si="13"/>
        <v>0</v>
      </c>
      <c r="GH10" s="42">
        <f t="shared" si="13"/>
        <v>0</v>
      </c>
    </row>
    <row r="11" spans="1:190" ht="14.5" thickBot="1">
      <c r="B11" s="43" t="s">
        <v>216</v>
      </c>
      <c r="C11" s="31">
        <v>44540</v>
      </c>
      <c r="D11" s="31">
        <v>45636</v>
      </c>
      <c r="E11" s="32">
        <v>1.875</v>
      </c>
      <c r="F11" s="33" t="s">
        <v>4</v>
      </c>
      <c r="G11" s="34">
        <v>14.47</v>
      </c>
      <c r="H11" s="34">
        <v>441</v>
      </c>
      <c r="I11" s="32">
        <v>3.7429999999999999</v>
      </c>
      <c r="J11" s="35">
        <v>9837.52</v>
      </c>
      <c r="K11" s="44" cm="1">
        <f t="array" ref="K11">_xlfn.LET(
    _xlpm.settle,$B$3,
    _xlpm.mat,$D11,
    _xlpm.coupon,10000*$E11/200,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55.327868852459019</v>
      </c>
      <c r="L11" s="37">
        <f t="shared" si="3"/>
        <v>9892.8478688524592</v>
      </c>
      <c r="M11" s="120">
        <v>0.96178087748159091</v>
      </c>
      <c r="N11" s="45">
        <f t="shared" si="4"/>
        <v>3.2252949675337837E-2</v>
      </c>
      <c r="O11" s="99">
        <f t="shared" si="5"/>
        <v>9892.8460578133163</v>
      </c>
      <c r="P11" s="39">
        <f t="shared" si="6"/>
        <v>-1.8110391429217998E-3</v>
      </c>
      <c r="R11" s="41">
        <f t="shared" si="10"/>
        <v>14</v>
      </c>
      <c r="S11" s="42">
        <f t="shared" si="11"/>
        <v>93.75</v>
      </c>
      <c r="T11" s="42">
        <f t="shared" si="12"/>
        <v>0</v>
      </c>
      <c r="U11" s="42">
        <f t="shared" si="12"/>
        <v>93.75</v>
      </c>
      <c r="V11" s="42">
        <f t="shared" si="12"/>
        <v>0</v>
      </c>
      <c r="W11" s="42">
        <f t="shared" si="12"/>
        <v>10093.75</v>
      </c>
      <c r="X11" s="42">
        <f t="shared" si="12"/>
        <v>0</v>
      </c>
      <c r="Y11" s="42">
        <f t="shared" si="12"/>
        <v>0</v>
      </c>
      <c r="Z11" s="42">
        <f t="shared" si="12"/>
        <v>0</v>
      </c>
      <c r="AA11" s="42">
        <f t="shared" si="12"/>
        <v>0</v>
      </c>
      <c r="AB11" s="42">
        <f t="shared" si="12"/>
        <v>0</v>
      </c>
      <c r="AC11" s="42">
        <f t="shared" si="12"/>
        <v>0</v>
      </c>
      <c r="AD11" s="42">
        <f t="shared" si="12"/>
        <v>0</v>
      </c>
      <c r="AE11" s="42">
        <f t="shared" si="12"/>
        <v>0</v>
      </c>
      <c r="AF11" s="42">
        <f t="shared" si="12"/>
        <v>0</v>
      </c>
      <c r="AG11" s="42">
        <f t="shared" si="12"/>
        <v>0</v>
      </c>
      <c r="AH11" s="42">
        <f t="shared" si="12"/>
        <v>0</v>
      </c>
      <c r="AI11" s="42">
        <f t="shared" si="12"/>
        <v>0</v>
      </c>
      <c r="AJ11" s="42">
        <f t="shared" si="12"/>
        <v>0</v>
      </c>
      <c r="AK11" s="42">
        <f t="shared" si="12"/>
        <v>0</v>
      </c>
      <c r="AL11" s="42">
        <f t="shared" si="12"/>
        <v>0</v>
      </c>
      <c r="AM11" s="42">
        <f t="shared" si="12"/>
        <v>0</v>
      </c>
      <c r="AN11" s="42">
        <f t="shared" si="12"/>
        <v>0</v>
      </c>
      <c r="AO11" s="42">
        <f t="shared" si="12"/>
        <v>0</v>
      </c>
      <c r="AP11" s="42">
        <f t="shared" si="12"/>
        <v>0</v>
      </c>
      <c r="AQ11" s="42">
        <f t="shared" si="12"/>
        <v>0</v>
      </c>
      <c r="AR11" s="42">
        <f t="shared" si="12"/>
        <v>0</v>
      </c>
      <c r="AS11" s="42">
        <f t="shared" si="12"/>
        <v>0</v>
      </c>
      <c r="AT11" s="42">
        <f t="shared" si="12"/>
        <v>0</v>
      </c>
      <c r="AU11" s="42">
        <f t="shared" si="12"/>
        <v>0</v>
      </c>
      <c r="AV11" s="42">
        <f t="shared" si="12"/>
        <v>0</v>
      </c>
      <c r="AW11" s="42">
        <f t="shared" si="12"/>
        <v>0</v>
      </c>
      <c r="AX11" s="42">
        <f t="shared" si="12"/>
        <v>0</v>
      </c>
      <c r="AY11" s="42">
        <f t="shared" si="12"/>
        <v>0</v>
      </c>
      <c r="AZ11" s="42">
        <f t="shared" si="12"/>
        <v>0</v>
      </c>
      <c r="BA11" s="42">
        <f t="shared" si="12"/>
        <v>0</v>
      </c>
      <c r="BB11" s="42">
        <f t="shared" si="12"/>
        <v>0</v>
      </c>
      <c r="BC11" s="42">
        <f t="shared" si="12"/>
        <v>0</v>
      </c>
      <c r="BD11" s="42">
        <f t="shared" si="12"/>
        <v>0</v>
      </c>
      <c r="BE11" s="42">
        <f t="shared" si="12"/>
        <v>0</v>
      </c>
      <c r="BF11" s="42">
        <f t="shared" si="12"/>
        <v>0</v>
      </c>
      <c r="BG11" s="42">
        <f t="shared" si="12"/>
        <v>0</v>
      </c>
      <c r="BH11" s="42">
        <f t="shared" si="12"/>
        <v>0</v>
      </c>
      <c r="BI11" s="42">
        <f t="shared" si="12"/>
        <v>0</v>
      </c>
      <c r="BJ11" s="42">
        <f t="shared" si="12"/>
        <v>0</v>
      </c>
      <c r="BK11" s="42">
        <f t="shared" si="12"/>
        <v>0</v>
      </c>
      <c r="BL11" s="42">
        <f t="shared" si="12"/>
        <v>0</v>
      </c>
      <c r="BM11" s="42">
        <f t="shared" si="12"/>
        <v>0</v>
      </c>
      <c r="BN11" s="42">
        <f t="shared" si="12"/>
        <v>0</v>
      </c>
      <c r="BO11" s="42">
        <f t="shared" si="12"/>
        <v>0</v>
      </c>
      <c r="BP11" s="42">
        <f t="shared" si="12"/>
        <v>0</v>
      </c>
      <c r="BQ11" s="42">
        <f t="shared" si="12"/>
        <v>0</v>
      </c>
      <c r="BR11" s="42">
        <f t="shared" si="12"/>
        <v>0</v>
      </c>
      <c r="BS11" s="42">
        <f t="shared" si="12"/>
        <v>0</v>
      </c>
      <c r="BT11" s="42">
        <f t="shared" si="12"/>
        <v>0</v>
      </c>
      <c r="BU11" s="42">
        <f t="shared" si="12"/>
        <v>0</v>
      </c>
      <c r="BV11" s="42">
        <f t="shared" si="12"/>
        <v>0</v>
      </c>
      <c r="BW11" s="42">
        <f t="shared" si="12"/>
        <v>0</v>
      </c>
      <c r="BX11" s="42">
        <f t="shared" si="12"/>
        <v>0</v>
      </c>
      <c r="BY11" s="42">
        <f t="shared" si="12"/>
        <v>0</v>
      </c>
      <c r="BZ11" s="42">
        <f t="shared" si="12"/>
        <v>0</v>
      </c>
      <c r="CA11" s="42">
        <f t="shared" si="12"/>
        <v>0</v>
      </c>
      <c r="CB11" s="42">
        <f t="shared" si="12"/>
        <v>0</v>
      </c>
      <c r="CC11" s="42">
        <f t="shared" si="12"/>
        <v>0</v>
      </c>
      <c r="CD11" s="42">
        <f t="shared" si="12"/>
        <v>0</v>
      </c>
      <c r="CE11" s="42">
        <f t="shared" si="12"/>
        <v>0</v>
      </c>
      <c r="CF11" s="42">
        <f t="shared" ref="CF11:EQ23" si="14">IF(
    CF$6=$R11,
    10000+10000*$E11/200,
    IF(
        AND(CF$6&lt;$R11,MOD($R11-CF$6,6)=0),
        10000*$E11/200,
        0
    )
)</f>
        <v>0</v>
      </c>
      <c r="CG11" s="42">
        <f t="shared" si="14"/>
        <v>0</v>
      </c>
      <c r="CH11" s="42">
        <f t="shared" si="14"/>
        <v>0</v>
      </c>
      <c r="CI11" s="42">
        <f t="shared" si="14"/>
        <v>0</v>
      </c>
      <c r="CJ11" s="42">
        <f t="shared" si="14"/>
        <v>0</v>
      </c>
      <c r="CK11" s="42">
        <f t="shared" si="14"/>
        <v>0</v>
      </c>
      <c r="CL11" s="42">
        <f t="shared" si="14"/>
        <v>0</v>
      </c>
      <c r="CM11" s="42">
        <f t="shared" si="14"/>
        <v>0</v>
      </c>
      <c r="CN11" s="42">
        <f t="shared" si="14"/>
        <v>0</v>
      </c>
      <c r="CO11" s="42">
        <f t="shared" si="14"/>
        <v>0</v>
      </c>
      <c r="CP11" s="42">
        <f t="shared" si="14"/>
        <v>0</v>
      </c>
      <c r="CQ11" s="42">
        <f t="shared" si="14"/>
        <v>0</v>
      </c>
      <c r="CR11" s="42">
        <f t="shared" si="14"/>
        <v>0</v>
      </c>
      <c r="CS11" s="42">
        <f t="shared" si="14"/>
        <v>0</v>
      </c>
      <c r="CT11" s="42">
        <f t="shared" si="14"/>
        <v>0</v>
      </c>
      <c r="CU11" s="42">
        <f t="shared" si="14"/>
        <v>0</v>
      </c>
      <c r="CV11" s="42">
        <f t="shared" si="14"/>
        <v>0</v>
      </c>
      <c r="CW11" s="42">
        <f t="shared" si="14"/>
        <v>0</v>
      </c>
      <c r="CX11" s="42">
        <f t="shared" si="14"/>
        <v>0</v>
      </c>
      <c r="CY11" s="42">
        <f t="shared" si="14"/>
        <v>0</v>
      </c>
      <c r="CZ11" s="42">
        <f t="shared" si="14"/>
        <v>0</v>
      </c>
      <c r="DA11" s="42">
        <f t="shared" si="14"/>
        <v>0</v>
      </c>
      <c r="DB11" s="42">
        <f t="shared" si="14"/>
        <v>0</v>
      </c>
      <c r="DC11" s="42">
        <f t="shared" si="14"/>
        <v>0</v>
      </c>
      <c r="DD11" s="42">
        <f t="shared" si="14"/>
        <v>0</v>
      </c>
      <c r="DE11" s="42">
        <f t="shared" si="14"/>
        <v>0</v>
      </c>
      <c r="DF11" s="42">
        <f t="shared" si="14"/>
        <v>0</v>
      </c>
      <c r="DG11" s="42">
        <f t="shared" si="14"/>
        <v>0</v>
      </c>
      <c r="DH11" s="42">
        <f t="shared" si="14"/>
        <v>0</v>
      </c>
      <c r="DI11" s="42">
        <f t="shared" si="14"/>
        <v>0</v>
      </c>
      <c r="DJ11" s="42">
        <f t="shared" si="14"/>
        <v>0</v>
      </c>
      <c r="DK11" s="42">
        <f t="shared" si="14"/>
        <v>0</v>
      </c>
      <c r="DL11" s="42">
        <f t="shared" si="14"/>
        <v>0</v>
      </c>
      <c r="DM11" s="42">
        <f t="shared" si="14"/>
        <v>0</v>
      </c>
      <c r="DN11" s="42">
        <f t="shared" si="14"/>
        <v>0</v>
      </c>
      <c r="DO11" s="42">
        <f t="shared" si="14"/>
        <v>0</v>
      </c>
      <c r="DP11" s="42">
        <f t="shared" si="14"/>
        <v>0</v>
      </c>
      <c r="DQ11" s="42">
        <f t="shared" si="14"/>
        <v>0</v>
      </c>
      <c r="DR11" s="42">
        <f t="shared" si="14"/>
        <v>0</v>
      </c>
      <c r="DS11" s="42">
        <f t="shared" si="14"/>
        <v>0</v>
      </c>
      <c r="DT11" s="42">
        <f t="shared" si="14"/>
        <v>0</v>
      </c>
      <c r="DU11" s="42">
        <f t="shared" si="14"/>
        <v>0</v>
      </c>
      <c r="DV11" s="42">
        <f t="shared" si="14"/>
        <v>0</v>
      </c>
      <c r="DW11" s="42">
        <f t="shared" si="14"/>
        <v>0</v>
      </c>
      <c r="DX11" s="42">
        <f t="shared" si="14"/>
        <v>0</v>
      </c>
      <c r="DY11" s="42">
        <f t="shared" si="14"/>
        <v>0</v>
      </c>
      <c r="DZ11" s="42">
        <f t="shared" si="14"/>
        <v>0</v>
      </c>
      <c r="EA11" s="42">
        <f t="shared" si="14"/>
        <v>0</v>
      </c>
      <c r="EB11" s="42">
        <f t="shared" si="14"/>
        <v>0</v>
      </c>
      <c r="EC11" s="42">
        <f t="shared" si="14"/>
        <v>0</v>
      </c>
      <c r="ED11" s="42">
        <f t="shared" si="14"/>
        <v>0</v>
      </c>
      <c r="EE11" s="42">
        <f t="shared" si="14"/>
        <v>0</v>
      </c>
      <c r="EF11" s="42">
        <f t="shared" si="14"/>
        <v>0</v>
      </c>
      <c r="EG11" s="42">
        <f t="shared" si="14"/>
        <v>0</v>
      </c>
      <c r="EH11" s="42">
        <f t="shared" si="14"/>
        <v>0</v>
      </c>
      <c r="EI11" s="42">
        <f t="shared" si="14"/>
        <v>0</v>
      </c>
      <c r="EJ11" s="42">
        <f t="shared" si="14"/>
        <v>0</v>
      </c>
      <c r="EK11" s="42">
        <f t="shared" si="14"/>
        <v>0</v>
      </c>
      <c r="EL11" s="42">
        <f t="shared" si="14"/>
        <v>0</v>
      </c>
      <c r="EM11" s="42">
        <f t="shared" si="14"/>
        <v>0</v>
      </c>
      <c r="EN11" s="42">
        <f t="shared" si="14"/>
        <v>0</v>
      </c>
      <c r="EO11" s="42">
        <f t="shared" si="14"/>
        <v>0</v>
      </c>
      <c r="EP11" s="42">
        <f t="shared" si="14"/>
        <v>0</v>
      </c>
      <c r="EQ11" s="42">
        <f t="shared" si="14"/>
        <v>0</v>
      </c>
      <c r="ER11" s="42">
        <f t="shared" si="13"/>
        <v>0</v>
      </c>
      <c r="ES11" s="42">
        <f t="shared" si="13"/>
        <v>0</v>
      </c>
      <c r="ET11" s="42">
        <f t="shared" si="13"/>
        <v>0</v>
      </c>
      <c r="EU11" s="42">
        <f t="shared" si="13"/>
        <v>0</v>
      </c>
      <c r="EV11" s="42">
        <f t="shared" si="13"/>
        <v>0</v>
      </c>
      <c r="EW11" s="42">
        <f t="shared" si="13"/>
        <v>0</v>
      </c>
      <c r="EX11" s="42">
        <f t="shared" si="13"/>
        <v>0</v>
      </c>
      <c r="EY11" s="42">
        <f t="shared" si="13"/>
        <v>0</v>
      </c>
      <c r="EZ11" s="42">
        <f t="shared" si="13"/>
        <v>0</v>
      </c>
      <c r="FA11" s="42">
        <f t="shared" si="13"/>
        <v>0</v>
      </c>
      <c r="FB11" s="42">
        <f t="shared" si="13"/>
        <v>0</v>
      </c>
      <c r="FC11" s="42">
        <f t="shared" si="13"/>
        <v>0</v>
      </c>
      <c r="FD11" s="42">
        <f t="shared" si="13"/>
        <v>0</v>
      </c>
      <c r="FE11" s="42">
        <f t="shared" si="13"/>
        <v>0</v>
      </c>
      <c r="FF11" s="42">
        <f t="shared" si="13"/>
        <v>0</v>
      </c>
      <c r="FG11" s="42">
        <f t="shared" si="13"/>
        <v>0</v>
      </c>
      <c r="FH11" s="42">
        <f t="shared" si="13"/>
        <v>0</v>
      </c>
      <c r="FI11" s="42">
        <f t="shared" si="13"/>
        <v>0</v>
      </c>
      <c r="FJ11" s="42">
        <f t="shared" si="13"/>
        <v>0</v>
      </c>
      <c r="FK11" s="42">
        <f t="shared" si="13"/>
        <v>0</v>
      </c>
      <c r="FL11" s="42">
        <f t="shared" si="13"/>
        <v>0</v>
      </c>
      <c r="FM11" s="42">
        <f t="shared" si="13"/>
        <v>0</v>
      </c>
      <c r="FN11" s="42">
        <f t="shared" si="13"/>
        <v>0</v>
      </c>
      <c r="FO11" s="42">
        <f t="shared" si="13"/>
        <v>0</v>
      </c>
      <c r="FP11" s="42">
        <f t="shared" si="13"/>
        <v>0</v>
      </c>
      <c r="FQ11" s="42">
        <f t="shared" si="13"/>
        <v>0</v>
      </c>
      <c r="FR11" s="42">
        <f t="shared" si="13"/>
        <v>0</v>
      </c>
      <c r="FS11" s="42">
        <f t="shared" si="13"/>
        <v>0</v>
      </c>
      <c r="FT11" s="42">
        <f t="shared" si="13"/>
        <v>0</v>
      </c>
      <c r="FU11" s="42">
        <f t="shared" si="13"/>
        <v>0</v>
      </c>
      <c r="FV11" s="42">
        <f t="shared" si="13"/>
        <v>0</v>
      </c>
      <c r="FW11" s="42">
        <f t="shared" si="13"/>
        <v>0</v>
      </c>
      <c r="FX11" s="42">
        <f t="shared" si="13"/>
        <v>0</v>
      </c>
      <c r="FY11" s="42">
        <f t="shared" si="13"/>
        <v>0</v>
      </c>
      <c r="FZ11" s="42">
        <f t="shared" si="13"/>
        <v>0</v>
      </c>
      <c r="GA11" s="42">
        <f t="shared" si="13"/>
        <v>0</v>
      </c>
      <c r="GB11" s="42">
        <f t="shared" si="13"/>
        <v>0</v>
      </c>
      <c r="GC11" s="42">
        <f t="shared" si="13"/>
        <v>0</v>
      </c>
      <c r="GD11" s="42">
        <f t="shared" si="13"/>
        <v>0</v>
      </c>
      <c r="GE11" s="42">
        <f t="shared" si="13"/>
        <v>0</v>
      </c>
      <c r="GF11" s="42">
        <f t="shared" si="13"/>
        <v>0</v>
      </c>
      <c r="GG11" s="42">
        <f t="shared" si="13"/>
        <v>0</v>
      </c>
      <c r="GH11" s="42">
        <f t="shared" si="13"/>
        <v>0</v>
      </c>
    </row>
    <row r="12" spans="1:190" ht="14.5" thickBot="1">
      <c r="B12" s="43" t="s">
        <v>217</v>
      </c>
      <c r="C12" s="31">
        <v>43900</v>
      </c>
      <c r="D12" s="31">
        <v>45726</v>
      </c>
      <c r="E12" s="32">
        <v>1.5</v>
      </c>
      <c r="F12" s="33" t="s">
        <v>5</v>
      </c>
      <c r="G12" s="34">
        <v>17.47</v>
      </c>
      <c r="H12" s="34">
        <v>533</v>
      </c>
      <c r="I12" s="32">
        <v>3.82</v>
      </c>
      <c r="J12" s="35">
        <v>9681.82</v>
      </c>
      <c r="K12" s="44" cm="1">
        <f t="array" ref="K12">_xlfn.LET(
    _xlpm.settle,$B$3,
    _xlpm.mat,$D12,
    _xlpm.coupon,10000*$E12/200,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6.5934065934065931</v>
      </c>
      <c r="L12" s="37">
        <f t="shared" si="3"/>
        <v>9688.4134065934068</v>
      </c>
      <c r="M12" s="120">
        <v>0.94710616598940578</v>
      </c>
      <c r="N12" s="45">
        <f t="shared" si="4"/>
        <v>3.7214992119204836E-2</v>
      </c>
      <c r="O12" s="99">
        <f t="shared" si="5"/>
        <v>9688.4133939787644</v>
      </c>
      <c r="P12" s="39">
        <f t="shared" si="6"/>
        <v>-1.2614642400876619E-5</v>
      </c>
      <c r="R12" s="41">
        <f t="shared" si="10"/>
        <v>17</v>
      </c>
      <c r="S12" s="42">
        <f t="shared" si="11"/>
        <v>0</v>
      </c>
      <c r="T12" s="42">
        <f t="shared" si="12"/>
        <v>75</v>
      </c>
      <c r="U12" s="42">
        <f t="shared" si="12"/>
        <v>0</v>
      </c>
      <c r="V12" s="42">
        <f t="shared" si="12"/>
        <v>75</v>
      </c>
      <c r="W12" s="42">
        <f t="shared" si="12"/>
        <v>0</v>
      </c>
      <c r="X12" s="42">
        <f t="shared" si="12"/>
        <v>10075</v>
      </c>
      <c r="Y12" s="42">
        <f t="shared" si="12"/>
        <v>0</v>
      </c>
      <c r="Z12" s="42">
        <f t="shared" si="12"/>
        <v>0</v>
      </c>
      <c r="AA12" s="42">
        <f t="shared" si="12"/>
        <v>0</v>
      </c>
      <c r="AB12" s="42">
        <f t="shared" si="12"/>
        <v>0</v>
      </c>
      <c r="AC12" s="42">
        <f t="shared" si="12"/>
        <v>0</v>
      </c>
      <c r="AD12" s="42">
        <f t="shared" si="12"/>
        <v>0</v>
      </c>
      <c r="AE12" s="42">
        <f t="shared" si="12"/>
        <v>0</v>
      </c>
      <c r="AF12" s="42">
        <f t="shared" si="12"/>
        <v>0</v>
      </c>
      <c r="AG12" s="42">
        <f t="shared" si="12"/>
        <v>0</v>
      </c>
      <c r="AH12" s="42">
        <f t="shared" si="12"/>
        <v>0</v>
      </c>
      <c r="AI12" s="42">
        <f t="shared" si="12"/>
        <v>0</v>
      </c>
      <c r="AJ12" s="42">
        <f t="shared" si="12"/>
        <v>0</v>
      </c>
      <c r="AK12" s="42">
        <f t="shared" si="12"/>
        <v>0</v>
      </c>
      <c r="AL12" s="42">
        <f t="shared" si="12"/>
        <v>0</v>
      </c>
      <c r="AM12" s="42">
        <f t="shared" si="12"/>
        <v>0</v>
      </c>
      <c r="AN12" s="42">
        <f t="shared" si="12"/>
        <v>0</v>
      </c>
      <c r="AO12" s="42">
        <f t="shared" si="12"/>
        <v>0</v>
      </c>
      <c r="AP12" s="42">
        <f t="shared" si="12"/>
        <v>0</v>
      </c>
      <c r="AQ12" s="42">
        <f t="shared" si="12"/>
        <v>0</v>
      </c>
      <c r="AR12" s="42">
        <f t="shared" si="12"/>
        <v>0</v>
      </c>
      <c r="AS12" s="42">
        <f t="shared" si="12"/>
        <v>0</v>
      </c>
      <c r="AT12" s="42">
        <f t="shared" si="12"/>
        <v>0</v>
      </c>
      <c r="AU12" s="42">
        <f t="shared" si="12"/>
        <v>0</v>
      </c>
      <c r="AV12" s="42">
        <f t="shared" si="12"/>
        <v>0</v>
      </c>
      <c r="AW12" s="42">
        <f t="shared" si="12"/>
        <v>0</v>
      </c>
      <c r="AX12" s="42">
        <f t="shared" si="12"/>
        <v>0</v>
      </c>
      <c r="AY12" s="42">
        <f t="shared" si="12"/>
        <v>0</v>
      </c>
      <c r="AZ12" s="42">
        <f t="shared" si="12"/>
        <v>0</v>
      </c>
      <c r="BA12" s="42">
        <f t="shared" si="12"/>
        <v>0</v>
      </c>
      <c r="BB12" s="42">
        <f t="shared" si="12"/>
        <v>0</v>
      </c>
      <c r="BC12" s="42">
        <f t="shared" si="12"/>
        <v>0</v>
      </c>
      <c r="BD12" s="42">
        <f t="shared" si="12"/>
        <v>0</v>
      </c>
      <c r="BE12" s="42">
        <f t="shared" si="12"/>
        <v>0</v>
      </c>
      <c r="BF12" s="42">
        <f t="shared" si="12"/>
        <v>0</v>
      </c>
      <c r="BG12" s="42">
        <f t="shared" si="12"/>
        <v>0</v>
      </c>
      <c r="BH12" s="42">
        <f t="shared" si="12"/>
        <v>0</v>
      </c>
      <c r="BI12" s="42">
        <f t="shared" si="12"/>
        <v>0</v>
      </c>
      <c r="BJ12" s="42">
        <f t="shared" si="12"/>
        <v>0</v>
      </c>
      <c r="BK12" s="42">
        <f t="shared" si="12"/>
        <v>0</v>
      </c>
      <c r="BL12" s="42">
        <f t="shared" si="12"/>
        <v>0</v>
      </c>
      <c r="BM12" s="42">
        <f t="shared" si="12"/>
        <v>0</v>
      </c>
      <c r="BN12" s="42">
        <f t="shared" si="12"/>
        <v>0</v>
      </c>
      <c r="BO12" s="42">
        <f t="shared" si="12"/>
        <v>0</v>
      </c>
      <c r="BP12" s="42">
        <f t="shared" si="12"/>
        <v>0</v>
      </c>
      <c r="BQ12" s="42">
        <f t="shared" si="12"/>
        <v>0</v>
      </c>
      <c r="BR12" s="42">
        <f t="shared" si="12"/>
        <v>0</v>
      </c>
      <c r="BS12" s="42">
        <f t="shared" si="12"/>
        <v>0</v>
      </c>
      <c r="BT12" s="42">
        <f t="shared" si="12"/>
        <v>0</v>
      </c>
      <c r="BU12" s="42">
        <f t="shared" si="12"/>
        <v>0</v>
      </c>
      <c r="BV12" s="42">
        <f t="shared" si="12"/>
        <v>0</v>
      </c>
      <c r="BW12" s="42">
        <f t="shared" si="12"/>
        <v>0</v>
      </c>
      <c r="BX12" s="42">
        <f t="shared" si="12"/>
        <v>0</v>
      </c>
      <c r="BY12" s="42">
        <f t="shared" si="12"/>
        <v>0</v>
      </c>
      <c r="BZ12" s="42">
        <f t="shared" si="12"/>
        <v>0</v>
      </c>
      <c r="CA12" s="42">
        <f t="shared" si="12"/>
        <v>0</v>
      </c>
      <c r="CB12" s="42">
        <f t="shared" si="12"/>
        <v>0</v>
      </c>
      <c r="CC12" s="42">
        <f t="shared" si="12"/>
        <v>0</v>
      </c>
      <c r="CD12" s="42">
        <f t="shared" si="12"/>
        <v>0</v>
      </c>
      <c r="CE12" s="42">
        <f t="shared" ref="CE12:EP15" si="15">IF(
    CE$6=$R12,
    10000+10000*$E12/200,
    IF(
        AND(CE$6&lt;$R12,MOD($R12-CE$6,6)=0),
        10000*$E12/200,
        0
    )
)</f>
        <v>0</v>
      </c>
      <c r="CF12" s="42">
        <f t="shared" si="15"/>
        <v>0</v>
      </c>
      <c r="CG12" s="42">
        <f t="shared" si="15"/>
        <v>0</v>
      </c>
      <c r="CH12" s="42">
        <f t="shared" si="15"/>
        <v>0</v>
      </c>
      <c r="CI12" s="42">
        <f t="shared" si="15"/>
        <v>0</v>
      </c>
      <c r="CJ12" s="42">
        <f t="shared" si="15"/>
        <v>0</v>
      </c>
      <c r="CK12" s="42">
        <f t="shared" si="15"/>
        <v>0</v>
      </c>
      <c r="CL12" s="42">
        <f t="shared" si="15"/>
        <v>0</v>
      </c>
      <c r="CM12" s="42">
        <f t="shared" si="15"/>
        <v>0</v>
      </c>
      <c r="CN12" s="42">
        <f t="shared" si="15"/>
        <v>0</v>
      </c>
      <c r="CO12" s="42">
        <f t="shared" si="15"/>
        <v>0</v>
      </c>
      <c r="CP12" s="42">
        <f t="shared" si="15"/>
        <v>0</v>
      </c>
      <c r="CQ12" s="42">
        <f t="shared" si="15"/>
        <v>0</v>
      </c>
      <c r="CR12" s="42">
        <f t="shared" si="15"/>
        <v>0</v>
      </c>
      <c r="CS12" s="42">
        <f t="shared" si="15"/>
        <v>0</v>
      </c>
      <c r="CT12" s="42">
        <f t="shared" si="15"/>
        <v>0</v>
      </c>
      <c r="CU12" s="42">
        <f t="shared" si="15"/>
        <v>0</v>
      </c>
      <c r="CV12" s="42">
        <f t="shared" si="15"/>
        <v>0</v>
      </c>
      <c r="CW12" s="42">
        <f t="shared" si="15"/>
        <v>0</v>
      </c>
      <c r="CX12" s="42">
        <f t="shared" si="15"/>
        <v>0</v>
      </c>
      <c r="CY12" s="42">
        <f t="shared" si="15"/>
        <v>0</v>
      </c>
      <c r="CZ12" s="42">
        <f t="shared" si="15"/>
        <v>0</v>
      </c>
      <c r="DA12" s="42">
        <f t="shared" si="15"/>
        <v>0</v>
      </c>
      <c r="DB12" s="42">
        <f t="shared" si="15"/>
        <v>0</v>
      </c>
      <c r="DC12" s="42">
        <f t="shared" si="15"/>
        <v>0</v>
      </c>
      <c r="DD12" s="42">
        <f t="shared" si="15"/>
        <v>0</v>
      </c>
      <c r="DE12" s="42">
        <f t="shared" si="15"/>
        <v>0</v>
      </c>
      <c r="DF12" s="42">
        <f t="shared" si="15"/>
        <v>0</v>
      </c>
      <c r="DG12" s="42">
        <f t="shared" si="15"/>
        <v>0</v>
      </c>
      <c r="DH12" s="42">
        <f t="shared" si="15"/>
        <v>0</v>
      </c>
      <c r="DI12" s="42">
        <f t="shared" si="15"/>
        <v>0</v>
      </c>
      <c r="DJ12" s="42">
        <f t="shared" si="15"/>
        <v>0</v>
      </c>
      <c r="DK12" s="42">
        <f t="shared" si="15"/>
        <v>0</v>
      </c>
      <c r="DL12" s="42">
        <f t="shared" si="15"/>
        <v>0</v>
      </c>
      <c r="DM12" s="42">
        <f t="shared" si="15"/>
        <v>0</v>
      </c>
      <c r="DN12" s="42">
        <f t="shared" si="15"/>
        <v>0</v>
      </c>
      <c r="DO12" s="42">
        <f t="shared" si="15"/>
        <v>0</v>
      </c>
      <c r="DP12" s="42">
        <f t="shared" si="15"/>
        <v>0</v>
      </c>
      <c r="DQ12" s="42">
        <f t="shared" si="15"/>
        <v>0</v>
      </c>
      <c r="DR12" s="42">
        <f t="shared" si="15"/>
        <v>0</v>
      </c>
      <c r="DS12" s="42">
        <f t="shared" si="15"/>
        <v>0</v>
      </c>
      <c r="DT12" s="42">
        <f t="shared" si="15"/>
        <v>0</v>
      </c>
      <c r="DU12" s="42">
        <f t="shared" si="15"/>
        <v>0</v>
      </c>
      <c r="DV12" s="42">
        <f t="shared" si="15"/>
        <v>0</v>
      </c>
      <c r="DW12" s="42">
        <f t="shared" si="15"/>
        <v>0</v>
      </c>
      <c r="DX12" s="42">
        <f t="shared" si="15"/>
        <v>0</v>
      </c>
      <c r="DY12" s="42">
        <f t="shared" si="15"/>
        <v>0</v>
      </c>
      <c r="DZ12" s="42">
        <f t="shared" si="15"/>
        <v>0</v>
      </c>
      <c r="EA12" s="42">
        <f t="shared" si="15"/>
        <v>0</v>
      </c>
      <c r="EB12" s="42">
        <f t="shared" si="15"/>
        <v>0</v>
      </c>
      <c r="EC12" s="42">
        <f t="shared" si="15"/>
        <v>0</v>
      </c>
      <c r="ED12" s="42">
        <f t="shared" si="15"/>
        <v>0</v>
      </c>
      <c r="EE12" s="42">
        <f t="shared" si="15"/>
        <v>0</v>
      </c>
      <c r="EF12" s="42">
        <f t="shared" si="15"/>
        <v>0</v>
      </c>
      <c r="EG12" s="42">
        <f t="shared" si="15"/>
        <v>0</v>
      </c>
      <c r="EH12" s="42">
        <f t="shared" si="15"/>
        <v>0</v>
      </c>
      <c r="EI12" s="42">
        <f t="shared" si="15"/>
        <v>0</v>
      </c>
      <c r="EJ12" s="42">
        <f t="shared" si="15"/>
        <v>0</v>
      </c>
      <c r="EK12" s="42">
        <f t="shared" si="15"/>
        <v>0</v>
      </c>
      <c r="EL12" s="42">
        <f t="shared" si="15"/>
        <v>0</v>
      </c>
      <c r="EM12" s="42">
        <f t="shared" si="15"/>
        <v>0</v>
      </c>
      <c r="EN12" s="42">
        <f t="shared" si="15"/>
        <v>0</v>
      </c>
      <c r="EO12" s="42">
        <f t="shared" si="15"/>
        <v>0</v>
      </c>
      <c r="EP12" s="42">
        <f t="shared" si="15"/>
        <v>0</v>
      </c>
      <c r="EQ12" s="42">
        <f t="shared" si="14"/>
        <v>0</v>
      </c>
      <c r="ER12" s="42">
        <f t="shared" si="13"/>
        <v>0</v>
      </c>
      <c r="ES12" s="42">
        <f t="shared" si="13"/>
        <v>0</v>
      </c>
      <c r="ET12" s="42">
        <f t="shared" si="13"/>
        <v>0</v>
      </c>
      <c r="EU12" s="42">
        <f t="shared" si="13"/>
        <v>0</v>
      </c>
      <c r="EV12" s="42">
        <f t="shared" si="13"/>
        <v>0</v>
      </c>
      <c r="EW12" s="42">
        <f t="shared" si="13"/>
        <v>0</v>
      </c>
      <c r="EX12" s="42">
        <f t="shared" si="13"/>
        <v>0</v>
      </c>
      <c r="EY12" s="42">
        <f t="shared" si="13"/>
        <v>0</v>
      </c>
      <c r="EZ12" s="42">
        <f t="shared" si="13"/>
        <v>0</v>
      </c>
      <c r="FA12" s="42">
        <f t="shared" si="13"/>
        <v>0</v>
      </c>
      <c r="FB12" s="42">
        <f t="shared" si="13"/>
        <v>0</v>
      </c>
      <c r="FC12" s="42">
        <f t="shared" si="13"/>
        <v>0</v>
      </c>
      <c r="FD12" s="42">
        <f t="shared" si="13"/>
        <v>0</v>
      </c>
      <c r="FE12" s="42">
        <f t="shared" si="13"/>
        <v>0</v>
      </c>
      <c r="FF12" s="42">
        <f t="shared" si="13"/>
        <v>0</v>
      </c>
      <c r="FG12" s="42">
        <f t="shared" si="13"/>
        <v>0</v>
      </c>
      <c r="FH12" s="42">
        <f t="shared" si="13"/>
        <v>0</v>
      </c>
      <c r="FI12" s="42">
        <f t="shared" si="13"/>
        <v>0</v>
      </c>
      <c r="FJ12" s="42">
        <f t="shared" si="13"/>
        <v>0</v>
      </c>
      <c r="FK12" s="42">
        <f t="shared" si="13"/>
        <v>0</v>
      </c>
      <c r="FL12" s="42">
        <f t="shared" si="13"/>
        <v>0</v>
      </c>
      <c r="FM12" s="42">
        <f t="shared" si="13"/>
        <v>0</v>
      </c>
      <c r="FN12" s="42">
        <f t="shared" si="13"/>
        <v>0</v>
      </c>
      <c r="FO12" s="42">
        <f t="shared" si="13"/>
        <v>0</v>
      </c>
      <c r="FP12" s="42">
        <f t="shared" si="13"/>
        <v>0</v>
      </c>
      <c r="FQ12" s="42">
        <f t="shared" si="13"/>
        <v>0</v>
      </c>
      <c r="FR12" s="42">
        <f t="shared" si="13"/>
        <v>0</v>
      </c>
      <c r="FS12" s="42">
        <f t="shared" si="13"/>
        <v>0</v>
      </c>
      <c r="FT12" s="42">
        <f t="shared" si="13"/>
        <v>0</v>
      </c>
      <c r="FU12" s="42">
        <f t="shared" si="13"/>
        <v>0</v>
      </c>
      <c r="FV12" s="42">
        <f t="shared" si="13"/>
        <v>0</v>
      </c>
      <c r="FW12" s="42">
        <f t="shared" si="13"/>
        <v>0</v>
      </c>
      <c r="FX12" s="42">
        <f t="shared" si="13"/>
        <v>0</v>
      </c>
      <c r="FY12" s="42">
        <f t="shared" si="13"/>
        <v>0</v>
      </c>
      <c r="FZ12" s="42">
        <f t="shared" si="13"/>
        <v>0</v>
      </c>
      <c r="GA12" s="42">
        <f t="shared" si="13"/>
        <v>0</v>
      </c>
      <c r="GB12" s="42">
        <f t="shared" si="13"/>
        <v>0</v>
      </c>
      <c r="GC12" s="42">
        <f t="shared" si="13"/>
        <v>0</v>
      </c>
      <c r="GD12" s="42">
        <f t="shared" si="13"/>
        <v>0</v>
      </c>
      <c r="GE12" s="42">
        <f t="shared" si="13"/>
        <v>0</v>
      </c>
      <c r="GF12" s="42">
        <f t="shared" si="13"/>
        <v>0</v>
      </c>
      <c r="GG12" s="42">
        <f t="shared" si="13"/>
        <v>0</v>
      </c>
      <c r="GH12" s="42">
        <f t="shared" si="13"/>
        <v>0</v>
      </c>
    </row>
    <row r="13" spans="1:190" ht="14.5" thickBot="1">
      <c r="B13" s="43" t="s">
        <v>218</v>
      </c>
      <c r="C13" s="31">
        <v>44722</v>
      </c>
      <c r="D13" s="31">
        <v>45818</v>
      </c>
      <c r="E13" s="32">
        <v>3.125</v>
      </c>
      <c r="F13" s="33" t="s">
        <v>6</v>
      </c>
      <c r="G13" s="34">
        <v>20.47</v>
      </c>
      <c r="H13" s="34">
        <v>622</v>
      </c>
      <c r="I13" s="32">
        <v>3.8690000000000002</v>
      </c>
      <c r="J13" s="35">
        <v>9970.7900000000009</v>
      </c>
      <c r="K13" s="44" cm="1">
        <f t="array" ref="K13">_xlfn.LET(
    _xlpm.settle,$B$3,
    _xlpm.mat,$D13,
    _xlpm.coupon,10000*$E13/200,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92.213114754098356</v>
      </c>
      <c r="L13" s="37">
        <f t="shared" si="3"/>
        <v>10063.003114754099</v>
      </c>
      <c r="M13" s="120">
        <v>0.94568417285318318</v>
      </c>
      <c r="N13" s="45">
        <f t="shared" si="4"/>
        <v>3.2771730976928794E-2</v>
      </c>
      <c r="O13" s="99">
        <f t="shared" si="5"/>
        <v>10063.000352202485</v>
      </c>
      <c r="P13" s="39">
        <f t="shared" si="6"/>
        <v>-2.7625516140687978E-3</v>
      </c>
      <c r="R13" s="41">
        <f t="shared" si="10"/>
        <v>20</v>
      </c>
      <c r="S13" s="42">
        <f t="shared" si="11"/>
        <v>156.25</v>
      </c>
      <c r="T13" s="42">
        <f t="shared" ref="T13:CE16" si="16">IF(
    T$6=$R13,
    10000+10000*$E13/200,
    IF(
        AND(T$6&lt;$R13,MOD($R13-T$6,6)=0),
        10000*$E13/200,
        0
    )
)</f>
        <v>0</v>
      </c>
      <c r="U13" s="42">
        <f t="shared" si="16"/>
        <v>156.25</v>
      </c>
      <c r="V13" s="42">
        <f t="shared" si="16"/>
        <v>0</v>
      </c>
      <c r="W13" s="42">
        <f t="shared" si="16"/>
        <v>156.25</v>
      </c>
      <c r="X13" s="42">
        <f t="shared" si="16"/>
        <v>0</v>
      </c>
      <c r="Y13" s="42">
        <f t="shared" si="16"/>
        <v>10156.25</v>
      </c>
      <c r="Z13" s="42">
        <f t="shared" si="16"/>
        <v>0</v>
      </c>
      <c r="AA13" s="42">
        <f t="shared" si="16"/>
        <v>0</v>
      </c>
      <c r="AB13" s="42">
        <f t="shared" si="16"/>
        <v>0</v>
      </c>
      <c r="AC13" s="42">
        <f t="shared" si="16"/>
        <v>0</v>
      </c>
      <c r="AD13" s="42">
        <f t="shared" si="16"/>
        <v>0</v>
      </c>
      <c r="AE13" s="42">
        <f t="shared" si="16"/>
        <v>0</v>
      </c>
      <c r="AF13" s="42">
        <f t="shared" si="16"/>
        <v>0</v>
      </c>
      <c r="AG13" s="42">
        <f t="shared" si="16"/>
        <v>0</v>
      </c>
      <c r="AH13" s="42">
        <f t="shared" si="16"/>
        <v>0</v>
      </c>
      <c r="AI13" s="42">
        <f t="shared" si="16"/>
        <v>0</v>
      </c>
      <c r="AJ13" s="42">
        <f t="shared" si="16"/>
        <v>0</v>
      </c>
      <c r="AK13" s="42">
        <f t="shared" si="16"/>
        <v>0</v>
      </c>
      <c r="AL13" s="42">
        <f t="shared" si="16"/>
        <v>0</v>
      </c>
      <c r="AM13" s="42">
        <f t="shared" si="16"/>
        <v>0</v>
      </c>
      <c r="AN13" s="42">
        <f t="shared" si="16"/>
        <v>0</v>
      </c>
      <c r="AO13" s="42">
        <f t="shared" si="16"/>
        <v>0</v>
      </c>
      <c r="AP13" s="42">
        <f t="shared" si="16"/>
        <v>0</v>
      </c>
      <c r="AQ13" s="42">
        <f t="shared" si="16"/>
        <v>0</v>
      </c>
      <c r="AR13" s="42">
        <f t="shared" si="16"/>
        <v>0</v>
      </c>
      <c r="AS13" s="42">
        <f t="shared" si="16"/>
        <v>0</v>
      </c>
      <c r="AT13" s="42">
        <f t="shared" si="16"/>
        <v>0</v>
      </c>
      <c r="AU13" s="42">
        <f t="shared" si="16"/>
        <v>0</v>
      </c>
      <c r="AV13" s="42">
        <f t="shared" si="16"/>
        <v>0</v>
      </c>
      <c r="AW13" s="42">
        <f t="shared" si="16"/>
        <v>0</v>
      </c>
      <c r="AX13" s="42">
        <f t="shared" si="16"/>
        <v>0</v>
      </c>
      <c r="AY13" s="42">
        <f t="shared" si="16"/>
        <v>0</v>
      </c>
      <c r="AZ13" s="42">
        <f t="shared" si="16"/>
        <v>0</v>
      </c>
      <c r="BA13" s="42">
        <f t="shared" si="16"/>
        <v>0</v>
      </c>
      <c r="BB13" s="42">
        <f t="shared" si="16"/>
        <v>0</v>
      </c>
      <c r="BC13" s="42">
        <f t="shared" si="16"/>
        <v>0</v>
      </c>
      <c r="BD13" s="42">
        <f t="shared" si="16"/>
        <v>0</v>
      </c>
      <c r="BE13" s="42">
        <f t="shared" si="16"/>
        <v>0</v>
      </c>
      <c r="BF13" s="42">
        <f t="shared" si="16"/>
        <v>0</v>
      </c>
      <c r="BG13" s="42">
        <f t="shared" si="16"/>
        <v>0</v>
      </c>
      <c r="BH13" s="42">
        <f t="shared" si="16"/>
        <v>0</v>
      </c>
      <c r="BI13" s="42">
        <f t="shared" si="16"/>
        <v>0</v>
      </c>
      <c r="BJ13" s="42">
        <f t="shared" si="16"/>
        <v>0</v>
      </c>
      <c r="BK13" s="42">
        <f t="shared" si="16"/>
        <v>0</v>
      </c>
      <c r="BL13" s="42">
        <f t="shared" si="16"/>
        <v>0</v>
      </c>
      <c r="BM13" s="42">
        <f t="shared" si="16"/>
        <v>0</v>
      </c>
      <c r="BN13" s="42">
        <f t="shared" si="16"/>
        <v>0</v>
      </c>
      <c r="BO13" s="42">
        <f t="shared" si="16"/>
        <v>0</v>
      </c>
      <c r="BP13" s="42">
        <f t="shared" si="16"/>
        <v>0</v>
      </c>
      <c r="BQ13" s="42">
        <f t="shared" si="16"/>
        <v>0</v>
      </c>
      <c r="BR13" s="42">
        <f t="shared" si="16"/>
        <v>0</v>
      </c>
      <c r="BS13" s="42">
        <f t="shared" si="16"/>
        <v>0</v>
      </c>
      <c r="BT13" s="42">
        <f t="shared" si="16"/>
        <v>0</v>
      </c>
      <c r="BU13" s="42">
        <f t="shared" si="16"/>
        <v>0</v>
      </c>
      <c r="BV13" s="42">
        <f t="shared" si="16"/>
        <v>0</v>
      </c>
      <c r="BW13" s="42">
        <f t="shared" si="16"/>
        <v>0</v>
      </c>
      <c r="BX13" s="42">
        <f t="shared" si="16"/>
        <v>0</v>
      </c>
      <c r="BY13" s="42">
        <f t="shared" si="16"/>
        <v>0</v>
      </c>
      <c r="BZ13" s="42">
        <f t="shared" si="16"/>
        <v>0</v>
      </c>
      <c r="CA13" s="42">
        <f t="shared" si="16"/>
        <v>0</v>
      </c>
      <c r="CB13" s="42">
        <f t="shared" si="16"/>
        <v>0</v>
      </c>
      <c r="CC13" s="42">
        <f t="shared" si="16"/>
        <v>0</v>
      </c>
      <c r="CD13" s="42">
        <f t="shared" si="16"/>
        <v>0</v>
      </c>
      <c r="CE13" s="42">
        <f t="shared" si="16"/>
        <v>0</v>
      </c>
      <c r="CF13" s="42">
        <f t="shared" si="15"/>
        <v>0</v>
      </c>
      <c r="CG13" s="42">
        <f t="shared" si="15"/>
        <v>0</v>
      </c>
      <c r="CH13" s="42">
        <f t="shared" si="15"/>
        <v>0</v>
      </c>
      <c r="CI13" s="42">
        <f t="shared" si="15"/>
        <v>0</v>
      </c>
      <c r="CJ13" s="42">
        <f t="shared" si="15"/>
        <v>0</v>
      </c>
      <c r="CK13" s="42">
        <f t="shared" si="15"/>
        <v>0</v>
      </c>
      <c r="CL13" s="42">
        <f t="shared" si="15"/>
        <v>0</v>
      </c>
      <c r="CM13" s="42">
        <f t="shared" si="15"/>
        <v>0</v>
      </c>
      <c r="CN13" s="42">
        <f t="shared" si="15"/>
        <v>0</v>
      </c>
      <c r="CO13" s="42">
        <f t="shared" si="15"/>
        <v>0</v>
      </c>
      <c r="CP13" s="42">
        <f t="shared" si="15"/>
        <v>0</v>
      </c>
      <c r="CQ13" s="42">
        <f t="shared" si="15"/>
        <v>0</v>
      </c>
      <c r="CR13" s="42">
        <f t="shared" si="15"/>
        <v>0</v>
      </c>
      <c r="CS13" s="42">
        <f t="shared" si="15"/>
        <v>0</v>
      </c>
      <c r="CT13" s="42">
        <f t="shared" si="15"/>
        <v>0</v>
      </c>
      <c r="CU13" s="42">
        <f t="shared" si="15"/>
        <v>0</v>
      </c>
      <c r="CV13" s="42">
        <f t="shared" si="15"/>
        <v>0</v>
      </c>
      <c r="CW13" s="42">
        <f t="shared" si="15"/>
        <v>0</v>
      </c>
      <c r="CX13" s="42">
        <f t="shared" si="15"/>
        <v>0</v>
      </c>
      <c r="CY13" s="42">
        <f t="shared" si="15"/>
        <v>0</v>
      </c>
      <c r="CZ13" s="42">
        <f t="shared" si="15"/>
        <v>0</v>
      </c>
      <c r="DA13" s="42">
        <f t="shared" si="15"/>
        <v>0</v>
      </c>
      <c r="DB13" s="42">
        <f t="shared" si="15"/>
        <v>0</v>
      </c>
      <c r="DC13" s="42">
        <f t="shared" si="15"/>
        <v>0</v>
      </c>
      <c r="DD13" s="42">
        <f t="shared" si="15"/>
        <v>0</v>
      </c>
      <c r="DE13" s="42">
        <f t="shared" si="15"/>
        <v>0</v>
      </c>
      <c r="DF13" s="42">
        <f t="shared" si="15"/>
        <v>0</v>
      </c>
      <c r="DG13" s="42">
        <f t="shared" si="15"/>
        <v>0</v>
      </c>
      <c r="DH13" s="42">
        <f t="shared" si="15"/>
        <v>0</v>
      </c>
      <c r="DI13" s="42">
        <f t="shared" si="15"/>
        <v>0</v>
      </c>
      <c r="DJ13" s="42">
        <f t="shared" si="15"/>
        <v>0</v>
      </c>
      <c r="DK13" s="42">
        <f t="shared" si="15"/>
        <v>0</v>
      </c>
      <c r="DL13" s="42">
        <f t="shared" si="15"/>
        <v>0</v>
      </c>
      <c r="DM13" s="42">
        <f t="shared" si="15"/>
        <v>0</v>
      </c>
      <c r="DN13" s="42">
        <f t="shared" si="15"/>
        <v>0</v>
      </c>
      <c r="DO13" s="42">
        <f t="shared" si="15"/>
        <v>0</v>
      </c>
      <c r="DP13" s="42">
        <f t="shared" si="15"/>
        <v>0</v>
      </c>
      <c r="DQ13" s="42">
        <f t="shared" si="15"/>
        <v>0</v>
      </c>
      <c r="DR13" s="42">
        <f t="shared" si="15"/>
        <v>0</v>
      </c>
      <c r="DS13" s="42">
        <f t="shared" si="15"/>
        <v>0</v>
      </c>
      <c r="DT13" s="42">
        <f t="shared" si="15"/>
        <v>0</v>
      </c>
      <c r="DU13" s="42">
        <f t="shared" si="15"/>
        <v>0</v>
      </c>
      <c r="DV13" s="42">
        <f t="shared" si="15"/>
        <v>0</v>
      </c>
      <c r="DW13" s="42">
        <f t="shared" si="15"/>
        <v>0</v>
      </c>
      <c r="DX13" s="42">
        <f t="shared" si="15"/>
        <v>0</v>
      </c>
      <c r="DY13" s="42">
        <f t="shared" si="15"/>
        <v>0</v>
      </c>
      <c r="DZ13" s="42">
        <f t="shared" si="15"/>
        <v>0</v>
      </c>
      <c r="EA13" s="42">
        <f t="shared" si="15"/>
        <v>0</v>
      </c>
      <c r="EB13" s="42">
        <f t="shared" si="15"/>
        <v>0</v>
      </c>
      <c r="EC13" s="42">
        <f t="shared" si="15"/>
        <v>0</v>
      </c>
      <c r="ED13" s="42">
        <f t="shared" si="15"/>
        <v>0</v>
      </c>
      <c r="EE13" s="42">
        <f t="shared" si="15"/>
        <v>0</v>
      </c>
      <c r="EF13" s="42">
        <f t="shared" si="15"/>
        <v>0</v>
      </c>
      <c r="EG13" s="42">
        <f t="shared" si="15"/>
        <v>0</v>
      </c>
      <c r="EH13" s="42">
        <f t="shared" si="15"/>
        <v>0</v>
      </c>
      <c r="EI13" s="42">
        <f t="shared" si="15"/>
        <v>0</v>
      </c>
      <c r="EJ13" s="42">
        <f t="shared" si="15"/>
        <v>0</v>
      </c>
      <c r="EK13" s="42">
        <f t="shared" si="15"/>
        <v>0</v>
      </c>
      <c r="EL13" s="42">
        <f t="shared" si="15"/>
        <v>0</v>
      </c>
      <c r="EM13" s="42">
        <f t="shared" si="15"/>
        <v>0</v>
      </c>
      <c r="EN13" s="42">
        <f t="shared" si="15"/>
        <v>0</v>
      </c>
      <c r="EO13" s="42">
        <f t="shared" si="15"/>
        <v>0</v>
      </c>
      <c r="EP13" s="42">
        <f t="shared" si="15"/>
        <v>0</v>
      </c>
      <c r="EQ13" s="42">
        <f t="shared" si="14"/>
        <v>0</v>
      </c>
      <c r="ER13" s="42">
        <f t="shared" si="13"/>
        <v>0</v>
      </c>
      <c r="ES13" s="42">
        <f t="shared" si="13"/>
        <v>0</v>
      </c>
      <c r="ET13" s="42">
        <f t="shared" si="13"/>
        <v>0</v>
      </c>
      <c r="EU13" s="42">
        <f t="shared" si="13"/>
        <v>0</v>
      </c>
      <c r="EV13" s="42">
        <f t="shared" si="13"/>
        <v>0</v>
      </c>
      <c r="EW13" s="42">
        <f t="shared" si="13"/>
        <v>0</v>
      </c>
      <c r="EX13" s="42">
        <f t="shared" si="13"/>
        <v>0</v>
      </c>
      <c r="EY13" s="42">
        <f t="shared" si="13"/>
        <v>0</v>
      </c>
      <c r="EZ13" s="42">
        <f t="shared" si="13"/>
        <v>0</v>
      </c>
      <c r="FA13" s="42">
        <f t="shared" si="13"/>
        <v>0</v>
      </c>
      <c r="FB13" s="42">
        <f t="shared" si="13"/>
        <v>0</v>
      </c>
      <c r="FC13" s="42">
        <f t="shared" si="13"/>
        <v>0</v>
      </c>
      <c r="FD13" s="42">
        <f t="shared" si="13"/>
        <v>0</v>
      </c>
      <c r="FE13" s="42">
        <f t="shared" si="13"/>
        <v>0</v>
      </c>
      <c r="FF13" s="42">
        <f t="shared" si="13"/>
        <v>0</v>
      </c>
      <c r="FG13" s="42">
        <f t="shared" si="13"/>
        <v>0</v>
      </c>
      <c r="FH13" s="42">
        <f t="shared" si="13"/>
        <v>0</v>
      </c>
      <c r="FI13" s="42">
        <f t="shared" si="13"/>
        <v>0</v>
      </c>
      <c r="FJ13" s="42">
        <f t="shared" si="13"/>
        <v>0</v>
      </c>
      <c r="FK13" s="42">
        <f t="shared" si="13"/>
        <v>0</v>
      </c>
      <c r="FL13" s="42">
        <f t="shared" si="13"/>
        <v>0</v>
      </c>
      <c r="FM13" s="42">
        <f t="shared" si="13"/>
        <v>0</v>
      </c>
      <c r="FN13" s="42">
        <f t="shared" si="13"/>
        <v>0</v>
      </c>
      <c r="FO13" s="42">
        <f t="shared" si="13"/>
        <v>0</v>
      </c>
      <c r="FP13" s="42">
        <f t="shared" si="13"/>
        <v>0</v>
      </c>
      <c r="FQ13" s="42">
        <f t="shared" si="13"/>
        <v>0</v>
      </c>
      <c r="FR13" s="42">
        <f t="shared" si="13"/>
        <v>0</v>
      </c>
      <c r="FS13" s="42">
        <f t="shared" si="13"/>
        <v>0</v>
      </c>
      <c r="FT13" s="42">
        <f t="shared" si="13"/>
        <v>0</v>
      </c>
      <c r="FU13" s="42">
        <f t="shared" si="13"/>
        <v>0</v>
      </c>
      <c r="FV13" s="42">
        <f t="shared" si="13"/>
        <v>0</v>
      </c>
      <c r="FW13" s="42">
        <f t="shared" si="13"/>
        <v>0</v>
      </c>
      <c r="FX13" s="42">
        <f t="shared" si="13"/>
        <v>0</v>
      </c>
      <c r="FY13" s="42">
        <f t="shared" si="13"/>
        <v>0</v>
      </c>
      <c r="FZ13" s="42">
        <f t="shared" si="13"/>
        <v>0</v>
      </c>
      <c r="GA13" s="42">
        <f t="shared" si="13"/>
        <v>0</v>
      </c>
      <c r="GB13" s="42">
        <f t="shared" si="13"/>
        <v>0</v>
      </c>
      <c r="GC13" s="42">
        <f t="shared" si="13"/>
        <v>0</v>
      </c>
      <c r="GD13" s="42">
        <f t="shared" si="13"/>
        <v>0</v>
      </c>
      <c r="GE13" s="42">
        <f t="shared" si="13"/>
        <v>0</v>
      </c>
      <c r="GF13" s="42">
        <f t="shared" si="13"/>
        <v>0</v>
      </c>
      <c r="GG13" s="42">
        <f t="shared" si="13"/>
        <v>0</v>
      </c>
      <c r="GH13" s="42">
        <f t="shared" si="13"/>
        <v>0</v>
      </c>
    </row>
    <row r="14" spans="1:190" ht="14.5" thickBot="1">
      <c r="B14" s="43" t="s">
        <v>219</v>
      </c>
      <c r="C14" s="31">
        <v>44084</v>
      </c>
      <c r="D14" s="31">
        <v>45910</v>
      </c>
      <c r="E14" s="32">
        <v>1.125</v>
      </c>
      <c r="F14" s="33" t="s">
        <v>7</v>
      </c>
      <c r="G14" s="34">
        <v>23.47</v>
      </c>
      <c r="H14" s="34">
        <v>714</v>
      </c>
      <c r="I14" s="32">
        <v>3.8839999999999999</v>
      </c>
      <c r="J14" s="35">
        <v>9490.82</v>
      </c>
      <c r="K14" s="44" cm="1">
        <f t="array" ref="K14">_xlfn.LET(
    _xlpm.settle,$B$3,
    _xlpm.mat,$D14,
    _xlpm.coupon,10000*$E14/200,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4.9450549450549453</v>
      </c>
      <c r="L14" s="37">
        <f t="shared" si="3"/>
        <v>9495.7650549450555</v>
      </c>
      <c r="M14" s="120">
        <v>0.92805482962560892</v>
      </c>
      <c r="N14" s="45">
        <f t="shared" si="4"/>
        <v>3.8168808777244628E-2</v>
      </c>
      <c r="O14" s="99">
        <f t="shared" si="5"/>
        <v>9495.7651809860581</v>
      </c>
      <c r="P14" s="39">
        <f t="shared" si="6"/>
        <v>1.2604100265889429E-4</v>
      </c>
      <c r="R14" s="41">
        <f t="shared" si="10"/>
        <v>23</v>
      </c>
      <c r="S14" s="42">
        <f t="shared" si="11"/>
        <v>0</v>
      </c>
      <c r="T14" s="42">
        <f t="shared" si="16"/>
        <v>56.25</v>
      </c>
      <c r="U14" s="42">
        <f t="shared" si="16"/>
        <v>0</v>
      </c>
      <c r="V14" s="42">
        <f t="shared" si="16"/>
        <v>56.25</v>
      </c>
      <c r="W14" s="42">
        <f t="shared" si="16"/>
        <v>0</v>
      </c>
      <c r="X14" s="42">
        <f t="shared" si="16"/>
        <v>56.25</v>
      </c>
      <c r="Y14" s="42">
        <f t="shared" si="16"/>
        <v>0</v>
      </c>
      <c r="Z14" s="42">
        <f t="shared" si="16"/>
        <v>10056.25</v>
      </c>
      <c r="AA14" s="42">
        <f t="shared" si="16"/>
        <v>0</v>
      </c>
      <c r="AB14" s="42">
        <f t="shared" si="16"/>
        <v>0</v>
      </c>
      <c r="AC14" s="42">
        <f t="shared" si="16"/>
        <v>0</v>
      </c>
      <c r="AD14" s="42">
        <f t="shared" si="16"/>
        <v>0</v>
      </c>
      <c r="AE14" s="42">
        <f t="shared" si="16"/>
        <v>0</v>
      </c>
      <c r="AF14" s="42">
        <f t="shared" si="16"/>
        <v>0</v>
      </c>
      <c r="AG14" s="42">
        <f t="shared" si="16"/>
        <v>0</v>
      </c>
      <c r="AH14" s="42">
        <f t="shared" si="16"/>
        <v>0</v>
      </c>
      <c r="AI14" s="42">
        <f t="shared" si="16"/>
        <v>0</v>
      </c>
      <c r="AJ14" s="42">
        <f t="shared" si="16"/>
        <v>0</v>
      </c>
      <c r="AK14" s="42">
        <f t="shared" si="16"/>
        <v>0</v>
      </c>
      <c r="AL14" s="42">
        <f t="shared" si="16"/>
        <v>0</v>
      </c>
      <c r="AM14" s="42">
        <f t="shared" si="16"/>
        <v>0</v>
      </c>
      <c r="AN14" s="42">
        <f t="shared" si="16"/>
        <v>0</v>
      </c>
      <c r="AO14" s="42">
        <f t="shared" si="16"/>
        <v>0</v>
      </c>
      <c r="AP14" s="42">
        <f t="shared" si="16"/>
        <v>0</v>
      </c>
      <c r="AQ14" s="42">
        <f t="shared" si="16"/>
        <v>0</v>
      </c>
      <c r="AR14" s="42">
        <f t="shared" si="16"/>
        <v>0</v>
      </c>
      <c r="AS14" s="42">
        <f t="shared" si="16"/>
        <v>0</v>
      </c>
      <c r="AT14" s="42">
        <f t="shared" si="16"/>
        <v>0</v>
      </c>
      <c r="AU14" s="42">
        <f t="shared" si="16"/>
        <v>0</v>
      </c>
      <c r="AV14" s="42">
        <f t="shared" si="16"/>
        <v>0</v>
      </c>
      <c r="AW14" s="42">
        <f t="shared" si="16"/>
        <v>0</v>
      </c>
      <c r="AX14" s="42">
        <f t="shared" si="16"/>
        <v>0</v>
      </c>
      <c r="AY14" s="42">
        <f t="shared" si="16"/>
        <v>0</v>
      </c>
      <c r="AZ14" s="42">
        <f t="shared" si="16"/>
        <v>0</v>
      </c>
      <c r="BA14" s="42">
        <f t="shared" si="16"/>
        <v>0</v>
      </c>
      <c r="BB14" s="42">
        <f t="shared" si="16"/>
        <v>0</v>
      </c>
      <c r="BC14" s="42">
        <f t="shared" si="16"/>
        <v>0</v>
      </c>
      <c r="BD14" s="42">
        <f t="shared" si="16"/>
        <v>0</v>
      </c>
      <c r="BE14" s="42">
        <f t="shared" si="16"/>
        <v>0</v>
      </c>
      <c r="BF14" s="42">
        <f t="shared" si="16"/>
        <v>0</v>
      </c>
      <c r="BG14" s="42">
        <f t="shared" si="16"/>
        <v>0</v>
      </c>
      <c r="BH14" s="42">
        <f t="shared" si="16"/>
        <v>0</v>
      </c>
      <c r="BI14" s="42">
        <f t="shared" si="16"/>
        <v>0</v>
      </c>
      <c r="BJ14" s="42">
        <f t="shared" si="16"/>
        <v>0</v>
      </c>
      <c r="BK14" s="42">
        <f t="shared" si="16"/>
        <v>0</v>
      </c>
      <c r="BL14" s="42">
        <f t="shared" si="16"/>
        <v>0</v>
      </c>
      <c r="BM14" s="42">
        <f t="shared" si="16"/>
        <v>0</v>
      </c>
      <c r="BN14" s="42">
        <f t="shared" si="16"/>
        <v>0</v>
      </c>
      <c r="BO14" s="42">
        <f t="shared" si="16"/>
        <v>0</v>
      </c>
      <c r="BP14" s="42">
        <f t="shared" si="16"/>
        <v>0</v>
      </c>
      <c r="BQ14" s="42">
        <f t="shared" si="16"/>
        <v>0</v>
      </c>
      <c r="BR14" s="42">
        <f t="shared" si="16"/>
        <v>0</v>
      </c>
      <c r="BS14" s="42">
        <f t="shared" si="16"/>
        <v>0</v>
      </c>
      <c r="BT14" s="42">
        <f t="shared" si="16"/>
        <v>0</v>
      </c>
      <c r="BU14" s="42">
        <f t="shared" si="16"/>
        <v>0</v>
      </c>
      <c r="BV14" s="42">
        <f t="shared" si="16"/>
        <v>0</v>
      </c>
      <c r="BW14" s="42">
        <f t="shared" si="16"/>
        <v>0</v>
      </c>
      <c r="BX14" s="42">
        <f t="shared" si="16"/>
        <v>0</v>
      </c>
      <c r="BY14" s="42">
        <f t="shared" si="16"/>
        <v>0</v>
      </c>
      <c r="BZ14" s="42">
        <f t="shared" si="16"/>
        <v>0</v>
      </c>
      <c r="CA14" s="42">
        <f t="shared" si="16"/>
        <v>0</v>
      </c>
      <c r="CB14" s="42">
        <f t="shared" si="16"/>
        <v>0</v>
      </c>
      <c r="CC14" s="42">
        <f t="shared" si="16"/>
        <v>0</v>
      </c>
      <c r="CD14" s="42">
        <f t="shared" si="16"/>
        <v>0</v>
      </c>
      <c r="CE14" s="42">
        <f t="shared" si="16"/>
        <v>0</v>
      </c>
      <c r="CF14" s="42">
        <f t="shared" si="15"/>
        <v>0</v>
      </c>
      <c r="CG14" s="42">
        <f t="shared" si="15"/>
        <v>0</v>
      </c>
      <c r="CH14" s="42">
        <f t="shared" si="15"/>
        <v>0</v>
      </c>
      <c r="CI14" s="42">
        <f t="shared" si="15"/>
        <v>0</v>
      </c>
      <c r="CJ14" s="42">
        <f t="shared" si="15"/>
        <v>0</v>
      </c>
      <c r="CK14" s="42">
        <f t="shared" si="15"/>
        <v>0</v>
      </c>
      <c r="CL14" s="42">
        <f t="shared" si="15"/>
        <v>0</v>
      </c>
      <c r="CM14" s="42">
        <f t="shared" si="15"/>
        <v>0</v>
      </c>
      <c r="CN14" s="42">
        <f t="shared" si="15"/>
        <v>0</v>
      </c>
      <c r="CO14" s="42">
        <f t="shared" si="15"/>
        <v>0</v>
      </c>
      <c r="CP14" s="42">
        <f t="shared" si="15"/>
        <v>0</v>
      </c>
      <c r="CQ14" s="42">
        <f t="shared" si="15"/>
        <v>0</v>
      </c>
      <c r="CR14" s="42">
        <f t="shared" si="15"/>
        <v>0</v>
      </c>
      <c r="CS14" s="42">
        <f t="shared" si="15"/>
        <v>0</v>
      </c>
      <c r="CT14" s="42">
        <f t="shared" si="15"/>
        <v>0</v>
      </c>
      <c r="CU14" s="42">
        <f t="shared" si="15"/>
        <v>0</v>
      </c>
      <c r="CV14" s="42">
        <f t="shared" si="15"/>
        <v>0</v>
      </c>
      <c r="CW14" s="42">
        <f t="shared" si="15"/>
        <v>0</v>
      </c>
      <c r="CX14" s="42">
        <f t="shared" si="15"/>
        <v>0</v>
      </c>
      <c r="CY14" s="42">
        <f t="shared" si="15"/>
        <v>0</v>
      </c>
      <c r="CZ14" s="42">
        <f t="shared" si="15"/>
        <v>0</v>
      </c>
      <c r="DA14" s="42">
        <f t="shared" si="15"/>
        <v>0</v>
      </c>
      <c r="DB14" s="42">
        <f t="shared" si="15"/>
        <v>0</v>
      </c>
      <c r="DC14" s="42">
        <f t="shared" si="15"/>
        <v>0</v>
      </c>
      <c r="DD14" s="42">
        <f t="shared" si="15"/>
        <v>0</v>
      </c>
      <c r="DE14" s="42">
        <f t="shared" si="15"/>
        <v>0</v>
      </c>
      <c r="DF14" s="42">
        <f t="shared" si="15"/>
        <v>0</v>
      </c>
      <c r="DG14" s="42">
        <f t="shared" si="15"/>
        <v>0</v>
      </c>
      <c r="DH14" s="42">
        <f t="shared" si="15"/>
        <v>0</v>
      </c>
      <c r="DI14" s="42">
        <f t="shared" si="15"/>
        <v>0</v>
      </c>
      <c r="DJ14" s="42">
        <f t="shared" si="15"/>
        <v>0</v>
      </c>
      <c r="DK14" s="42">
        <f t="shared" si="15"/>
        <v>0</v>
      </c>
      <c r="DL14" s="42">
        <f t="shared" si="15"/>
        <v>0</v>
      </c>
      <c r="DM14" s="42">
        <f t="shared" si="15"/>
        <v>0</v>
      </c>
      <c r="DN14" s="42">
        <f t="shared" si="15"/>
        <v>0</v>
      </c>
      <c r="DO14" s="42">
        <f t="shared" si="15"/>
        <v>0</v>
      </c>
      <c r="DP14" s="42">
        <f t="shared" si="15"/>
        <v>0</v>
      </c>
      <c r="DQ14" s="42">
        <f t="shared" si="15"/>
        <v>0</v>
      </c>
      <c r="DR14" s="42">
        <f t="shared" si="15"/>
        <v>0</v>
      </c>
      <c r="DS14" s="42">
        <f t="shared" si="15"/>
        <v>0</v>
      </c>
      <c r="DT14" s="42">
        <f t="shared" si="15"/>
        <v>0</v>
      </c>
      <c r="DU14" s="42">
        <f t="shared" si="15"/>
        <v>0</v>
      </c>
      <c r="DV14" s="42">
        <f t="shared" si="15"/>
        <v>0</v>
      </c>
      <c r="DW14" s="42">
        <f t="shared" si="15"/>
        <v>0</v>
      </c>
      <c r="DX14" s="42">
        <f t="shared" si="15"/>
        <v>0</v>
      </c>
      <c r="DY14" s="42">
        <f t="shared" si="15"/>
        <v>0</v>
      </c>
      <c r="DZ14" s="42">
        <f t="shared" si="15"/>
        <v>0</v>
      </c>
      <c r="EA14" s="42">
        <f t="shared" si="15"/>
        <v>0</v>
      </c>
      <c r="EB14" s="42">
        <f t="shared" si="15"/>
        <v>0</v>
      </c>
      <c r="EC14" s="42">
        <f t="shared" si="15"/>
        <v>0</v>
      </c>
      <c r="ED14" s="42">
        <f t="shared" si="15"/>
        <v>0</v>
      </c>
      <c r="EE14" s="42">
        <f t="shared" si="15"/>
        <v>0</v>
      </c>
      <c r="EF14" s="42">
        <f t="shared" si="15"/>
        <v>0</v>
      </c>
      <c r="EG14" s="42">
        <f t="shared" si="15"/>
        <v>0</v>
      </c>
      <c r="EH14" s="42">
        <f t="shared" si="15"/>
        <v>0</v>
      </c>
      <c r="EI14" s="42">
        <f t="shared" si="15"/>
        <v>0</v>
      </c>
      <c r="EJ14" s="42">
        <f t="shared" si="15"/>
        <v>0</v>
      </c>
      <c r="EK14" s="42">
        <f t="shared" si="15"/>
        <v>0</v>
      </c>
      <c r="EL14" s="42">
        <f t="shared" si="15"/>
        <v>0</v>
      </c>
      <c r="EM14" s="42">
        <f t="shared" si="15"/>
        <v>0</v>
      </c>
      <c r="EN14" s="42">
        <f t="shared" si="15"/>
        <v>0</v>
      </c>
      <c r="EO14" s="42">
        <f t="shared" si="15"/>
        <v>0</v>
      </c>
      <c r="EP14" s="42">
        <f t="shared" si="15"/>
        <v>0</v>
      </c>
      <c r="EQ14" s="42">
        <f t="shared" si="14"/>
        <v>0</v>
      </c>
      <c r="ER14" s="42">
        <f t="shared" si="13"/>
        <v>0</v>
      </c>
      <c r="ES14" s="42">
        <f t="shared" si="13"/>
        <v>0</v>
      </c>
      <c r="ET14" s="42">
        <f t="shared" si="13"/>
        <v>0</v>
      </c>
      <c r="EU14" s="42">
        <f t="shared" si="13"/>
        <v>0</v>
      </c>
      <c r="EV14" s="42">
        <f t="shared" si="13"/>
        <v>0</v>
      </c>
      <c r="EW14" s="42">
        <f t="shared" si="13"/>
        <v>0</v>
      </c>
      <c r="EX14" s="42">
        <f t="shared" si="13"/>
        <v>0</v>
      </c>
      <c r="EY14" s="42">
        <f t="shared" si="13"/>
        <v>0</v>
      </c>
      <c r="EZ14" s="42">
        <f t="shared" si="13"/>
        <v>0</v>
      </c>
      <c r="FA14" s="42">
        <f t="shared" si="13"/>
        <v>0</v>
      </c>
      <c r="FB14" s="42">
        <f t="shared" si="13"/>
        <v>0</v>
      </c>
      <c r="FC14" s="42">
        <f t="shared" si="13"/>
        <v>0</v>
      </c>
      <c r="FD14" s="42">
        <f t="shared" si="13"/>
        <v>0</v>
      </c>
      <c r="FE14" s="42">
        <f t="shared" si="13"/>
        <v>0</v>
      </c>
      <c r="FF14" s="42">
        <f t="shared" si="13"/>
        <v>0</v>
      </c>
      <c r="FG14" s="42">
        <f t="shared" si="13"/>
        <v>0</v>
      </c>
      <c r="FH14" s="42">
        <f t="shared" si="13"/>
        <v>0</v>
      </c>
      <c r="FI14" s="42">
        <f t="shared" si="13"/>
        <v>0</v>
      </c>
      <c r="FJ14" s="42">
        <f t="shared" si="13"/>
        <v>0</v>
      </c>
      <c r="FK14" s="42">
        <f t="shared" si="13"/>
        <v>0</v>
      </c>
      <c r="FL14" s="42">
        <f t="shared" si="13"/>
        <v>0</v>
      </c>
      <c r="FM14" s="42">
        <f t="shared" si="13"/>
        <v>0</v>
      </c>
      <c r="FN14" s="42">
        <f t="shared" si="13"/>
        <v>0</v>
      </c>
      <c r="FO14" s="42">
        <f t="shared" si="13"/>
        <v>0</v>
      </c>
      <c r="FP14" s="42">
        <f t="shared" si="13"/>
        <v>0</v>
      </c>
      <c r="FQ14" s="42">
        <f t="shared" si="13"/>
        <v>0</v>
      </c>
      <c r="FR14" s="42">
        <f t="shared" si="13"/>
        <v>0</v>
      </c>
      <c r="FS14" s="42">
        <f t="shared" si="13"/>
        <v>0</v>
      </c>
      <c r="FT14" s="42">
        <f t="shared" si="13"/>
        <v>0</v>
      </c>
      <c r="FU14" s="42">
        <f t="shared" si="13"/>
        <v>0</v>
      </c>
      <c r="FV14" s="42">
        <f t="shared" si="13"/>
        <v>0</v>
      </c>
      <c r="FW14" s="42">
        <f t="shared" si="13"/>
        <v>0</v>
      </c>
      <c r="FX14" s="42">
        <f t="shared" si="13"/>
        <v>0</v>
      </c>
      <c r="FY14" s="42">
        <f t="shared" si="13"/>
        <v>0</v>
      </c>
      <c r="FZ14" s="42">
        <f t="shared" si="13"/>
        <v>0</v>
      </c>
      <c r="GA14" s="42">
        <f t="shared" si="13"/>
        <v>0</v>
      </c>
      <c r="GB14" s="42">
        <f t="shared" si="13"/>
        <v>0</v>
      </c>
      <c r="GC14" s="42">
        <f t="shared" si="13"/>
        <v>0</v>
      </c>
      <c r="GD14" s="42">
        <f t="shared" si="13"/>
        <v>0</v>
      </c>
      <c r="GE14" s="42">
        <f t="shared" si="13"/>
        <v>0</v>
      </c>
      <c r="GF14" s="42">
        <f t="shared" si="13"/>
        <v>0</v>
      </c>
      <c r="GG14" s="42">
        <f t="shared" si="13"/>
        <v>0</v>
      </c>
      <c r="GH14" s="42">
        <f t="shared" si="13"/>
        <v>0</v>
      </c>
    </row>
    <row r="15" spans="1:190" ht="14.5" thickBot="1">
      <c r="B15" s="43" t="s">
        <v>220</v>
      </c>
      <c r="C15" s="31">
        <v>42348</v>
      </c>
      <c r="D15" s="31">
        <v>46001</v>
      </c>
      <c r="E15" s="32">
        <v>2.25</v>
      </c>
      <c r="F15" s="33" t="s">
        <v>8</v>
      </c>
      <c r="G15" s="34">
        <v>26.47</v>
      </c>
      <c r="H15" s="34">
        <v>806</v>
      </c>
      <c r="I15" s="32">
        <v>3.927</v>
      </c>
      <c r="J15" s="35">
        <v>9715.69</v>
      </c>
      <c r="K15" s="44" cm="1">
        <f t="array" ref="K15">_xlfn.LET(
    _xlpm.settle,$B$3,
    _xlpm.mat,$D15,
    _xlpm.coupon,10000*$E15/200,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66.393442622950815</v>
      </c>
      <c r="L15" s="37">
        <f t="shared" si="3"/>
        <v>9782.0834426229521</v>
      </c>
      <c r="M15" s="120">
        <v>0.9241678348020772</v>
      </c>
      <c r="N15" s="45">
        <f t="shared" si="4"/>
        <v>3.5712752258221687E-2</v>
      </c>
      <c r="O15" s="99">
        <f t="shared" si="5"/>
        <v>9782.0814384788773</v>
      </c>
      <c r="P15" s="39">
        <f t="shared" si="6"/>
        <v>-2.0041440748173045E-3</v>
      </c>
      <c r="R15" s="41">
        <f t="shared" si="10"/>
        <v>26</v>
      </c>
      <c r="S15" s="42">
        <f t="shared" si="11"/>
        <v>112.5</v>
      </c>
      <c r="T15" s="42">
        <f t="shared" si="16"/>
        <v>0</v>
      </c>
      <c r="U15" s="42">
        <f t="shared" si="16"/>
        <v>112.5</v>
      </c>
      <c r="V15" s="42">
        <f t="shared" si="16"/>
        <v>0</v>
      </c>
      <c r="W15" s="42">
        <f t="shared" si="16"/>
        <v>112.5</v>
      </c>
      <c r="X15" s="42">
        <f t="shared" si="16"/>
        <v>0</v>
      </c>
      <c r="Y15" s="42">
        <f t="shared" si="16"/>
        <v>112.5</v>
      </c>
      <c r="Z15" s="42">
        <f t="shared" si="16"/>
        <v>0</v>
      </c>
      <c r="AA15" s="42">
        <f t="shared" si="16"/>
        <v>10112.5</v>
      </c>
      <c r="AB15" s="42">
        <f t="shared" si="16"/>
        <v>0</v>
      </c>
      <c r="AC15" s="42">
        <f t="shared" si="16"/>
        <v>0</v>
      </c>
      <c r="AD15" s="42">
        <f t="shared" si="16"/>
        <v>0</v>
      </c>
      <c r="AE15" s="42">
        <f t="shared" si="16"/>
        <v>0</v>
      </c>
      <c r="AF15" s="42">
        <f t="shared" si="16"/>
        <v>0</v>
      </c>
      <c r="AG15" s="42">
        <f t="shared" si="16"/>
        <v>0</v>
      </c>
      <c r="AH15" s="42">
        <f t="shared" si="16"/>
        <v>0</v>
      </c>
      <c r="AI15" s="42">
        <f t="shared" si="16"/>
        <v>0</v>
      </c>
      <c r="AJ15" s="42">
        <f t="shared" si="16"/>
        <v>0</v>
      </c>
      <c r="AK15" s="42">
        <f t="shared" si="16"/>
        <v>0</v>
      </c>
      <c r="AL15" s="42">
        <f t="shared" si="16"/>
        <v>0</v>
      </c>
      <c r="AM15" s="42">
        <f t="shared" si="16"/>
        <v>0</v>
      </c>
      <c r="AN15" s="42">
        <f t="shared" si="16"/>
        <v>0</v>
      </c>
      <c r="AO15" s="42">
        <f t="shared" si="16"/>
        <v>0</v>
      </c>
      <c r="AP15" s="42">
        <f t="shared" si="16"/>
        <v>0</v>
      </c>
      <c r="AQ15" s="42">
        <f t="shared" si="16"/>
        <v>0</v>
      </c>
      <c r="AR15" s="42">
        <f t="shared" si="16"/>
        <v>0</v>
      </c>
      <c r="AS15" s="42">
        <f t="shared" si="16"/>
        <v>0</v>
      </c>
      <c r="AT15" s="42">
        <f t="shared" si="16"/>
        <v>0</v>
      </c>
      <c r="AU15" s="42">
        <f t="shared" si="16"/>
        <v>0</v>
      </c>
      <c r="AV15" s="42">
        <f t="shared" si="16"/>
        <v>0</v>
      </c>
      <c r="AW15" s="42">
        <f t="shared" si="16"/>
        <v>0</v>
      </c>
      <c r="AX15" s="42">
        <f t="shared" si="16"/>
        <v>0</v>
      </c>
      <c r="AY15" s="42">
        <f t="shared" si="16"/>
        <v>0</v>
      </c>
      <c r="AZ15" s="42">
        <f t="shared" si="16"/>
        <v>0</v>
      </c>
      <c r="BA15" s="42">
        <f t="shared" si="16"/>
        <v>0</v>
      </c>
      <c r="BB15" s="42">
        <f t="shared" si="16"/>
        <v>0</v>
      </c>
      <c r="BC15" s="42">
        <f t="shared" si="16"/>
        <v>0</v>
      </c>
      <c r="BD15" s="42">
        <f t="shared" si="16"/>
        <v>0</v>
      </c>
      <c r="BE15" s="42">
        <f t="shared" si="16"/>
        <v>0</v>
      </c>
      <c r="BF15" s="42">
        <f t="shared" si="16"/>
        <v>0</v>
      </c>
      <c r="BG15" s="42">
        <f t="shared" si="16"/>
        <v>0</v>
      </c>
      <c r="BH15" s="42">
        <f t="shared" si="16"/>
        <v>0</v>
      </c>
      <c r="BI15" s="42">
        <f t="shared" si="16"/>
        <v>0</v>
      </c>
      <c r="BJ15" s="42">
        <f t="shared" si="16"/>
        <v>0</v>
      </c>
      <c r="BK15" s="42">
        <f t="shared" si="16"/>
        <v>0</v>
      </c>
      <c r="BL15" s="42">
        <f t="shared" si="16"/>
        <v>0</v>
      </c>
      <c r="BM15" s="42">
        <f t="shared" si="16"/>
        <v>0</v>
      </c>
      <c r="BN15" s="42">
        <f t="shared" si="16"/>
        <v>0</v>
      </c>
      <c r="BO15" s="42">
        <f t="shared" si="16"/>
        <v>0</v>
      </c>
      <c r="BP15" s="42">
        <f t="shared" si="16"/>
        <v>0</v>
      </c>
      <c r="BQ15" s="42">
        <f t="shared" si="16"/>
        <v>0</v>
      </c>
      <c r="BR15" s="42">
        <f t="shared" si="16"/>
        <v>0</v>
      </c>
      <c r="BS15" s="42">
        <f t="shared" si="16"/>
        <v>0</v>
      </c>
      <c r="BT15" s="42">
        <f t="shared" si="16"/>
        <v>0</v>
      </c>
      <c r="BU15" s="42">
        <f t="shared" si="16"/>
        <v>0</v>
      </c>
      <c r="BV15" s="42">
        <f t="shared" si="16"/>
        <v>0</v>
      </c>
      <c r="BW15" s="42">
        <f t="shared" si="16"/>
        <v>0</v>
      </c>
      <c r="BX15" s="42">
        <f t="shared" si="16"/>
        <v>0</v>
      </c>
      <c r="BY15" s="42">
        <f t="shared" si="16"/>
        <v>0</v>
      </c>
      <c r="BZ15" s="42">
        <f t="shared" si="16"/>
        <v>0</v>
      </c>
      <c r="CA15" s="42">
        <f t="shared" si="16"/>
        <v>0</v>
      </c>
      <c r="CB15" s="42">
        <f t="shared" si="16"/>
        <v>0</v>
      </c>
      <c r="CC15" s="42">
        <f t="shared" si="16"/>
        <v>0</v>
      </c>
      <c r="CD15" s="42">
        <f t="shared" si="16"/>
        <v>0</v>
      </c>
      <c r="CE15" s="42">
        <f t="shared" si="16"/>
        <v>0</v>
      </c>
      <c r="CF15" s="42">
        <f t="shared" si="15"/>
        <v>0</v>
      </c>
      <c r="CG15" s="42">
        <f t="shared" si="15"/>
        <v>0</v>
      </c>
      <c r="CH15" s="42">
        <f t="shared" si="15"/>
        <v>0</v>
      </c>
      <c r="CI15" s="42">
        <f t="shared" si="15"/>
        <v>0</v>
      </c>
      <c r="CJ15" s="42">
        <f t="shared" si="15"/>
        <v>0</v>
      </c>
      <c r="CK15" s="42">
        <f t="shared" si="15"/>
        <v>0</v>
      </c>
      <c r="CL15" s="42">
        <f t="shared" si="15"/>
        <v>0</v>
      </c>
      <c r="CM15" s="42">
        <f t="shared" si="15"/>
        <v>0</v>
      </c>
      <c r="CN15" s="42">
        <f t="shared" si="15"/>
        <v>0</v>
      </c>
      <c r="CO15" s="42">
        <f t="shared" si="15"/>
        <v>0</v>
      </c>
      <c r="CP15" s="42">
        <f t="shared" si="15"/>
        <v>0</v>
      </c>
      <c r="CQ15" s="42">
        <f t="shared" si="15"/>
        <v>0</v>
      </c>
      <c r="CR15" s="42">
        <f t="shared" si="15"/>
        <v>0</v>
      </c>
      <c r="CS15" s="42">
        <f t="shared" si="15"/>
        <v>0</v>
      </c>
      <c r="CT15" s="42">
        <f t="shared" si="15"/>
        <v>0</v>
      </c>
      <c r="CU15" s="42">
        <f t="shared" si="15"/>
        <v>0</v>
      </c>
      <c r="CV15" s="42">
        <f t="shared" si="15"/>
        <v>0</v>
      </c>
      <c r="CW15" s="42">
        <f t="shared" si="15"/>
        <v>0</v>
      </c>
      <c r="CX15" s="42">
        <f t="shared" si="15"/>
        <v>0</v>
      </c>
      <c r="CY15" s="42">
        <f t="shared" si="15"/>
        <v>0</v>
      </c>
      <c r="CZ15" s="42">
        <f t="shared" si="15"/>
        <v>0</v>
      </c>
      <c r="DA15" s="42">
        <f t="shared" si="15"/>
        <v>0</v>
      </c>
      <c r="DB15" s="42">
        <f t="shared" si="15"/>
        <v>0</v>
      </c>
      <c r="DC15" s="42">
        <f t="shared" si="15"/>
        <v>0</v>
      </c>
      <c r="DD15" s="42">
        <f t="shared" si="15"/>
        <v>0</v>
      </c>
      <c r="DE15" s="42">
        <f t="shared" si="15"/>
        <v>0</v>
      </c>
      <c r="DF15" s="42">
        <f t="shared" si="15"/>
        <v>0</v>
      </c>
      <c r="DG15" s="42">
        <f t="shared" si="15"/>
        <v>0</v>
      </c>
      <c r="DH15" s="42">
        <f t="shared" si="15"/>
        <v>0</v>
      </c>
      <c r="DI15" s="42">
        <f t="shared" si="15"/>
        <v>0</v>
      </c>
      <c r="DJ15" s="42">
        <f t="shared" si="15"/>
        <v>0</v>
      </c>
      <c r="DK15" s="42">
        <f t="shared" si="15"/>
        <v>0</v>
      </c>
      <c r="DL15" s="42">
        <f t="shared" si="15"/>
        <v>0</v>
      </c>
      <c r="DM15" s="42">
        <f t="shared" si="15"/>
        <v>0</v>
      </c>
      <c r="DN15" s="42">
        <f t="shared" si="15"/>
        <v>0</v>
      </c>
      <c r="DO15" s="42">
        <f t="shared" si="15"/>
        <v>0</v>
      </c>
      <c r="DP15" s="42">
        <f t="shared" si="15"/>
        <v>0</v>
      </c>
      <c r="DQ15" s="42">
        <f t="shared" si="15"/>
        <v>0</v>
      </c>
      <c r="DR15" s="42">
        <f t="shared" si="15"/>
        <v>0</v>
      </c>
      <c r="DS15" s="42">
        <f t="shared" si="15"/>
        <v>0</v>
      </c>
      <c r="DT15" s="42">
        <f t="shared" si="15"/>
        <v>0</v>
      </c>
      <c r="DU15" s="42">
        <f t="shared" si="15"/>
        <v>0</v>
      </c>
      <c r="DV15" s="42">
        <f t="shared" si="15"/>
        <v>0</v>
      </c>
      <c r="DW15" s="42">
        <f t="shared" si="15"/>
        <v>0</v>
      </c>
      <c r="DX15" s="42">
        <f t="shared" si="15"/>
        <v>0</v>
      </c>
      <c r="DY15" s="42">
        <f t="shared" si="15"/>
        <v>0</v>
      </c>
      <c r="DZ15" s="42">
        <f t="shared" si="15"/>
        <v>0</v>
      </c>
      <c r="EA15" s="42">
        <f t="shared" si="15"/>
        <v>0</v>
      </c>
      <c r="EB15" s="42">
        <f t="shared" si="15"/>
        <v>0</v>
      </c>
      <c r="EC15" s="42">
        <f t="shared" si="15"/>
        <v>0</v>
      </c>
      <c r="ED15" s="42">
        <f t="shared" si="15"/>
        <v>0</v>
      </c>
      <c r="EE15" s="42">
        <f t="shared" si="15"/>
        <v>0</v>
      </c>
      <c r="EF15" s="42">
        <f t="shared" si="15"/>
        <v>0</v>
      </c>
      <c r="EG15" s="42">
        <f t="shared" si="15"/>
        <v>0</v>
      </c>
      <c r="EH15" s="42">
        <f t="shared" si="15"/>
        <v>0</v>
      </c>
      <c r="EI15" s="42">
        <f t="shared" si="15"/>
        <v>0</v>
      </c>
      <c r="EJ15" s="42">
        <f t="shared" si="15"/>
        <v>0</v>
      </c>
      <c r="EK15" s="42">
        <f t="shared" si="15"/>
        <v>0</v>
      </c>
      <c r="EL15" s="42">
        <f t="shared" si="15"/>
        <v>0</v>
      </c>
      <c r="EM15" s="42">
        <f t="shared" si="15"/>
        <v>0</v>
      </c>
      <c r="EN15" s="42">
        <f t="shared" si="15"/>
        <v>0</v>
      </c>
      <c r="EO15" s="42">
        <f t="shared" si="15"/>
        <v>0</v>
      </c>
      <c r="EP15" s="42">
        <f t="shared" si="15"/>
        <v>0</v>
      </c>
      <c r="EQ15" s="42">
        <f t="shared" si="14"/>
        <v>0</v>
      </c>
      <c r="ER15" s="42">
        <f t="shared" si="13"/>
        <v>0</v>
      </c>
      <c r="ES15" s="42">
        <f t="shared" si="13"/>
        <v>0</v>
      </c>
      <c r="ET15" s="42">
        <f t="shared" si="13"/>
        <v>0</v>
      </c>
      <c r="EU15" s="42">
        <f t="shared" si="13"/>
        <v>0</v>
      </c>
      <c r="EV15" s="42">
        <f t="shared" si="13"/>
        <v>0</v>
      </c>
      <c r="EW15" s="42">
        <f t="shared" si="13"/>
        <v>0</v>
      </c>
      <c r="EX15" s="42">
        <f t="shared" si="13"/>
        <v>0</v>
      </c>
      <c r="EY15" s="42">
        <f t="shared" si="13"/>
        <v>0</v>
      </c>
      <c r="EZ15" s="42">
        <f t="shared" si="13"/>
        <v>0</v>
      </c>
      <c r="FA15" s="42">
        <f t="shared" si="13"/>
        <v>0</v>
      </c>
      <c r="FB15" s="42">
        <f t="shared" si="13"/>
        <v>0</v>
      </c>
      <c r="FC15" s="42">
        <f t="shared" si="13"/>
        <v>0</v>
      </c>
      <c r="FD15" s="42">
        <f t="shared" si="13"/>
        <v>0</v>
      </c>
      <c r="FE15" s="42">
        <f t="shared" si="13"/>
        <v>0</v>
      </c>
      <c r="FF15" s="42">
        <f t="shared" si="13"/>
        <v>0</v>
      </c>
      <c r="FG15" s="42">
        <f t="shared" si="13"/>
        <v>0</v>
      </c>
      <c r="FH15" s="42">
        <f t="shared" si="13"/>
        <v>0</v>
      </c>
      <c r="FI15" s="42">
        <f t="shared" si="13"/>
        <v>0</v>
      </c>
      <c r="FJ15" s="42">
        <f t="shared" si="13"/>
        <v>0</v>
      </c>
      <c r="FK15" s="42">
        <f t="shared" si="13"/>
        <v>0</v>
      </c>
      <c r="FL15" s="42">
        <f t="shared" si="13"/>
        <v>0</v>
      </c>
      <c r="FM15" s="42">
        <f t="shared" si="13"/>
        <v>0</v>
      </c>
      <c r="FN15" s="42">
        <f t="shared" si="13"/>
        <v>0</v>
      </c>
      <c r="FO15" s="42">
        <f t="shared" si="13"/>
        <v>0</v>
      </c>
      <c r="FP15" s="42">
        <f t="shared" si="13"/>
        <v>0</v>
      </c>
      <c r="FQ15" s="42">
        <f t="shared" si="13"/>
        <v>0</v>
      </c>
      <c r="FR15" s="42">
        <f t="shared" si="13"/>
        <v>0</v>
      </c>
      <c r="FS15" s="42">
        <f t="shared" si="13"/>
        <v>0</v>
      </c>
      <c r="FT15" s="42">
        <f t="shared" si="13"/>
        <v>0</v>
      </c>
      <c r="FU15" s="42">
        <f t="shared" si="13"/>
        <v>0</v>
      </c>
      <c r="FV15" s="42">
        <f t="shared" si="13"/>
        <v>0</v>
      </c>
      <c r="FW15" s="42">
        <f t="shared" si="13"/>
        <v>0</v>
      </c>
      <c r="FX15" s="42">
        <f t="shared" si="13"/>
        <v>0</v>
      </c>
      <c r="FY15" s="42">
        <f t="shared" si="13"/>
        <v>0</v>
      </c>
      <c r="FZ15" s="42">
        <f t="shared" si="13"/>
        <v>0</v>
      </c>
      <c r="GA15" s="42">
        <f t="shared" si="13"/>
        <v>0</v>
      </c>
      <c r="GB15" s="42">
        <f t="shared" si="13"/>
        <v>0</v>
      </c>
      <c r="GC15" s="42">
        <f t="shared" si="13"/>
        <v>0</v>
      </c>
      <c r="GD15" s="42">
        <f t="shared" si="13"/>
        <v>0</v>
      </c>
      <c r="GE15" s="42">
        <f t="shared" ref="GE15:GH15" si="17">IF(
    GE$6=$R15,
    10000+10000*$E15/200,
    IF(
        AND(GE$6&lt;$R15,MOD($R15-GE$6,6)=0),
        10000*$E15/200,
        0
    )
)</f>
        <v>0</v>
      </c>
      <c r="GF15" s="42">
        <f t="shared" si="17"/>
        <v>0</v>
      </c>
      <c r="GG15" s="42">
        <f t="shared" si="17"/>
        <v>0</v>
      </c>
      <c r="GH15" s="42">
        <f t="shared" si="17"/>
        <v>0</v>
      </c>
    </row>
    <row r="16" spans="1:190" ht="14.5" thickBot="1">
      <c r="B16" s="43" t="s">
        <v>221</v>
      </c>
      <c r="C16" s="31">
        <v>44265</v>
      </c>
      <c r="D16" s="31">
        <v>46091</v>
      </c>
      <c r="E16" s="32">
        <v>1.25</v>
      </c>
      <c r="F16" s="33" t="s">
        <v>9</v>
      </c>
      <c r="G16" s="34">
        <v>29.47</v>
      </c>
      <c r="H16" s="34">
        <v>898</v>
      </c>
      <c r="I16" s="32">
        <v>3.9060000000000001</v>
      </c>
      <c r="J16" s="35">
        <v>9389.82</v>
      </c>
      <c r="K16" s="44" cm="1">
        <f t="array" ref="K16">_xlfn.LET(
    _xlpm.settle,$B$3,
    _xlpm.mat,$D16,
    _xlpm.coupon,10000*$E16/200,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5.4945054945054945</v>
      </c>
      <c r="L16" s="37">
        <f t="shared" si="3"/>
        <v>9395.3145054945053</v>
      </c>
      <c r="M16" s="120">
        <v>0.9099314044663912</v>
      </c>
      <c r="N16" s="45">
        <f t="shared" si="4"/>
        <v>3.8364045252994743E-2</v>
      </c>
      <c r="O16" s="99">
        <f t="shared" si="5"/>
        <v>9395.3146293652499</v>
      </c>
      <c r="P16" s="39">
        <f t="shared" si="6"/>
        <v>1.2387074457365088E-4</v>
      </c>
      <c r="R16" s="41">
        <f t="shared" si="10"/>
        <v>29</v>
      </c>
      <c r="S16" s="42">
        <f t="shared" si="11"/>
        <v>0</v>
      </c>
      <c r="T16" s="42">
        <f t="shared" si="16"/>
        <v>62.5</v>
      </c>
      <c r="U16" s="42">
        <f t="shared" si="16"/>
        <v>0</v>
      </c>
      <c r="V16" s="42">
        <f t="shared" si="16"/>
        <v>62.5</v>
      </c>
      <c r="W16" s="42">
        <f t="shared" si="16"/>
        <v>0</v>
      </c>
      <c r="X16" s="42">
        <f t="shared" si="16"/>
        <v>62.5</v>
      </c>
      <c r="Y16" s="42">
        <f t="shared" si="16"/>
        <v>0</v>
      </c>
      <c r="Z16" s="42">
        <f t="shared" si="16"/>
        <v>62.5</v>
      </c>
      <c r="AA16" s="42">
        <f t="shared" si="16"/>
        <v>0</v>
      </c>
      <c r="AB16" s="42">
        <f t="shared" si="16"/>
        <v>10062.5</v>
      </c>
      <c r="AC16" s="42">
        <f t="shared" si="16"/>
        <v>0</v>
      </c>
      <c r="AD16" s="42">
        <f t="shared" si="16"/>
        <v>0</v>
      </c>
      <c r="AE16" s="42">
        <f t="shared" si="16"/>
        <v>0</v>
      </c>
      <c r="AF16" s="42">
        <f t="shared" si="16"/>
        <v>0</v>
      </c>
      <c r="AG16" s="42">
        <f t="shared" si="16"/>
        <v>0</v>
      </c>
      <c r="AH16" s="42">
        <f t="shared" si="16"/>
        <v>0</v>
      </c>
      <c r="AI16" s="42">
        <f t="shared" si="16"/>
        <v>0</v>
      </c>
      <c r="AJ16" s="42">
        <f t="shared" si="16"/>
        <v>0</v>
      </c>
      <c r="AK16" s="42">
        <f t="shared" si="16"/>
        <v>0</v>
      </c>
      <c r="AL16" s="42">
        <f t="shared" si="16"/>
        <v>0</v>
      </c>
      <c r="AM16" s="42">
        <f t="shared" si="16"/>
        <v>0</v>
      </c>
      <c r="AN16" s="42">
        <f t="shared" si="16"/>
        <v>0</v>
      </c>
      <c r="AO16" s="42">
        <f t="shared" si="16"/>
        <v>0</v>
      </c>
      <c r="AP16" s="42">
        <f t="shared" si="16"/>
        <v>0</v>
      </c>
      <c r="AQ16" s="42">
        <f t="shared" si="16"/>
        <v>0</v>
      </c>
      <c r="AR16" s="42">
        <f t="shared" si="16"/>
        <v>0</v>
      </c>
      <c r="AS16" s="42">
        <f t="shared" si="16"/>
        <v>0</v>
      </c>
      <c r="AT16" s="42">
        <f t="shared" si="16"/>
        <v>0</v>
      </c>
      <c r="AU16" s="42">
        <f t="shared" si="16"/>
        <v>0</v>
      </c>
      <c r="AV16" s="42">
        <f t="shared" si="16"/>
        <v>0</v>
      </c>
      <c r="AW16" s="42">
        <f t="shared" si="16"/>
        <v>0</v>
      </c>
      <c r="AX16" s="42">
        <f t="shared" si="16"/>
        <v>0</v>
      </c>
      <c r="AY16" s="42">
        <f t="shared" si="16"/>
        <v>0</v>
      </c>
      <c r="AZ16" s="42">
        <f t="shared" si="16"/>
        <v>0</v>
      </c>
      <c r="BA16" s="42">
        <f t="shared" si="16"/>
        <v>0</v>
      </c>
      <c r="BB16" s="42">
        <f t="shared" si="16"/>
        <v>0</v>
      </c>
      <c r="BC16" s="42">
        <f t="shared" si="16"/>
        <v>0</v>
      </c>
      <c r="BD16" s="42">
        <f t="shared" si="16"/>
        <v>0</v>
      </c>
      <c r="BE16" s="42">
        <f t="shared" si="16"/>
        <v>0</v>
      </c>
      <c r="BF16" s="42">
        <f t="shared" si="16"/>
        <v>0</v>
      </c>
      <c r="BG16" s="42">
        <f t="shared" si="16"/>
        <v>0</v>
      </c>
      <c r="BH16" s="42">
        <f t="shared" si="16"/>
        <v>0</v>
      </c>
      <c r="BI16" s="42">
        <f t="shared" si="16"/>
        <v>0</v>
      </c>
      <c r="BJ16" s="42">
        <f t="shared" si="16"/>
        <v>0</v>
      </c>
      <c r="BK16" s="42">
        <f t="shared" si="16"/>
        <v>0</v>
      </c>
      <c r="BL16" s="42">
        <f t="shared" si="16"/>
        <v>0</v>
      </c>
      <c r="BM16" s="42">
        <f t="shared" si="16"/>
        <v>0</v>
      </c>
      <c r="BN16" s="42">
        <f t="shared" si="16"/>
        <v>0</v>
      </c>
      <c r="BO16" s="42">
        <f t="shared" si="16"/>
        <v>0</v>
      </c>
      <c r="BP16" s="42">
        <f t="shared" si="16"/>
        <v>0</v>
      </c>
      <c r="BQ16" s="42">
        <f t="shared" si="16"/>
        <v>0</v>
      </c>
      <c r="BR16" s="42">
        <f t="shared" si="16"/>
        <v>0</v>
      </c>
      <c r="BS16" s="42">
        <f t="shared" si="16"/>
        <v>0</v>
      </c>
      <c r="BT16" s="42">
        <f t="shared" si="16"/>
        <v>0</v>
      </c>
      <c r="BU16" s="42">
        <f t="shared" si="16"/>
        <v>0</v>
      </c>
      <c r="BV16" s="42">
        <f t="shared" si="16"/>
        <v>0</v>
      </c>
      <c r="BW16" s="42">
        <f t="shared" si="16"/>
        <v>0</v>
      </c>
      <c r="BX16" s="42">
        <f t="shared" si="16"/>
        <v>0</v>
      </c>
      <c r="BY16" s="42">
        <f t="shared" si="16"/>
        <v>0</v>
      </c>
      <c r="BZ16" s="42">
        <f t="shared" si="16"/>
        <v>0</v>
      </c>
      <c r="CA16" s="42">
        <f t="shared" si="16"/>
        <v>0</v>
      </c>
      <c r="CB16" s="42">
        <f t="shared" si="16"/>
        <v>0</v>
      </c>
      <c r="CC16" s="42">
        <f t="shared" si="16"/>
        <v>0</v>
      </c>
      <c r="CD16" s="42">
        <f t="shared" si="16"/>
        <v>0</v>
      </c>
      <c r="CE16" s="42">
        <f t="shared" ref="CE16:EP19" si="18">IF(
    CE$6=$R16,
    10000+10000*$E16/200,
    IF(
        AND(CE$6&lt;$R16,MOD($R16-CE$6,6)=0),
        10000*$E16/200,
        0
    )
)</f>
        <v>0</v>
      </c>
      <c r="CF16" s="42">
        <f t="shared" si="18"/>
        <v>0</v>
      </c>
      <c r="CG16" s="42">
        <f t="shared" si="18"/>
        <v>0</v>
      </c>
      <c r="CH16" s="42">
        <f t="shared" si="18"/>
        <v>0</v>
      </c>
      <c r="CI16" s="42">
        <f t="shared" si="18"/>
        <v>0</v>
      </c>
      <c r="CJ16" s="42">
        <f t="shared" si="18"/>
        <v>0</v>
      </c>
      <c r="CK16" s="42">
        <f t="shared" si="18"/>
        <v>0</v>
      </c>
      <c r="CL16" s="42">
        <f t="shared" si="18"/>
        <v>0</v>
      </c>
      <c r="CM16" s="42">
        <f t="shared" si="18"/>
        <v>0</v>
      </c>
      <c r="CN16" s="42">
        <f t="shared" si="18"/>
        <v>0</v>
      </c>
      <c r="CO16" s="42">
        <f t="shared" si="18"/>
        <v>0</v>
      </c>
      <c r="CP16" s="42">
        <f t="shared" si="18"/>
        <v>0</v>
      </c>
      <c r="CQ16" s="42">
        <f t="shared" si="18"/>
        <v>0</v>
      </c>
      <c r="CR16" s="42">
        <f t="shared" si="18"/>
        <v>0</v>
      </c>
      <c r="CS16" s="42">
        <f t="shared" si="18"/>
        <v>0</v>
      </c>
      <c r="CT16" s="42">
        <f t="shared" si="18"/>
        <v>0</v>
      </c>
      <c r="CU16" s="42">
        <f t="shared" si="18"/>
        <v>0</v>
      </c>
      <c r="CV16" s="42">
        <f t="shared" si="18"/>
        <v>0</v>
      </c>
      <c r="CW16" s="42">
        <f t="shared" si="18"/>
        <v>0</v>
      </c>
      <c r="CX16" s="42">
        <f t="shared" si="18"/>
        <v>0</v>
      </c>
      <c r="CY16" s="42">
        <f t="shared" si="18"/>
        <v>0</v>
      </c>
      <c r="CZ16" s="42">
        <f t="shared" si="18"/>
        <v>0</v>
      </c>
      <c r="DA16" s="42">
        <f t="shared" si="18"/>
        <v>0</v>
      </c>
      <c r="DB16" s="42">
        <f t="shared" si="18"/>
        <v>0</v>
      </c>
      <c r="DC16" s="42">
        <f t="shared" si="18"/>
        <v>0</v>
      </c>
      <c r="DD16" s="42">
        <f t="shared" si="18"/>
        <v>0</v>
      </c>
      <c r="DE16" s="42">
        <f t="shared" si="18"/>
        <v>0</v>
      </c>
      <c r="DF16" s="42">
        <f t="shared" si="18"/>
        <v>0</v>
      </c>
      <c r="DG16" s="42">
        <f t="shared" si="18"/>
        <v>0</v>
      </c>
      <c r="DH16" s="42">
        <f t="shared" si="18"/>
        <v>0</v>
      </c>
      <c r="DI16" s="42">
        <f t="shared" si="18"/>
        <v>0</v>
      </c>
      <c r="DJ16" s="42">
        <f t="shared" si="18"/>
        <v>0</v>
      </c>
      <c r="DK16" s="42">
        <f t="shared" si="18"/>
        <v>0</v>
      </c>
      <c r="DL16" s="42">
        <f t="shared" si="18"/>
        <v>0</v>
      </c>
      <c r="DM16" s="42">
        <f t="shared" si="18"/>
        <v>0</v>
      </c>
      <c r="DN16" s="42">
        <f t="shared" si="18"/>
        <v>0</v>
      </c>
      <c r="DO16" s="42">
        <f t="shared" si="18"/>
        <v>0</v>
      </c>
      <c r="DP16" s="42">
        <f t="shared" si="18"/>
        <v>0</v>
      </c>
      <c r="DQ16" s="42">
        <f t="shared" si="18"/>
        <v>0</v>
      </c>
      <c r="DR16" s="42">
        <f t="shared" si="18"/>
        <v>0</v>
      </c>
      <c r="DS16" s="42">
        <f t="shared" si="18"/>
        <v>0</v>
      </c>
      <c r="DT16" s="42">
        <f t="shared" si="18"/>
        <v>0</v>
      </c>
      <c r="DU16" s="42">
        <f t="shared" si="18"/>
        <v>0</v>
      </c>
      <c r="DV16" s="42">
        <f t="shared" si="18"/>
        <v>0</v>
      </c>
      <c r="DW16" s="42">
        <f t="shared" si="18"/>
        <v>0</v>
      </c>
      <c r="DX16" s="42">
        <f t="shared" si="18"/>
        <v>0</v>
      </c>
      <c r="DY16" s="42">
        <f t="shared" si="18"/>
        <v>0</v>
      </c>
      <c r="DZ16" s="42">
        <f t="shared" si="18"/>
        <v>0</v>
      </c>
      <c r="EA16" s="42">
        <f t="shared" si="18"/>
        <v>0</v>
      </c>
      <c r="EB16" s="42">
        <f t="shared" si="18"/>
        <v>0</v>
      </c>
      <c r="EC16" s="42">
        <f t="shared" si="18"/>
        <v>0</v>
      </c>
      <c r="ED16" s="42">
        <f t="shared" si="18"/>
        <v>0</v>
      </c>
      <c r="EE16" s="42">
        <f t="shared" si="18"/>
        <v>0</v>
      </c>
      <c r="EF16" s="42">
        <f t="shared" si="18"/>
        <v>0</v>
      </c>
      <c r="EG16" s="42">
        <f t="shared" si="18"/>
        <v>0</v>
      </c>
      <c r="EH16" s="42">
        <f t="shared" si="18"/>
        <v>0</v>
      </c>
      <c r="EI16" s="42">
        <f t="shared" si="18"/>
        <v>0</v>
      </c>
      <c r="EJ16" s="42">
        <f t="shared" si="18"/>
        <v>0</v>
      </c>
      <c r="EK16" s="42">
        <f t="shared" si="18"/>
        <v>0</v>
      </c>
      <c r="EL16" s="42">
        <f t="shared" si="18"/>
        <v>0</v>
      </c>
      <c r="EM16" s="42">
        <f t="shared" si="18"/>
        <v>0</v>
      </c>
      <c r="EN16" s="42">
        <f t="shared" si="18"/>
        <v>0</v>
      </c>
      <c r="EO16" s="42">
        <f t="shared" si="18"/>
        <v>0</v>
      </c>
      <c r="EP16" s="42">
        <f t="shared" si="18"/>
        <v>0</v>
      </c>
      <c r="EQ16" s="42">
        <f t="shared" si="14"/>
        <v>0</v>
      </c>
      <c r="ER16" s="42">
        <f t="shared" ref="ER16:GH21" si="19">IF(
    ER$6=$R16,
    10000+10000*$E16/200,
    IF(
        AND(ER$6&lt;$R16,MOD($R16-ER$6,6)=0),
        10000*$E16/200,
        0
    )
)</f>
        <v>0</v>
      </c>
      <c r="ES16" s="42">
        <f t="shared" si="19"/>
        <v>0</v>
      </c>
      <c r="ET16" s="42">
        <f t="shared" si="19"/>
        <v>0</v>
      </c>
      <c r="EU16" s="42">
        <f t="shared" si="19"/>
        <v>0</v>
      </c>
      <c r="EV16" s="42">
        <f t="shared" si="19"/>
        <v>0</v>
      </c>
      <c r="EW16" s="42">
        <f t="shared" si="19"/>
        <v>0</v>
      </c>
      <c r="EX16" s="42">
        <f t="shared" si="19"/>
        <v>0</v>
      </c>
      <c r="EY16" s="42">
        <f t="shared" si="19"/>
        <v>0</v>
      </c>
      <c r="EZ16" s="42">
        <f t="shared" si="19"/>
        <v>0</v>
      </c>
      <c r="FA16" s="42">
        <f t="shared" si="19"/>
        <v>0</v>
      </c>
      <c r="FB16" s="42">
        <f t="shared" si="19"/>
        <v>0</v>
      </c>
      <c r="FC16" s="42">
        <f t="shared" si="19"/>
        <v>0</v>
      </c>
      <c r="FD16" s="42">
        <f t="shared" si="19"/>
        <v>0</v>
      </c>
      <c r="FE16" s="42">
        <f t="shared" si="19"/>
        <v>0</v>
      </c>
      <c r="FF16" s="42">
        <f t="shared" si="19"/>
        <v>0</v>
      </c>
      <c r="FG16" s="42">
        <f t="shared" si="19"/>
        <v>0</v>
      </c>
      <c r="FH16" s="42">
        <f t="shared" si="19"/>
        <v>0</v>
      </c>
      <c r="FI16" s="42">
        <f t="shared" si="19"/>
        <v>0</v>
      </c>
      <c r="FJ16" s="42">
        <f t="shared" si="19"/>
        <v>0</v>
      </c>
      <c r="FK16" s="42">
        <f t="shared" si="19"/>
        <v>0</v>
      </c>
      <c r="FL16" s="42">
        <f t="shared" si="19"/>
        <v>0</v>
      </c>
      <c r="FM16" s="42">
        <f t="shared" si="19"/>
        <v>0</v>
      </c>
      <c r="FN16" s="42">
        <f t="shared" si="19"/>
        <v>0</v>
      </c>
      <c r="FO16" s="42">
        <f t="shared" si="19"/>
        <v>0</v>
      </c>
      <c r="FP16" s="42">
        <f t="shared" si="19"/>
        <v>0</v>
      </c>
      <c r="FQ16" s="42">
        <f t="shared" si="19"/>
        <v>0</v>
      </c>
      <c r="FR16" s="42">
        <f t="shared" si="19"/>
        <v>0</v>
      </c>
      <c r="FS16" s="42">
        <f t="shared" si="19"/>
        <v>0</v>
      </c>
      <c r="FT16" s="42">
        <f t="shared" si="19"/>
        <v>0</v>
      </c>
      <c r="FU16" s="42">
        <f t="shared" si="19"/>
        <v>0</v>
      </c>
      <c r="FV16" s="42">
        <f t="shared" si="19"/>
        <v>0</v>
      </c>
      <c r="FW16" s="42">
        <f t="shared" si="19"/>
        <v>0</v>
      </c>
      <c r="FX16" s="42">
        <f t="shared" si="19"/>
        <v>0</v>
      </c>
      <c r="FY16" s="42">
        <f t="shared" si="19"/>
        <v>0</v>
      </c>
      <c r="FZ16" s="42">
        <f t="shared" si="19"/>
        <v>0</v>
      </c>
      <c r="GA16" s="42">
        <f t="shared" si="19"/>
        <v>0</v>
      </c>
      <c r="GB16" s="42">
        <f t="shared" si="19"/>
        <v>0</v>
      </c>
      <c r="GC16" s="42">
        <f t="shared" si="19"/>
        <v>0</v>
      </c>
      <c r="GD16" s="42">
        <f t="shared" si="19"/>
        <v>0</v>
      </c>
      <c r="GE16" s="42">
        <f t="shared" si="19"/>
        <v>0</v>
      </c>
      <c r="GF16" s="42">
        <f t="shared" si="19"/>
        <v>0</v>
      </c>
      <c r="GG16" s="42">
        <f t="shared" si="19"/>
        <v>0</v>
      </c>
      <c r="GH16" s="42">
        <f t="shared" si="19"/>
        <v>0</v>
      </c>
    </row>
    <row r="17" spans="2:190" ht="14.5" thickBot="1">
      <c r="B17" s="43" t="s">
        <v>222</v>
      </c>
      <c r="C17" s="31">
        <v>42531</v>
      </c>
      <c r="D17" s="31">
        <v>46183</v>
      </c>
      <c r="E17" s="32">
        <v>1.875</v>
      </c>
      <c r="F17" s="33" t="s">
        <v>10</v>
      </c>
      <c r="G17" s="34">
        <v>32.47</v>
      </c>
      <c r="H17" s="34">
        <v>987</v>
      </c>
      <c r="I17" s="32">
        <v>3.9369999999999998</v>
      </c>
      <c r="J17" s="35">
        <v>9531.4</v>
      </c>
      <c r="K17" s="44" cm="1">
        <f t="array" ref="K17">_xlfn.LET(
    _xlpm.settle,$B$3,
    _xlpm.mat,$D17,
    _xlpm.coupon,10000*$E17/200,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55.327868852459019</v>
      </c>
      <c r="L17" s="37">
        <f t="shared" si="3"/>
        <v>9586.7278688524584</v>
      </c>
      <c r="M17" s="120">
        <v>0.90515322441716783</v>
      </c>
      <c r="N17" s="45">
        <f t="shared" si="4"/>
        <v>3.6851702042299622E-2</v>
      </c>
      <c r="O17" s="99">
        <f t="shared" si="5"/>
        <v>9586.7262676758746</v>
      </c>
      <c r="P17" s="39">
        <f t="shared" si="6"/>
        <v>-1.6011765837902203E-3</v>
      </c>
      <c r="R17" s="41">
        <f t="shared" si="10"/>
        <v>32</v>
      </c>
      <c r="S17" s="42">
        <f t="shared" si="11"/>
        <v>93.75</v>
      </c>
      <c r="T17" s="42">
        <f t="shared" ref="T17:CE20" si="20">IF(
    T$6=$R17,
    10000+10000*$E17/200,
    IF(
        AND(T$6&lt;$R17,MOD($R17-T$6,6)=0),
        10000*$E17/200,
        0
    )
)</f>
        <v>0</v>
      </c>
      <c r="U17" s="42">
        <f t="shared" si="20"/>
        <v>93.75</v>
      </c>
      <c r="V17" s="42">
        <f t="shared" si="20"/>
        <v>0</v>
      </c>
      <c r="W17" s="42">
        <f t="shared" si="20"/>
        <v>93.75</v>
      </c>
      <c r="X17" s="42">
        <f t="shared" si="20"/>
        <v>0</v>
      </c>
      <c r="Y17" s="42">
        <f t="shared" si="20"/>
        <v>93.75</v>
      </c>
      <c r="Z17" s="42">
        <f t="shared" si="20"/>
        <v>0</v>
      </c>
      <c r="AA17" s="42">
        <f t="shared" si="20"/>
        <v>93.75</v>
      </c>
      <c r="AB17" s="42">
        <f t="shared" si="20"/>
        <v>0</v>
      </c>
      <c r="AC17" s="42">
        <f t="shared" si="20"/>
        <v>10093.75</v>
      </c>
      <c r="AD17" s="42">
        <f t="shared" si="20"/>
        <v>0</v>
      </c>
      <c r="AE17" s="42">
        <f t="shared" si="20"/>
        <v>0</v>
      </c>
      <c r="AF17" s="42">
        <f t="shared" si="20"/>
        <v>0</v>
      </c>
      <c r="AG17" s="42">
        <f t="shared" si="20"/>
        <v>0</v>
      </c>
      <c r="AH17" s="42">
        <f t="shared" si="20"/>
        <v>0</v>
      </c>
      <c r="AI17" s="42">
        <f t="shared" si="20"/>
        <v>0</v>
      </c>
      <c r="AJ17" s="42">
        <f t="shared" si="20"/>
        <v>0</v>
      </c>
      <c r="AK17" s="42">
        <f t="shared" si="20"/>
        <v>0</v>
      </c>
      <c r="AL17" s="42">
        <f t="shared" si="20"/>
        <v>0</v>
      </c>
      <c r="AM17" s="42">
        <f t="shared" si="20"/>
        <v>0</v>
      </c>
      <c r="AN17" s="42">
        <f t="shared" si="20"/>
        <v>0</v>
      </c>
      <c r="AO17" s="42">
        <f t="shared" si="20"/>
        <v>0</v>
      </c>
      <c r="AP17" s="42">
        <f t="shared" si="20"/>
        <v>0</v>
      </c>
      <c r="AQ17" s="42">
        <f t="shared" si="20"/>
        <v>0</v>
      </c>
      <c r="AR17" s="42">
        <f t="shared" si="20"/>
        <v>0</v>
      </c>
      <c r="AS17" s="42">
        <f t="shared" si="20"/>
        <v>0</v>
      </c>
      <c r="AT17" s="42">
        <f t="shared" si="20"/>
        <v>0</v>
      </c>
      <c r="AU17" s="42">
        <f t="shared" si="20"/>
        <v>0</v>
      </c>
      <c r="AV17" s="42">
        <f t="shared" si="20"/>
        <v>0</v>
      </c>
      <c r="AW17" s="42">
        <f t="shared" si="20"/>
        <v>0</v>
      </c>
      <c r="AX17" s="42">
        <f t="shared" si="20"/>
        <v>0</v>
      </c>
      <c r="AY17" s="42">
        <f t="shared" si="20"/>
        <v>0</v>
      </c>
      <c r="AZ17" s="42">
        <f t="shared" si="20"/>
        <v>0</v>
      </c>
      <c r="BA17" s="42">
        <f t="shared" si="20"/>
        <v>0</v>
      </c>
      <c r="BB17" s="42">
        <f t="shared" si="20"/>
        <v>0</v>
      </c>
      <c r="BC17" s="42">
        <f t="shared" si="20"/>
        <v>0</v>
      </c>
      <c r="BD17" s="42">
        <f t="shared" si="20"/>
        <v>0</v>
      </c>
      <c r="BE17" s="42">
        <f t="shared" si="20"/>
        <v>0</v>
      </c>
      <c r="BF17" s="42">
        <f t="shared" si="20"/>
        <v>0</v>
      </c>
      <c r="BG17" s="42">
        <f t="shared" si="20"/>
        <v>0</v>
      </c>
      <c r="BH17" s="42">
        <f t="shared" si="20"/>
        <v>0</v>
      </c>
      <c r="BI17" s="42">
        <f t="shared" si="20"/>
        <v>0</v>
      </c>
      <c r="BJ17" s="42">
        <f t="shared" si="20"/>
        <v>0</v>
      </c>
      <c r="BK17" s="42">
        <f t="shared" si="20"/>
        <v>0</v>
      </c>
      <c r="BL17" s="42">
        <f t="shared" si="20"/>
        <v>0</v>
      </c>
      <c r="BM17" s="42">
        <f t="shared" si="20"/>
        <v>0</v>
      </c>
      <c r="BN17" s="42">
        <f t="shared" si="20"/>
        <v>0</v>
      </c>
      <c r="BO17" s="42">
        <f t="shared" si="20"/>
        <v>0</v>
      </c>
      <c r="BP17" s="42">
        <f t="shared" si="20"/>
        <v>0</v>
      </c>
      <c r="BQ17" s="42">
        <f t="shared" si="20"/>
        <v>0</v>
      </c>
      <c r="BR17" s="42">
        <f t="shared" si="20"/>
        <v>0</v>
      </c>
      <c r="BS17" s="42">
        <f t="shared" si="20"/>
        <v>0</v>
      </c>
      <c r="BT17" s="42">
        <f t="shared" si="20"/>
        <v>0</v>
      </c>
      <c r="BU17" s="42">
        <f t="shared" si="20"/>
        <v>0</v>
      </c>
      <c r="BV17" s="42">
        <f t="shared" si="20"/>
        <v>0</v>
      </c>
      <c r="BW17" s="42">
        <f t="shared" si="20"/>
        <v>0</v>
      </c>
      <c r="BX17" s="42">
        <f t="shared" si="20"/>
        <v>0</v>
      </c>
      <c r="BY17" s="42">
        <f t="shared" si="20"/>
        <v>0</v>
      </c>
      <c r="BZ17" s="42">
        <f t="shared" si="20"/>
        <v>0</v>
      </c>
      <c r="CA17" s="42">
        <f t="shared" si="20"/>
        <v>0</v>
      </c>
      <c r="CB17" s="42">
        <f t="shared" si="20"/>
        <v>0</v>
      </c>
      <c r="CC17" s="42">
        <f t="shared" si="20"/>
        <v>0</v>
      </c>
      <c r="CD17" s="42">
        <f t="shared" si="20"/>
        <v>0</v>
      </c>
      <c r="CE17" s="42">
        <f t="shared" si="20"/>
        <v>0</v>
      </c>
      <c r="CF17" s="42">
        <f t="shared" si="18"/>
        <v>0</v>
      </c>
      <c r="CG17" s="42">
        <f t="shared" si="18"/>
        <v>0</v>
      </c>
      <c r="CH17" s="42">
        <f t="shared" si="18"/>
        <v>0</v>
      </c>
      <c r="CI17" s="42">
        <f t="shared" si="18"/>
        <v>0</v>
      </c>
      <c r="CJ17" s="42">
        <f t="shared" si="18"/>
        <v>0</v>
      </c>
      <c r="CK17" s="42">
        <f t="shared" si="18"/>
        <v>0</v>
      </c>
      <c r="CL17" s="42">
        <f t="shared" si="18"/>
        <v>0</v>
      </c>
      <c r="CM17" s="42">
        <f t="shared" si="18"/>
        <v>0</v>
      </c>
      <c r="CN17" s="42">
        <f t="shared" si="18"/>
        <v>0</v>
      </c>
      <c r="CO17" s="42">
        <f t="shared" si="18"/>
        <v>0</v>
      </c>
      <c r="CP17" s="42">
        <f t="shared" si="18"/>
        <v>0</v>
      </c>
      <c r="CQ17" s="42">
        <f t="shared" si="18"/>
        <v>0</v>
      </c>
      <c r="CR17" s="42">
        <f t="shared" si="18"/>
        <v>0</v>
      </c>
      <c r="CS17" s="42">
        <f t="shared" si="18"/>
        <v>0</v>
      </c>
      <c r="CT17" s="42">
        <f t="shared" si="18"/>
        <v>0</v>
      </c>
      <c r="CU17" s="42">
        <f t="shared" si="18"/>
        <v>0</v>
      </c>
      <c r="CV17" s="42">
        <f t="shared" si="18"/>
        <v>0</v>
      </c>
      <c r="CW17" s="42">
        <f t="shared" si="18"/>
        <v>0</v>
      </c>
      <c r="CX17" s="42">
        <f t="shared" si="18"/>
        <v>0</v>
      </c>
      <c r="CY17" s="42">
        <f t="shared" si="18"/>
        <v>0</v>
      </c>
      <c r="CZ17" s="42">
        <f t="shared" si="18"/>
        <v>0</v>
      </c>
      <c r="DA17" s="42">
        <f t="shared" si="18"/>
        <v>0</v>
      </c>
      <c r="DB17" s="42">
        <f t="shared" si="18"/>
        <v>0</v>
      </c>
      <c r="DC17" s="42">
        <f t="shared" si="18"/>
        <v>0</v>
      </c>
      <c r="DD17" s="42">
        <f t="shared" si="18"/>
        <v>0</v>
      </c>
      <c r="DE17" s="42">
        <f t="shared" si="18"/>
        <v>0</v>
      </c>
      <c r="DF17" s="42">
        <f t="shared" si="18"/>
        <v>0</v>
      </c>
      <c r="DG17" s="42">
        <f t="shared" si="18"/>
        <v>0</v>
      </c>
      <c r="DH17" s="42">
        <f t="shared" si="18"/>
        <v>0</v>
      </c>
      <c r="DI17" s="42">
        <f t="shared" si="18"/>
        <v>0</v>
      </c>
      <c r="DJ17" s="42">
        <f t="shared" si="18"/>
        <v>0</v>
      </c>
      <c r="DK17" s="42">
        <f t="shared" si="18"/>
        <v>0</v>
      </c>
      <c r="DL17" s="42">
        <f t="shared" si="18"/>
        <v>0</v>
      </c>
      <c r="DM17" s="42">
        <f t="shared" si="18"/>
        <v>0</v>
      </c>
      <c r="DN17" s="42">
        <f t="shared" si="18"/>
        <v>0</v>
      </c>
      <c r="DO17" s="42">
        <f t="shared" si="18"/>
        <v>0</v>
      </c>
      <c r="DP17" s="42">
        <f t="shared" si="18"/>
        <v>0</v>
      </c>
      <c r="DQ17" s="42">
        <f t="shared" si="18"/>
        <v>0</v>
      </c>
      <c r="DR17" s="42">
        <f t="shared" si="18"/>
        <v>0</v>
      </c>
      <c r="DS17" s="42">
        <f t="shared" si="18"/>
        <v>0</v>
      </c>
      <c r="DT17" s="42">
        <f t="shared" si="18"/>
        <v>0</v>
      </c>
      <c r="DU17" s="42">
        <f t="shared" si="18"/>
        <v>0</v>
      </c>
      <c r="DV17" s="42">
        <f t="shared" si="18"/>
        <v>0</v>
      </c>
      <c r="DW17" s="42">
        <f t="shared" si="18"/>
        <v>0</v>
      </c>
      <c r="DX17" s="42">
        <f t="shared" si="18"/>
        <v>0</v>
      </c>
      <c r="DY17" s="42">
        <f t="shared" si="18"/>
        <v>0</v>
      </c>
      <c r="DZ17" s="42">
        <f t="shared" si="18"/>
        <v>0</v>
      </c>
      <c r="EA17" s="42">
        <f t="shared" si="18"/>
        <v>0</v>
      </c>
      <c r="EB17" s="42">
        <f t="shared" si="18"/>
        <v>0</v>
      </c>
      <c r="EC17" s="42">
        <f t="shared" si="18"/>
        <v>0</v>
      </c>
      <c r="ED17" s="42">
        <f t="shared" si="18"/>
        <v>0</v>
      </c>
      <c r="EE17" s="42">
        <f t="shared" si="18"/>
        <v>0</v>
      </c>
      <c r="EF17" s="42">
        <f t="shared" si="18"/>
        <v>0</v>
      </c>
      <c r="EG17" s="42">
        <f t="shared" si="18"/>
        <v>0</v>
      </c>
      <c r="EH17" s="42">
        <f t="shared" si="18"/>
        <v>0</v>
      </c>
      <c r="EI17" s="42">
        <f t="shared" si="18"/>
        <v>0</v>
      </c>
      <c r="EJ17" s="42">
        <f t="shared" si="18"/>
        <v>0</v>
      </c>
      <c r="EK17" s="42">
        <f t="shared" si="18"/>
        <v>0</v>
      </c>
      <c r="EL17" s="42">
        <f t="shared" si="18"/>
        <v>0</v>
      </c>
      <c r="EM17" s="42">
        <f t="shared" si="18"/>
        <v>0</v>
      </c>
      <c r="EN17" s="42">
        <f t="shared" si="18"/>
        <v>0</v>
      </c>
      <c r="EO17" s="42">
        <f t="shared" si="18"/>
        <v>0</v>
      </c>
      <c r="EP17" s="42">
        <f t="shared" si="18"/>
        <v>0</v>
      </c>
      <c r="EQ17" s="42">
        <f t="shared" si="14"/>
        <v>0</v>
      </c>
      <c r="ER17" s="42">
        <f t="shared" si="19"/>
        <v>0</v>
      </c>
      <c r="ES17" s="42">
        <f t="shared" si="19"/>
        <v>0</v>
      </c>
      <c r="ET17" s="42">
        <f t="shared" si="19"/>
        <v>0</v>
      </c>
      <c r="EU17" s="42">
        <f t="shared" si="19"/>
        <v>0</v>
      </c>
      <c r="EV17" s="42">
        <f t="shared" si="19"/>
        <v>0</v>
      </c>
      <c r="EW17" s="42">
        <f t="shared" si="19"/>
        <v>0</v>
      </c>
      <c r="EX17" s="42">
        <f t="shared" si="19"/>
        <v>0</v>
      </c>
      <c r="EY17" s="42">
        <f t="shared" si="19"/>
        <v>0</v>
      </c>
      <c r="EZ17" s="42">
        <f t="shared" si="19"/>
        <v>0</v>
      </c>
      <c r="FA17" s="42">
        <f t="shared" si="19"/>
        <v>0</v>
      </c>
      <c r="FB17" s="42">
        <f t="shared" si="19"/>
        <v>0</v>
      </c>
      <c r="FC17" s="42">
        <f t="shared" si="19"/>
        <v>0</v>
      </c>
      <c r="FD17" s="42">
        <f t="shared" si="19"/>
        <v>0</v>
      </c>
      <c r="FE17" s="42">
        <f t="shared" si="19"/>
        <v>0</v>
      </c>
      <c r="FF17" s="42">
        <f t="shared" si="19"/>
        <v>0</v>
      </c>
      <c r="FG17" s="42">
        <f t="shared" si="19"/>
        <v>0</v>
      </c>
      <c r="FH17" s="42">
        <f t="shared" si="19"/>
        <v>0</v>
      </c>
      <c r="FI17" s="42">
        <f t="shared" si="19"/>
        <v>0</v>
      </c>
      <c r="FJ17" s="42">
        <f t="shared" si="19"/>
        <v>0</v>
      </c>
      <c r="FK17" s="42">
        <f t="shared" si="19"/>
        <v>0</v>
      </c>
      <c r="FL17" s="42">
        <f t="shared" si="19"/>
        <v>0</v>
      </c>
      <c r="FM17" s="42">
        <f t="shared" si="19"/>
        <v>0</v>
      </c>
      <c r="FN17" s="42">
        <f t="shared" si="19"/>
        <v>0</v>
      </c>
      <c r="FO17" s="42">
        <f t="shared" si="19"/>
        <v>0</v>
      </c>
      <c r="FP17" s="42">
        <f t="shared" si="19"/>
        <v>0</v>
      </c>
      <c r="FQ17" s="42">
        <f t="shared" si="19"/>
        <v>0</v>
      </c>
      <c r="FR17" s="42">
        <f t="shared" si="19"/>
        <v>0</v>
      </c>
      <c r="FS17" s="42">
        <f t="shared" si="19"/>
        <v>0</v>
      </c>
      <c r="FT17" s="42">
        <f t="shared" si="19"/>
        <v>0</v>
      </c>
      <c r="FU17" s="42">
        <f t="shared" si="19"/>
        <v>0</v>
      </c>
      <c r="FV17" s="42">
        <f t="shared" si="19"/>
        <v>0</v>
      </c>
      <c r="FW17" s="42">
        <f t="shared" si="19"/>
        <v>0</v>
      </c>
      <c r="FX17" s="42">
        <f t="shared" si="19"/>
        <v>0</v>
      </c>
      <c r="FY17" s="42">
        <f t="shared" si="19"/>
        <v>0</v>
      </c>
      <c r="FZ17" s="42">
        <f t="shared" si="19"/>
        <v>0</v>
      </c>
      <c r="GA17" s="42">
        <f t="shared" si="19"/>
        <v>0</v>
      </c>
      <c r="GB17" s="42">
        <f t="shared" si="19"/>
        <v>0</v>
      </c>
      <c r="GC17" s="42">
        <f t="shared" si="19"/>
        <v>0</v>
      </c>
      <c r="GD17" s="42">
        <f t="shared" si="19"/>
        <v>0</v>
      </c>
      <c r="GE17" s="42">
        <f t="shared" si="19"/>
        <v>0</v>
      </c>
      <c r="GF17" s="42">
        <f t="shared" si="19"/>
        <v>0</v>
      </c>
      <c r="GG17" s="42">
        <f t="shared" si="19"/>
        <v>0</v>
      </c>
      <c r="GH17" s="42">
        <f t="shared" si="19"/>
        <v>0</v>
      </c>
    </row>
    <row r="18" spans="2:190" ht="14.5" thickBot="1">
      <c r="B18" s="43" t="s">
        <v>223</v>
      </c>
      <c r="C18" s="31">
        <v>44449</v>
      </c>
      <c r="D18" s="31">
        <v>46275</v>
      </c>
      <c r="E18" s="32">
        <v>1.75</v>
      </c>
      <c r="F18" s="33" t="s">
        <v>11</v>
      </c>
      <c r="G18" s="34">
        <v>35.47</v>
      </c>
      <c r="H18" s="34">
        <v>1079</v>
      </c>
      <c r="I18" s="32">
        <v>3.9279999999999999</v>
      </c>
      <c r="J18" s="35">
        <v>9406.0499999999993</v>
      </c>
      <c r="K18" s="44" cm="1">
        <f t="array" ref="K18">_xlfn.LET(
    _xlpm.settle,$B$3,
    _xlpm.mat,$D18,
    _xlpm.coupon,10000*$E18/200,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7.6923076923076925</v>
      </c>
      <c r="L18" s="37">
        <f t="shared" si="3"/>
        <v>9413.7423076923078</v>
      </c>
      <c r="M18" s="120">
        <v>0.89212804422149683</v>
      </c>
      <c r="N18" s="45">
        <f t="shared" si="4"/>
        <v>3.8612740889942938E-2</v>
      </c>
      <c r="O18" s="99">
        <f t="shared" si="5"/>
        <v>9413.7424646662239</v>
      </c>
      <c r="P18" s="39">
        <f t="shared" si="6"/>
        <v>1.5697391609137412E-4</v>
      </c>
      <c r="R18" s="41">
        <f t="shared" si="10"/>
        <v>35</v>
      </c>
      <c r="S18" s="42">
        <f t="shared" si="11"/>
        <v>0</v>
      </c>
      <c r="T18" s="42">
        <f t="shared" si="20"/>
        <v>87.5</v>
      </c>
      <c r="U18" s="42">
        <f t="shared" si="20"/>
        <v>0</v>
      </c>
      <c r="V18" s="42">
        <f t="shared" si="20"/>
        <v>87.5</v>
      </c>
      <c r="W18" s="42">
        <f t="shared" si="20"/>
        <v>0</v>
      </c>
      <c r="X18" s="42">
        <f t="shared" si="20"/>
        <v>87.5</v>
      </c>
      <c r="Y18" s="42">
        <f t="shared" si="20"/>
        <v>0</v>
      </c>
      <c r="Z18" s="42">
        <f t="shared" si="20"/>
        <v>87.5</v>
      </c>
      <c r="AA18" s="42">
        <f t="shared" si="20"/>
        <v>0</v>
      </c>
      <c r="AB18" s="42">
        <f t="shared" si="20"/>
        <v>87.5</v>
      </c>
      <c r="AC18" s="42">
        <f t="shared" si="20"/>
        <v>0</v>
      </c>
      <c r="AD18" s="42">
        <f t="shared" si="20"/>
        <v>10087.5</v>
      </c>
      <c r="AE18" s="42">
        <f t="shared" si="20"/>
        <v>0</v>
      </c>
      <c r="AF18" s="42">
        <f t="shared" si="20"/>
        <v>0</v>
      </c>
      <c r="AG18" s="42">
        <f t="shared" si="20"/>
        <v>0</v>
      </c>
      <c r="AH18" s="42">
        <f t="shared" si="20"/>
        <v>0</v>
      </c>
      <c r="AI18" s="42">
        <f t="shared" si="20"/>
        <v>0</v>
      </c>
      <c r="AJ18" s="42">
        <f t="shared" si="20"/>
        <v>0</v>
      </c>
      <c r="AK18" s="42">
        <f t="shared" si="20"/>
        <v>0</v>
      </c>
      <c r="AL18" s="42">
        <f t="shared" si="20"/>
        <v>0</v>
      </c>
      <c r="AM18" s="42">
        <f t="shared" si="20"/>
        <v>0</v>
      </c>
      <c r="AN18" s="42">
        <f t="shared" si="20"/>
        <v>0</v>
      </c>
      <c r="AO18" s="42">
        <f t="shared" si="20"/>
        <v>0</v>
      </c>
      <c r="AP18" s="42">
        <f t="shared" si="20"/>
        <v>0</v>
      </c>
      <c r="AQ18" s="42">
        <f t="shared" si="20"/>
        <v>0</v>
      </c>
      <c r="AR18" s="42">
        <f t="shared" si="20"/>
        <v>0</v>
      </c>
      <c r="AS18" s="42">
        <f t="shared" si="20"/>
        <v>0</v>
      </c>
      <c r="AT18" s="42">
        <f t="shared" si="20"/>
        <v>0</v>
      </c>
      <c r="AU18" s="42">
        <f t="shared" si="20"/>
        <v>0</v>
      </c>
      <c r="AV18" s="42">
        <f t="shared" si="20"/>
        <v>0</v>
      </c>
      <c r="AW18" s="42">
        <f t="shared" si="20"/>
        <v>0</v>
      </c>
      <c r="AX18" s="42">
        <f t="shared" si="20"/>
        <v>0</v>
      </c>
      <c r="AY18" s="42">
        <f t="shared" si="20"/>
        <v>0</v>
      </c>
      <c r="AZ18" s="42">
        <f t="shared" si="20"/>
        <v>0</v>
      </c>
      <c r="BA18" s="42">
        <f t="shared" si="20"/>
        <v>0</v>
      </c>
      <c r="BB18" s="42">
        <f t="shared" si="20"/>
        <v>0</v>
      </c>
      <c r="BC18" s="42">
        <f t="shared" si="20"/>
        <v>0</v>
      </c>
      <c r="BD18" s="42">
        <f t="shared" si="20"/>
        <v>0</v>
      </c>
      <c r="BE18" s="42">
        <f t="shared" si="20"/>
        <v>0</v>
      </c>
      <c r="BF18" s="42">
        <f t="shared" si="20"/>
        <v>0</v>
      </c>
      <c r="BG18" s="42">
        <f t="shared" si="20"/>
        <v>0</v>
      </c>
      <c r="BH18" s="42">
        <f t="shared" si="20"/>
        <v>0</v>
      </c>
      <c r="BI18" s="42">
        <f t="shared" si="20"/>
        <v>0</v>
      </c>
      <c r="BJ18" s="42">
        <f t="shared" si="20"/>
        <v>0</v>
      </c>
      <c r="BK18" s="42">
        <f t="shared" si="20"/>
        <v>0</v>
      </c>
      <c r="BL18" s="42">
        <f t="shared" si="20"/>
        <v>0</v>
      </c>
      <c r="BM18" s="42">
        <f t="shared" si="20"/>
        <v>0</v>
      </c>
      <c r="BN18" s="42">
        <f t="shared" si="20"/>
        <v>0</v>
      </c>
      <c r="BO18" s="42">
        <f t="shared" si="20"/>
        <v>0</v>
      </c>
      <c r="BP18" s="42">
        <f t="shared" si="20"/>
        <v>0</v>
      </c>
      <c r="BQ18" s="42">
        <f t="shared" si="20"/>
        <v>0</v>
      </c>
      <c r="BR18" s="42">
        <f t="shared" si="20"/>
        <v>0</v>
      </c>
      <c r="BS18" s="42">
        <f t="shared" si="20"/>
        <v>0</v>
      </c>
      <c r="BT18" s="42">
        <f t="shared" si="20"/>
        <v>0</v>
      </c>
      <c r="BU18" s="42">
        <f t="shared" si="20"/>
        <v>0</v>
      </c>
      <c r="BV18" s="42">
        <f t="shared" si="20"/>
        <v>0</v>
      </c>
      <c r="BW18" s="42">
        <f t="shared" si="20"/>
        <v>0</v>
      </c>
      <c r="BX18" s="42">
        <f t="shared" si="20"/>
        <v>0</v>
      </c>
      <c r="BY18" s="42">
        <f t="shared" si="20"/>
        <v>0</v>
      </c>
      <c r="BZ18" s="42">
        <f t="shared" si="20"/>
        <v>0</v>
      </c>
      <c r="CA18" s="42">
        <f t="shared" si="20"/>
        <v>0</v>
      </c>
      <c r="CB18" s="42">
        <f t="shared" si="20"/>
        <v>0</v>
      </c>
      <c r="CC18" s="42">
        <f t="shared" si="20"/>
        <v>0</v>
      </c>
      <c r="CD18" s="42">
        <f t="shared" si="20"/>
        <v>0</v>
      </c>
      <c r="CE18" s="42">
        <f t="shared" si="20"/>
        <v>0</v>
      </c>
      <c r="CF18" s="42">
        <f t="shared" si="18"/>
        <v>0</v>
      </c>
      <c r="CG18" s="42">
        <f t="shared" si="18"/>
        <v>0</v>
      </c>
      <c r="CH18" s="42">
        <f t="shared" si="18"/>
        <v>0</v>
      </c>
      <c r="CI18" s="42">
        <f t="shared" si="18"/>
        <v>0</v>
      </c>
      <c r="CJ18" s="42">
        <f t="shared" si="18"/>
        <v>0</v>
      </c>
      <c r="CK18" s="42">
        <f t="shared" si="18"/>
        <v>0</v>
      </c>
      <c r="CL18" s="42">
        <f t="shared" si="18"/>
        <v>0</v>
      </c>
      <c r="CM18" s="42">
        <f t="shared" si="18"/>
        <v>0</v>
      </c>
      <c r="CN18" s="42">
        <f t="shared" si="18"/>
        <v>0</v>
      </c>
      <c r="CO18" s="42">
        <f t="shared" si="18"/>
        <v>0</v>
      </c>
      <c r="CP18" s="42">
        <f t="shared" si="18"/>
        <v>0</v>
      </c>
      <c r="CQ18" s="42">
        <f t="shared" si="18"/>
        <v>0</v>
      </c>
      <c r="CR18" s="42">
        <f t="shared" si="18"/>
        <v>0</v>
      </c>
      <c r="CS18" s="42">
        <f t="shared" si="18"/>
        <v>0</v>
      </c>
      <c r="CT18" s="42">
        <f t="shared" si="18"/>
        <v>0</v>
      </c>
      <c r="CU18" s="42">
        <f t="shared" si="18"/>
        <v>0</v>
      </c>
      <c r="CV18" s="42">
        <f t="shared" si="18"/>
        <v>0</v>
      </c>
      <c r="CW18" s="42">
        <f t="shared" si="18"/>
        <v>0</v>
      </c>
      <c r="CX18" s="42">
        <f t="shared" si="18"/>
        <v>0</v>
      </c>
      <c r="CY18" s="42">
        <f t="shared" si="18"/>
        <v>0</v>
      </c>
      <c r="CZ18" s="42">
        <f t="shared" si="18"/>
        <v>0</v>
      </c>
      <c r="DA18" s="42">
        <f t="shared" si="18"/>
        <v>0</v>
      </c>
      <c r="DB18" s="42">
        <f t="shared" si="18"/>
        <v>0</v>
      </c>
      <c r="DC18" s="42">
        <f t="shared" si="18"/>
        <v>0</v>
      </c>
      <c r="DD18" s="42">
        <f t="shared" si="18"/>
        <v>0</v>
      </c>
      <c r="DE18" s="42">
        <f t="shared" si="18"/>
        <v>0</v>
      </c>
      <c r="DF18" s="42">
        <f t="shared" si="18"/>
        <v>0</v>
      </c>
      <c r="DG18" s="42">
        <f t="shared" si="18"/>
        <v>0</v>
      </c>
      <c r="DH18" s="42">
        <f t="shared" si="18"/>
        <v>0</v>
      </c>
      <c r="DI18" s="42">
        <f t="shared" si="18"/>
        <v>0</v>
      </c>
      <c r="DJ18" s="42">
        <f t="shared" si="18"/>
        <v>0</v>
      </c>
      <c r="DK18" s="42">
        <f t="shared" si="18"/>
        <v>0</v>
      </c>
      <c r="DL18" s="42">
        <f t="shared" si="18"/>
        <v>0</v>
      </c>
      <c r="DM18" s="42">
        <f t="shared" si="18"/>
        <v>0</v>
      </c>
      <c r="DN18" s="42">
        <f t="shared" si="18"/>
        <v>0</v>
      </c>
      <c r="DO18" s="42">
        <f t="shared" si="18"/>
        <v>0</v>
      </c>
      <c r="DP18" s="42">
        <f t="shared" si="18"/>
        <v>0</v>
      </c>
      <c r="DQ18" s="42">
        <f t="shared" si="18"/>
        <v>0</v>
      </c>
      <c r="DR18" s="42">
        <f t="shared" si="18"/>
        <v>0</v>
      </c>
      <c r="DS18" s="42">
        <f t="shared" si="18"/>
        <v>0</v>
      </c>
      <c r="DT18" s="42">
        <f t="shared" si="18"/>
        <v>0</v>
      </c>
      <c r="DU18" s="42">
        <f t="shared" si="18"/>
        <v>0</v>
      </c>
      <c r="DV18" s="42">
        <f t="shared" si="18"/>
        <v>0</v>
      </c>
      <c r="DW18" s="42">
        <f t="shared" si="18"/>
        <v>0</v>
      </c>
      <c r="DX18" s="42">
        <f t="shared" si="18"/>
        <v>0</v>
      </c>
      <c r="DY18" s="42">
        <f t="shared" si="18"/>
        <v>0</v>
      </c>
      <c r="DZ18" s="42">
        <f t="shared" si="18"/>
        <v>0</v>
      </c>
      <c r="EA18" s="42">
        <f t="shared" si="18"/>
        <v>0</v>
      </c>
      <c r="EB18" s="42">
        <f t="shared" si="18"/>
        <v>0</v>
      </c>
      <c r="EC18" s="42">
        <f t="shared" si="18"/>
        <v>0</v>
      </c>
      <c r="ED18" s="42">
        <f t="shared" si="18"/>
        <v>0</v>
      </c>
      <c r="EE18" s="42">
        <f t="shared" si="18"/>
        <v>0</v>
      </c>
      <c r="EF18" s="42">
        <f t="shared" si="18"/>
        <v>0</v>
      </c>
      <c r="EG18" s="42">
        <f t="shared" si="18"/>
        <v>0</v>
      </c>
      <c r="EH18" s="42">
        <f t="shared" si="18"/>
        <v>0</v>
      </c>
      <c r="EI18" s="42">
        <f t="shared" si="18"/>
        <v>0</v>
      </c>
      <c r="EJ18" s="42">
        <f t="shared" si="18"/>
        <v>0</v>
      </c>
      <c r="EK18" s="42">
        <f t="shared" si="18"/>
        <v>0</v>
      </c>
      <c r="EL18" s="42">
        <f t="shared" si="18"/>
        <v>0</v>
      </c>
      <c r="EM18" s="42">
        <f t="shared" si="18"/>
        <v>0</v>
      </c>
      <c r="EN18" s="42">
        <f t="shared" si="18"/>
        <v>0</v>
      </c>
      <c r="EO18" s="42">
        <f t="shared" si="18"/>
        <v>0</v>
      </c>
      <c r="EP18" s="42">
        <f t="shared" si="18"/>
        <v>0</v>
      </c>
      <c r="EQ18" s="42">
        <f t="shared" si="14"/>
        <v>0</v>
      </c>
      <c r="ER18" s="42">
        <f t="shared" si="19"/>
        <v>0</v>
      </c>
      <c r="ES18" s="42">
        <f t="shared" si="19"/>
        <v>0</v>
      </c>
      <c r="ET18" s="42">
        <f t="shared" si="19"/>
        <v>0</v>
      </c>
      <c r="EU18" s="42">
        <f t="shared" si="19"/>
        <v>0</v>
      </c>
      <c r="EV18" s="42">
        <f t="shared" si="19"/>
        <v>0</v>
      </c>
      <c r="EW18" s="42">
        <f t="shared" si="19"/>
        <v>0</v>
      </c>
      <c r="EX18" s="42">
        <f t="shared" si="19"/>
        <v>0</v>
      </c>
      <c r="EY18" s="42">
        <f t="shared" si="19"/>
        <v>0</v>
      </c>
      <c r="EZ18" s="42">
        <f t="shared" si="19"/>
        <v>0</v>
      </c>
      <c r="FA18" s="42">
        <f t="shared" si="19"/>
        <v>0</v>
      </c>
      <c r="FB18" s="42">
        <f t="shared" si="19"/>
        <v>0</v>
      </c>
      <c r="FC18" s="42">
        <f t="shared" si="19"/>
        <v>0</v>
      </c>
      <c r="FD18" s="42">
        <f t="shared" si="19"/>
        <v>0</v>
      </c>
      <c r="FE18" s="42">
        <f t="shared" si="19"/>
        <v>0</v>
      </c>
      <c r="FF18" s="42">
        <f t="shared" si="19"/>
        <v>0</v>
      </c>
      <c r="FG18" s="42">
        <f t="shared" si="19"/>
        <v>0</v>
      </c>
      <c r="FH18" s="42">
        <f t="shared" si="19"/>
        <v>0</v>
      </c>
      <c r="FI18" s="42">
        <f t="shared" si="19"/>
        <v>0</v>
      </c>
      <c r="FJ18" s="42">
        <f t="shared" si="19"/>
        <v>0</v>
      </c>
      <c r="FK18" s="42">
        <f t="shared" si="19"/>
        <v>0</v>
      </c>
      <c r="FL18" s="42">
        <f t="shared" si="19"/>
        <v>0</v>
      </c>
      <c r="FM18" s="42">
        <f t="shared" si="19"/>
        <v>0</v>
      </c>
      <c r="FN18" s="42">
        <f t="shared" si="19"/>
        <v>0</v>
      </c>
      <c r="FO18" s="42">
        <f t="shared" si="19"/>
        <v>0</v>
      </c>
      <c r="FP18" s="42">
        <f t="shared" si="19"/>
        <v>0</v>
      </c>
      <c r="FQ18" s="42">
        <f t="shared" si="19"/>
        <v>0</v>
      </c>
      <c r="FR18" s="42">
        <f t="shared" si="19"/>
        <v>0</v>
      </c>
      <c r="FS18" s="42">
        <f t="shared" si="19"/>
        <v>0</v>
      </c>
      <c r="FT18" s="42">
        <f t="shared" si="19"/>
        <v>0</v>
      </c>
      <c r="FU18" s="42">
        <f t="shared" si="19"/>
        <v>0</v>
      </c>
      <c r="FV18" s="42">
        <f t="shared" si="19"/>
        <v>0</v>
      </c>
      <c r="FW18" s="42">
        <f t="shared" si="19"/>
        <v>0</v>
      </c>
      <c r="FX18" s="42">
        <f t="shared" si="19"/>
        <v>0</v>
      </c>
      <c r="FY18" s="42">
        <f t="shared" si="19"/>
        <v>0</v>
      </c>
      <c r="FZ18" s="42">
        <f t="shared" si="19"/>
        <v>0</v>
      </c>
      <c r="GA18" s="42">
        <f t="shared" si="19"/>
        <v>0</v>
      </c>
      <c r="GB18" s="42">
        <f t="shared" si="19"/>
        <v>0</v>
      </c>
      <c r="GC18" s="42">
        <f t="shared" si="19"/>
        <v>0</v>
      </c>
      <c r="GD18" s="42">
        <f t="shared" si="19"/>
        <v>0</v>
      </c>
      <c r="GE18" s="42">
        <f t="shared" si="19"/>
        <v>0</v>
      </c>
      <c r="GF18" s="42">
        <f t="shared" si="19"/>
        <v>0</v>
      </c>
      <c r="GG18" s="42">
        <f t="shared" si="19"/>
        <v>0</v>
      </c>
      <c r="GH18" s="42">
        <f t="shared" si="19"/>
        <v>0</v>
      </c>
    </row>
    <row r="19" spans="2:190" ht="14.5" thickBot="1">
      <c r="B19" s="43" t="s">
        <v>224</v>
      </c>
      <c r="C19" s="31">
        <v>42714</v>
      </c>
      <c r="D19" s="31">
        <v>46366</v>
      </c>
      <c r="E19" s="32">
        <v>1.5</v>
      </c>
      <c r="F19" s="33" t="s">
        <v>12</v>
      </c>
      <c r="G19" s="34">
        <v>38.47</v>
      </c>
      <c r="H19" s="34">
        <v>1171</v>
      </c>
      <c r="I19" s="32">
        <v>3.9409999999999998</v>
      </c>
      <c r="J19" s="35">
        <v>9316.42</v>
      </c>
      <c r="K19" s="44" cm="1">
        <f t="array" ref="K19">_xlfn.LET(
    _xlpm.settle,$B$3,
    _xlpm.mat,$D19,
    _xlpm.coupon,10000*$E19/200,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44.26229508196721</v>
      </c>
      <c r="L19" s="37">
        <f t="shared" si="3"/>
        <v>9360.6822950819678</v>
      </c>
      <c r="M19" s="120">
        <v>0.88660305663526562</v>
      </c>
      <c r="N19" s="45">
        <f t="shared" si="4"/>
        <v>3.7515488314252443E-2</v>
      </c>
      <c r="O19" s="99">
        <f t="shared" si="5"/>
        <v>9360.6810144036572</v>
      </c>
      <c r="P19" s="39">
        <f t="shared" si="6"/>
        <v>-1.2806783106498187E-3</v>
      </c>
      <c r="R19" s="41">
        <f t="shared" si="10"/>
        <v>38</v>
      </c>
      <c r="S19" s="42">
        <f t="shared" si="11"/>
        <v>75</v>
      </c>
      <c r="T19" s="42">
        <f t="shared" si="20"/>
        <v>0</v>
      </c>
      <c r="U19" s="42">
        <f t="shared" si="20"/>
        <v>75</v>
      </c>
      <c r="V19" s="42">
        <f t="shared" si="20"/>
        <v>0</v>
      </c>
      <c r="W19" s="42">
        <f t="shared" si="20"/>
        <v>75</v>
      </c>
      <c r="X19" s="42">
        <f t="shared" si="20"/>
        <v>0</v>
      </c>
      <c r="Y19" s="42">
        <f t="shared" si="20"/>
        <v>75</v>
      </c>
      <c r="Z19" s="42">
        <f t="shared" si="20"/>
        <v>0</v>
      </c>
      <c r="AA19" s="42">
        <f t="shared" si="20"/>
        <v>75</v>
      </c>
      <c r="AB19" s="42">
        <f t="shared" si="20"/>
        <v>0</v>
      </c>
      <c r="AC19" s="42">
        <f t="shared" si="20"/>
        <v>75</v>
      </c>
      <c r="AD19" s="42">
        <f t="shared" si="20"/>
        <v>0</v>
      </c>
      <c r="AE19" s="42">
        <f t="shared" si="20"/>
        <v>10075</v>
      </c>
      <c r="AF19" s="42">
        <f t="shared" si="20"/>
        <v>0</v>
      </c>
      <c r="AG19" s="42">
        <f t="shared" si="20"/>
        <v>0</v>
      </c>
      <c r="AH19" s="42">
        <f t="shared" si="20"/>
        <v>0</v>
      </c>
      <c r="AI19" s="42">
        <f t="shared" si="20"/>
        <v>0</v>
      </c>
      <c r="AJ19" s="42">
        <f t="shared" si="20"/>
        <v>0</v>
      </c>
      <c r="AK19" s="42">
        <f t="shared" si="20"/>
        <v>0</v>
      </c>
      <c r="AL19" s="42">
        <f t="shared" si="20"/>
        <v>0</v>
      </c>
      <c r="AM19" s="42">
        <f t="shared" si="20"/>
        <v>0</v>
      </c>
      <c r="AN19" s="42">
        <f t="shared" si="20"/>
        <v>0</v>
      </c>
      <c r="AO19" s="42">
        <f t="shared" si="20"/>
        <v>0</v>
      </c>
      <c r="AP19" s="42">
        <f t="shared" si="20"/>
        <v>0</v>
      </c>
      <c r="AQ19" s="42">
        <f t="shared" si="20"/>
        <v>0</v>
      </c>
      <c r="AR19" s="42">
        <f t="shared" si="20"/>
        <v>0</v>
      </c>
      <c r="AS19" s="42">
        <f t="shared" si="20"/>
        <v>0</v>
      </c>
      <c r="AT19" s="42">
        <f t="shared" si="20"/>
        <v>0</v>
      </c>
      <c r="AU19" s="42">
        <f t="shared" si="20"/>
        <v>0</v>
      </c>
      <c r="AV19" s="42">
        <f t="shared" si="20"/>
        <v>0</v>
      </c>
      <c r="AW19" s="42">
        <f t="shared" si="20"/>
        <v>0</v>
      </c>
      <c r="AX19" s="42">
        <f t="shared" si="20"/>
        <v>0</v>
      </c>
      <c r="AY19" s="42">
        <f t="shared" si="20"/>
        <v>0</v>
      </c>
      <c r="AZ19" s="42">
        <f t="shared" si="20"/>
        <v>0</v>
      </c>
      <c r="BA19" s="42">
        <f t="shared" si="20"/>
        <v>0</v>
      </c>
      <c r="BB19" s="42">
        <f t="shared" si="20"/>
        <v>0</v>
      </c>
      <c r="BC19" s="42">
        <f t="shared" si="20"/>
        <v>0</v>
      </c>
      <c r="BD19" s="42">
        <f t="shared" si="20"/>
        <v>0</v>
      </c>
      <c r="BE19" s="42">
        <f t="shared" si="20"/>
        <v>0</v>
      </c>
      <c r="BF19" s="42">
        <f t="shared" si="20"/>
        <v>0</v>
      </c>
      <c r="BG19" s="42">
        <f t="shared" si="20"/>
        <v>0</v>
      </c>
      <c r="BH19" s="42">
        <f t="shared" si="20"/>
        <v>0</v>
      </c>
      <c r="BI19" s="42">
        <f t="shared" si="20"/>
        <v>0</v>
      </c>
      <c r="BJ19" s="42">
        <f t="shared" si="20"/>
        <v>0</v>
      </c>
      <c r="BK19" s="42">
        <f t="shared" si="20"/>
        <v>0</v>
      </c>
      <c r="BL19" s="42">
        <f t="shared" si="20"/>
        <v>0</v>
      </c>
      <c r="BM19" s="42">
        <f t="shared" si="20"/>
        <v>0</v>
      </c>
      <c r="BN19" s="42">
        <f t="shared" si="20"/>
        <v>0</v>
      </c>
      <c r="BO19" s="42">
        <f t="shared" si="20"/>
        <v>0</v>
      </c>
      <c r="BP19" s="42">
        <f t="shared" si="20"/>
        <v>0</v>
      </c>
      <c r="BQ19" s="42">
        <f t="shared" si="20"/>
        <v>0</v>
      </c>
      <c r="BR19" s="42">
        <f t="shared" si="20"/>
        <v>0</v>
      </c>
      <c r="BS19" s="42">
        <f t="shared" si="20"/>
        <v>0</v>
      </c>
      <c r="BT19" s="42">
        <f t="shared" si="20"/>
        <v>0</v>
      </c>
      <c r="BU19" s="42">
        <f t="shared" si="20"/>
        <v>0</v>
      </c>
      <c r="BV19" s="42">
        <f t="shared" si="20"/>
        <v>0</v>
      </c>
      <c r="BW19" s="42">
        <f t="shared" si="20"/>
        <v>0</v>
      </c>
      <c r="BX19" s="42">
        <f t="shared" si="20"/>
        <v>0</v>
      </c>
      <c r="BY19" s="42">
        <f t="shared" si="20"/>
        <v>0</v>
      </c>
      <c r="BZ19" s="42">
        <f t="shared" si="20"/>
        <v>0</v>
      </c>
      <c r="CA19" s="42">
        <f t="shared" si="20"/>
        <v>0</v>
      </c>
      <c r="CB19" s="42">
        <f t="shared" si="20"/>
        <v>0</v>
      </c>
      <c r="CC19" s="42">
        <f t="shared" si="20"/>
        <v>0</v>
      </c>
      <c r="CD19" s="42">
        <f t="shared" si="20"/>
        <v>0</v>
      </c>
      <c r="CE19" s="42">
        <f t="shared" si="20"/>
        <v>0</v>
      </c>
      <c r="CF19" s="42">
        <f t="shared" si="18"/>
        <v>0</v>
      </c>
      <c r="CG19" s="42">
        <f t="shared" si="18"/>
        <v>0</v>
      </c>
      <c r="CH19" s="42">
        <f t="shared" si="18"/>
        <v>0</v>
      </c>
      <c r="CI19" s="42">
        <f t="shared" si="18"/>
        <v>0</v>
      </c>
      <c r="CJ19" s="42">
        <f t="shared" si="18"/>
        <v>0</v>
      </c>
      <c r="CK19" s="42">
        <f t="shared" si="18"/>
        <v>0</v>
      </c>
      <c r="CL19" s="42">
        <f t="shared" si="18"/>
        <v>0</v>
      </c>
      <c r="CM19" s="42">
        <f t="shared" si="18"/>
        <v>0</v>
      </c>
      <c r="CN19" s="42">
        <f t="shared" si="18"/>
        <v>0</v>
      </c>
      <c r="CO19" s="42">
        <f t="shared" si="18"/>
        <v>0</v>
      </c>
      <c r="CP19" s="42">
        <f t="shared" si="18"/>
        <v>0</v>
      </c>
      <c r="CQ19" s="42">
        <f t="shared" si="18"/>
        <v>0</v>
      </c>
      <c r="CR19" s="42">
        <f t="shared" si="18"/>
        <v>0</v>
      </c>
      <c r="CS19" s="42">
        <f t="shared" si="18"/>
        <v>0</v>
      </c>
      <c r="CT19" s="42">
        <f t="shared" si="18"/>
        <v>0</v>
      </c>
      <c r="CU19" s="42">
        <f t="shared" si="18"/>
        <v>0</v>
      </c>
      <c r="CV19" s="42">
        <f t="shared" si="18"/>
        <v>0</v>
      </c>
      <c r="CW19" s="42">
        <f t="shared" si="18"/>
        <v>0</v>
      </c>
      <c r="CX19" s="42">
        <f t="shared" si="18"/>
        <v>0</v>
      </c>
      <c r="CY19" s="42">
        <f t="shared" si="18"/>
        <v>0</v>
      </c>
      <c r="CZ19" s="42">
        <f t="shared" si="18"/>
        <v>0</v>
      </c>
      <c r="DA19" s="42">
        <f t="shared" si="18"/>
        <v>0</v>
      </c>
      <c r="DB19" s="42">
        <f t="shared" si="18"/>
        <v>0</v>
      </c>
      <c r="DC19" s="42">
        <f t="shared" si="18"/>
        <v>0</v>
      </c>
      <c r="DD19" s="42">
        <f t="shared" si="18"/>
        <v>0</v>
      </c>
      <c r="DE19" s="42">
        <f t="shared" si="18"/>
        <v>0</v>
      </c>
      <c r="DF19" s="42">
        <f t="shared" si="18"/>
        <v>0</v>
      </c>
      <c r="DG19" s="42">
        <f t="shared" si="18"/>
        <v>0</v>
      </c>
      <c r="DH19" s="42">
        <f t="shared" si="18"/>
        <v>0</v>
      </c>
      <c r="DI19" s="42">
        <f t="shared" si="18"/>
        <v>0</v>
      </c>
      <c r="DJ19" s="42">
        <f t="shared" si="18"/>
        <v>0</v>
      </c>
      <c r="DK19" s="42">
        <f t="shared" si="18"/>
        <v>0</v>
      </c>
      <c r="DL19" s="42">
        <f t="shared" si="18"/>
        <v>0</v>
      </c>
      <c r="DM19" s="42">
        <f t="shared" si="18"/>
        <v>0</v>
      </c>
      <c r="DN19" s="42">
        <f t="shared" si="18"/>
        <v>0</v>
      </c>
      <c r="DO19" s="42">
        <f t="shared" si="18"/>
        <v>0</v>
      </c>
      <c r="DP19" s="42">
        <f t="shared" si="18"/>
        <v>0</v>
      </c>
      <c r="DQ19" s="42">
        <f t="shared" si="18"/>
        <v>0</v>
      </c>
      <c r="DR19" s="42">
        <f t="shared" si="18"/>
        <v>0</v>
      </c>
      <c r="DS19" s="42">
        <f t="shared" si="18"/>
        <v>0</v>
      </c>
      <c r="DT19" s="42">
        <f t="shared" si="18"/>
        <v>0</v>
      </c>
      <c r="DU19" s="42">
        <f t="shared" si="18"/>
        <v>0</v>
      </c>
      <c r="DV19" s="42">
        <f t="shared" si="18"/>
        <v>0</v>
      </c>
      <c r="DW19" s="42">
        <f t="shared" si="18"/>
        <v>0</v>
      </c>
      <c r="DX19" s="42">
        <f t="shared" si="18"/>
        <v>0</v>
      </c>
      <c r="DY19" s="42">
        <f t="shared" si="18"/>
        <v>0</v>
      </c>
      <c r="DZ19" s="42">
        <f t="shared" si="18"/>
        <v>0</v>
      </c>
      <c r="EA19" s="42">
        <f t="shared" si="18"/>
        <v>0</v>
      </c>
      <c r="EB19" s="42">
        <f t="shared" si="18"/>
        <v>0</v>
      </c>
      <c r="EC19" s="42">
        <f t="shared" si="18"/>
        <v>0</v>
      </c>
      <c r="ED19" s="42">
        <f t="shared" si="18"/>
        <v>0</v>
      </c>
      <c r="EE19" s="42">
        <f t="shared" si="18"/>
        <v>0</v>
      </c>
      <c r="EF19" s="42">
        <f t="shared" si="18"/>
        <v>0</v>
      </c>
      <c r="EG19" s="42">
        <f t="shared" si="18"/>
        <v>0</v>
      </c>
      <c r="EH19" s="42">
        <f t="shared" si="18"/>
        <v>0</v>
      </c>
      <c r="EI19" s="42">
        <f t="shared" si="18"/>
        <v>0</v>
      </c>
      <c r="EJ19" s="42">
        <f t="shared" si="18"/>
        <v>0</v>
      </c>
      <c r="EK19" s="42">
        <f t="shared" si="18"/>
        <v>0</v>
      </c>
      <c r="EL19" s="42">
        <f t="shared" si="18"/>
        <v>0</v>
      </c>
      <c r="EM19" s="42">
        <f t="shared" si="18"/>
        <v>0</v>
      </c>
      <c r="EN19" s="42">
        <f t="shared" si="18"/>
        <v>0</v>
      </c>
      <c r="EO19" s="42">
        <f t="shared" si="18"/>
        <v>0</v>
      </c>
      <c r="EP19" s="42">
        <f t="shared" si="18"/>
        <v>0</v>
      </c>
      <c r="EQ19" s="42">
        <f t="shared" si="14"/>
        <v>0</v>
      </c>
      <c r="ER19" s="42">
        <f t="shared" si="19"/>
        <v>0</v>
      </c>
      <c r="ES19" s="42">
        <f t="shared" si="19"/>
        <v>0</v>
      </c>
      <c r="ET19" s="42">
        <f t="shared" si="19"/>
        <v>0</v>
      </c>
      <c r="EU19" s="42">
        <f t="shared" si="19"/>
        <v>0</v>
      </c>
      <c r="EV19" s="42">
        <f t="shared" si="19"/>
        <v>0</v>
      </c>
      <c r="EW19" s="42">
        <f t="shared" si="19"/>
        <v>0</v>
      </c>
      <c r="EX19" s="42">
        <f t="shared" si="19"/>
        <v>0</v>
      </c>
      <c r="EY19" s="42">
        <f t="shared" si="19"/>
        <v>0</v>
      </c>
      <c r="EZ19" s="42">
        <f t="shared" si="19"/>
        <v>0</v>
      </c>
      <c r="FA19" s="42">
        <f t="shared" si="19"/>
        <v>0</v>
      </c>
      <c r="FB19" s="42">
        <f t="shared" si="19"/>
        <v>0</v>
      </c>
      <c r="FC19" s="42">
        <f t="shared" si="19"/>
        <v>0</v>
      </c>
      <c r="FD19" s="42">
        <f t="shared" si="19"/>
        <v>0</v>
      </c>
      <c r="FE19" s="42">
        <f t="shared" si="19"/>
        <v>0</v>
      </c>
      <c r="FF19" s="42">
        <f t="shared" si="19"/>
        <v>0</v>
      </c>
      <c r="FG19" s="42">
        <f t="shared" si="19"/>
        <v>0</v>
      </c>
      <c r="FH19" s="42">
        <f t="shared" si="19"/>
        <v>0</v>
      </c>
      <c r="FI19" s="42">
        <f t="shared" si="19"/>
        <v>0</v>
      </c>
      <c r="FJ19" s="42">
        <f t="shared" si="19"/>
        <v>0</v>
      </c>
      <c r="FK19" s="42">
        <f t="shared" si="19"/>
        <v>0</v>
      </c>
      <c r="FL19" s="42">
        <f t="shared" si="19"/>
        <v>0</v>
      </c>
      <c r="FM19" s="42">
        <f t="shared" si="19"/>
        <v>0</v>
      </c>
      <c r="FN19" s="42">
        <f t="shared" si="19"/>
        <v>0</v>
      </c>
      <c r="FO19" s="42">
        <f t="shared" si="19"/>
        <v>0</v>
      </c>
      <c r="FP19" s="42">
        <f t="shared" si="19"/>
        <v>0</v>
      </c>
      <c r="FQ19" s="42">
        <f t="shared" si="19"/>
        <v>0</v>
      </c>
      <c r="FR19" s="42">
        <f t="shared" si="19"/>
        <v>0</v>
      </c>
      <c r="FS19" s="42">
        <f t="shared" si="19"/>
        <v>0</v>
      </c>
      <c r="FT19" s="42">
        <f t="shared" si="19"/>
        <v>0</v>
      </c>
      <c r="FU19" s="42">
        <f t="shared" si="19"/>
        <v>0</v>
      </c>
      <c r="FV19" s="42">
        <f t="shared" si="19"/>
        <v>0</v>
      </c>
      <c r="FW19" s="42">
        <f t="shared" si="19"/>
        <v>0</v>
      </c>
      <c r="FX19" s="42">
        <f t="shared" si="19"/>
        <v>0</v>
      </c>
      <c r="FY19" s="42">
        <f t="shared" si="19"/>
        <v>0</v>
      </c>
      <c r="FZ19" s="42">
        <f t="shared" si="19"/>
        <v>0</v>
      </c>
      <c r="GA19" s="42">
        <f t="shared" si="19"/>
        <v>0</v>
      </c>
      <c r="GB19" s="42">
        <f t="shared" si="19"/>
        <v>0</v>
      </c>
      <c r="GC19" s="42">
        <f t="shared" si="19"/>
        <v>0</v>
      </c>
      <c r="GD19" s="42">
        <f t="shared" si="19"/>
        <v>0</v>
      </c>
      <c r="GE19" s="42">
        <f t="shared" si="19"/>
        <v>0</v>
      </c>
      <c r="GF19" s="42">
        <f t="shared" si="19"/>
        <v>0</v>
      </c>
      <c r="GG19" s="42">
        <f t="shared" si="19"/>
        <v>0</v>
      </c>
      <c r="GH19" s="42">
        <f t="shared" si="19"/>
        <v>0</v>
      </c>
    </row>
    <row r="20" spans="2:190" ht="14.5" thickBot="1">
      <c r="B20" s="43" t="s">
        <v>225</v>
      </c>
      <c r="C20" s="31">
        <v>44630</v>
      </c>
      <c r="D20" s="31">
        <v>46456</v>
      </c>
      <c r="E20" s="32">
        <v>2.375</v>
      </c>
      <c r="F20" s="33" t="s">
        <v>13</v>
      </c>
      <c r="G20" s="34">
        <v>41.47</v>
      </c>
      <c r="H20" s="34">
        <v>1263</v>
      </c>
      <c r="I20" s="32">
        <v>3.9449999999999998</v>
      </c>
      <c r="J20" s="35">
        <v>9508.43</v>
      </c>
      <c r="K20" s="44" cm="1">
        <f t="array" ref="K20">_xlfn.LET(
    _xlpm.settle,$B$3,
    _xlpm.mat,$D20,
    _xlpm.coupon,10000*$E20/200,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10.43956043956044</v>
      </c>
      <c r="L20" s="37">
        <f t="shared" si="3"/>
        <v>9518.8695604395616</v>
      </c>
      <c r="M20" s="120">
        <v>0.87466617392735702</v>
      </c>
      <c r="N20" s="45">
        <f t="shared" si="4"/>
        <v>3.8700109295376622E-2</v>
      </c>
      <c r="O20" s="99">
        <f t="shared" si="5"/>
        <v>9518.8696636112909</v>
      </c>
      <c r="P20" s="39">
        <f t="shared" si="6"/>
        <v>1.0317172927898355E-4</v>
      </c>
      <c r="R20" s="41">
        <f t="shared" si="10"/>
        <v>41</v>
      </c>
      <c r="S20" s="42">
        <f t="shared" si="11"/>
        <v>0</v>
      </c>
      <c r="T20" s="42">
        <f t="shared" si="20"/>
        <v>118.75</v>
      </c>
      <c r="U20" s="42">
        <f t="shared" si="20"/>
        <v>0</v>
      </c>
      <c r="V20" s="42">
        <f t="shared" si="20"/>
        <v>118.75</v>
      </c>
      <c r="W20" s="42">
        <f t="shared" si="20"/>
        <v>0</v>
      </c>
      <c r="X20" s="42">
        <f t="shared" si="20"/>
        <v>118.75</v>
      </c>
      <c r="Y20" s="42">
        <f t="shared" si="20"/>
        <v>0</v>
      </c>
      <c r="Z20" s="42">
        <f t="shared" si="20"/>
        <v>118.75</v>
      </c>
      <c r="AA20" s="42">
        <f t="shared" si="20"/>
        <v>0</v>
      </c>
      <c r="AB20" s="42">
        <f t="shared" si="20"/>
        <v>118.75</v>
      </c>
      <c r="AC20" s="42">
        <f t="shared" si="20"/>
        <v>0</v>
      </c>
      <c r="AD20" s="42">
        <f t="shared" si="20"/>
        <v>118.75</v>
      </c>
      <c r="AE20" s="42">
        <f t="shared" si="20"/>
        <v>0</v>
      </c>
      <c r="AF20" s="42">
        <f t="shared" si="20"/>
        <v>10118.75</v>
      </c>
      <c r="AG20" s="42">
        <f t="shared" si="20"/>
        <v>0</v>
      </c>
      <c r="AH20" s="42">
        <f t="shared" si="20"/>
        <v>0</v>
      </c>
      <c r="AI20" s="42">
        <f t="shared" si="20"/>
        <v>0</v>
      </c>
      <c r="AJ20" s="42">
        <f t="shared" si="20"/>
        <v>0</v>
      </c>
      <c r="AK20" s="42">
        <f t="shared" si="20"/>
        <v>0</v>
      </c>
      <c r="AL20" s="42">
        <f t="shared" si="20"/>
        <v>0</v>
      </c>
      <c r="AM20" s="42">
        <f t="shared" si="20"/>
        <v>0</v>
      </c>
      <c r="AN20" s="42">
        <f t="shared" si="20"/>
        <v>0</v>
      </c>
      <c r="AO20" s="42">
        <f t="shared" si="20"/>
        <v>0</v>
      </c>
      <c r="AP20" s="42">
        <f t="shared" si="20"/>
        <v>0</v>
      </c>
      <c r="AQ20" s="42">
        <f t="shared" si="20"/>
        <v>0</v>
      </c>
      <c r="AR20" s="42">
        <f t="shared" si="20"/>
        <v>0</v>
      </c>
      <c r="AS20" s="42">
        <f t="shared" si="20"/>
        <v>0</v>
      </c>
      <c r="AT20" s="42">
        <f t="shared" si="20"/>
        <v>0</v>
      </c>
      <c r="AU20" s="42">
        <f t="shared" si="20"/>
        <v>0</v>
      </c>
      <c r="AV20" s="42">
        <f t="shared" si="20"/>
        <v>0</v>
      </c>
      <c r="AW20" s="42">
        <f t="shared" si="20"/>
        <v>0</v>
      </c>
      <c r="AX20" s="42">
        <f t="shared" si="20"/>
        <v>0</v>
      </c>
      <c r="AY20" s="42">
        <f t="shared" si="20"/>
        <v>0</v>
      </c>
      <c r="AZ20" s="42">
        <f t="shared" si="20"/>
        <v>0</v>
      </c>
      <c r="BA20" s="42">
        <f t="shared" si="20"/>
        <v>0</v>
      </c>
      <c r="BB20" s="42">
        <f t="shared" si="20"/>
        <v>0</v>
      </c>
      <c r="BC20" s="42">
        <f t="shared" si="20"/>
        <v>0</v>
      </c>
      <c r="BD20" s="42">
        <f t="shared" si="20"/>
        <v>0</v>
      </c>
      <c r="BE20" s="42">
        <f t="shared" si="20"/>
        <v>0</v>
      </c>
      <c r="BF20" s="42">
        <f t="shared" si="20"/>
        <v>0</v>
      </c>
      <c r="BG20" s="42">
        <f t="shared" si="20"/>
        <v>0</v>
      </c>
      <c r="BH20" s="42">
        <f t="shared" si="20"/>
        <v>0</v>
      </c>
      <c r="BI20" s="42">
        <f t="shared" si="20"/>
        <v>0</v>
      </c>
      <c r="BJ20" s="42">
        <f t="shared" si="20"/>
        <v>0</v>
      </c>
      <c r="BK20" s="42">
        <f t="shared" si="20"/>
        <v>0</v>
      </c>
      <c r="BL20" s="42">
        <f t="shared" si="20"/>
        <v>0</v>
      </c>
      <c r="BM20" s="42">
        <f t="shared" si="20"/>
        <v>0</v>
      </c>
      <c r="BN20" s="42">
        <f t="shared" si="20"/>
        <v>0</v>
      </c>
      <c r="BO20" s="42">
        <f t="shared" si="20"/>
        <v>0</v>
      </c>
      <c r="BP20" s="42">
        <f t="shared" si="20"/>
        <v>0</v>
      </c>
      <c r="BQ20" s="42">
        <f t="shared" si="20"/>
        <v>0</v>
      </c>
      <c r="BR20" s="42">
        <f t="shared" si="20"/>
        <v>0</v>
      </c>
      <c r="BS20" s="42">
        <f t="shared" si="20"/>
        <v>0</v>
      </c>
      <c r="BT20" s="42">
        <f t="shared" si="20"/>
        <v>0</v>
      </c>
      <c r="BU20" s="42">
        <f t="shared" si="20"/>
        <v>0</v>
      </c>
      <c r="BV20" s="42">
        <f t="shared" si="20"/>
        <v>0</v>
      </c>
      <c r="BW20" s="42">
        <f t="shared" si="20"/>
        <v>0</v>
      </c>
      <c r="BX20" s="42">
        <f t="shared" si="20"/>
        <v>0</v>
      </c>
      <c r="BY20" s="42">
        <f t="shared" si="20"/>
        <v>0</v>
      </c>
      <c r="BZ20" s="42">
        <f t="shared" si="20"/>
        <v>0</v>
      </c>
      <c r="CA20" s="42">
        <f t="shared" si="20"/>
        <v>0</v>
      </c>
      <c r="CB20" s="42">
        <f t="shared" si="20"/>
        <v>0</v>
      </c>
      <c r="CC20" s="42">
        <f t="shared" si="20"/>
        <v>0</v>
      </c>
      <c r="CD20" s="42">
        <f t="shared" si="20"/>
        <v>0</v>
      </c>
      <c r="CE20" s="42">
        <f t="shared" ref="CE20:EP24" si="21">IF(
    CE$6=$R20,
    10000+10000*$E20/200,
    IF(
        AND(CE$6&lt;$R20,MOD($R20-CE$6,6)=0),
        10000*$E20/200,
        0
    )
)</f>
        <v>0</v>
      </c>
      <c r="CF20" s="42">
        <f t="shared" si="21"/>
        <v>0</v>
      </c>
      <c r="CG20" s="42">
        <f t="shared" si="21"/>
        <v>0</v>
      </c>
      <c r="CH20" s="42">
        <f t="shared" si="21"/>
        <v>0</v>
      </c>
      <c r="CI20" s="42">
        <f t="shared" si="21"/>
        <v>0</v>
      </c>
      <c r="CJ20" s="42">
        <f t="shared" si="21"/>
        <v>0</v>
      </c>
      <c r="CK20" s="42">
        <f t="shared" si="21"/>
        <v>0</v>
      </c>
      <c r="CL20" s="42">
        <f t="shared" si="21"/>
        <v>0</v>
      </c>
      <c r="CM20" s="42">
        <f t="shared" si="21"/>
        <v>0</v>
      </c>
      <c r="CN20" s="42">
        <f t="shared" si="21"/>
        <v>0</v>
      </c>
      <c r="CO20" s="42">
        <f t="shared" si="21"/>
        <v>0</v>
      </c>
      <c r="CP20" s="42">
        <f t="shared" si="21"/>
        <v>0</v>
      </c>
      <c r="CQ20" s="42">
        <f t="shared" si="21"/>
        <v>0</v>
      </c>
      <c r="CR20" s="42">
        <f t="shared" si="21"/>
        <v>0</v>
      </c>
      <c r="CS20" s="42">
        <f t="shared" si="21"/>
        <v>0</v>
      </c>
      <c r="CT20" s="42">
        <f t="shared" si="21"/>
        <v>0</v>
      </c>
      <c r="CU20" s="42">
        <f t="shared" si="21"/>
        <v>0</v>
      </c>
      <c r="CV20" s="42">
        <f t="shared" si="21"/>
        <v>0</v>
      </c>
      <c r="CW20" s="42">
        <f t="shared" si="21"/>
        <v>0</v>
      </c>
      <c r="CX20" s="42">
        <f t="shared" si="21"/>
        <v>0</v>
      </c>
      <c r="CY20" s="42">
        <f t="shared" si="21"/>
        <v>0</v>
      </c>
      <c r="CZ20" s="42">
        <f t="shared" si="21"/>
        <v>0</v>
      </c>
      <c r="DA20" s="42">
        <f t="shared" si="21"/>
        <v>0</v>
      </c>
      <c r="DB20" s="42">
        <f t="shared" si="21"/>
        <v>0</v>
      </c>
      <c r="DC20" s="42">
        <f t="shared" si="21"/>
        <v>0</v>
      </c>
      <c r="DD20" s="42">
        <f t="shared" si="21"/>
        <v>0</v>
      </c>
      <c r="DE20" s="42">
        <f t="shared" si="21"/>
        <v>0</v>
      </c>
      <c r="DF20" s="42">
        <f t="shared" si="21"/>
        <v>0</v>
      </c>
      <c r="DG20" s="42">
        <f t="shared" si="21"/>
        <v>0</v>
      </c>
      <c r="DH20" s="42">
        <f t="shared" si="21"/>
        <v>0</v>
      </c>
      <c r="DI20" s="42">
        <f t="shared" si="21"/>
        <v>0</v>
      </c>
      <c r="DJ20" s="42">
        <f t="shared" si="21"/>
        <v>0</v>
      </c>
      <c r="DK20" s="42">
        <f t="shared" si="21"/>
        <v>0</v>
      </c>
      <c r="DL20" s="42">
        <f t="shared" si="21"/>
        <v>0</v>
      </c>
      <c r="DM20" s="42">
        <f t="shared" si="21"/>
        <v>0</v>
      </c>
      <c r="DN20" s="42">
        <f t="shared" si="21"/>
        <v>0</v>
      </c>
      <c r="DO20" s="42">
        <f t="shared" si="21"/>
        <v>0</v>
      </c>
      <c r="DP20" s="42">
        <f t="shared" si="21"/>
        <v>0</v>
      </c>
      <c r="DQ20" s="42">
        <f t="shared" si="21"/>
        <v>0</v>
      </c>
      <c r="DR20" s="42">
        <f t="shared" si="21"/>
        <v>0</v>
      </c>
      <c r="DS20" s="42">
        <f t="shared" si="21"/>
        <v>0</v>
      </c>
      <c r="DT20" s="42">
        <f t="shared" si="21"/>
        <v>0</v>
      </c>
      <c r="DU20" s="42">
        <f t="shared" si="21"/>
        <v>0</v>
      </c>
      <c r="DV20" s="42">
        <f t="shared" si="21"/>
        <v>0</v>
      </c>
      <c r="DW20" s="42">
        <f t="shared" si="21"/>
        <v>0</v>
      </c>
      <c r="DX20" s="42">
        <f t="shared" si="21"/>
        <v>0</v>
      </c>
      <c r="DY20" s="42">
        <f t="shared" si="21"/>
        <v>0</v>
      </c>
      <c r="DZ20" s="42">
        <f t="shared" si="21"/>
        <v>0</v>
      </c>
      <c r="EA20" s="42">
        <f t="shared" si="21"/>
        <v>0</v>
      </c>
      <c r="EB20" s="42">
        <f t="shared" si="21"/>
        <v>0</v>
      </c>
      <c r="EC20" s="42">
        <f t="shared" si="21"/>
        <v>0</v>
      </c>
      <c r="ED20" s="42">
        <f t="shared" si="21"/>
        <v>0</v>
      </c>
      <c r="EE20" s="42">
        <f t="shared" si="21"/>
        <v>0</v>
      </c>
      <c r="EF20" s="42">
        <f t="shared" si="21"/>
        <v>0</v>
      </c>
      <c r="EG20" s="42">
        <f t="shared" si="21"/>
        <v>0</v>
      </c>
      <c r="EH20" s="42">
        <f t="shared" si="21"/>
        <v>0</v>
      </c>
      <c r="EI20" s="42">
        <f t="shared" si="21"/>
        <v>0</v>
      </c>
      <c r="EJ20" s="42">
        <f t="shared" si="21"/>
        <v>0</v>
      </c>
      <c r="EK20" s="42">
        <f t="shared" si="21"/>
        <v>0</v>
      </c>
      <c r="EL20" s="42">
        <f t="shared" si="21"/>
        <v>0</v>
      </c>
      <c r="EM20" s="42">
        <f t="shared" si="21"/>
        <v>0</v>
      </c>
      <c r="EN20" s="42">
        <f t="shared" si="21"/>
        <v>0</v>
      </c>
      <c r="EO20" s="42">
        <f t="shared" si="21"/>
        <v>0</v>
      </c>
      <c r="EP20" s="42">
        <f t="shared" si="21"/>
        <v>0</v>
      </c>
      <c r="EQ20" s="42">
        <f t="shared" si="14"/>
        <v>0</v>
      </c>
      <c r="ER20" s="42">
        <f t="shared" si="19"/>
        <v>0</v>
      </c>
      <c r="ES20" s="42">
        <f t="shared" si="19"/>
        <v>0</v>
      </c>
      <c r="ET20" s="42">
        <f t="shared" si="19"/>
        <v>0</v>
      </c>
      <c r="EU20" s="42">
        <f t="shared" si="19"/>
        <v>0</v>
      </c>
      <c r="EV20" s="42">
        <f t="shared" si="19"/>
        <v>0</v>
      </c>
      <c r="EW20" s="42">
        <f t="shared" si="19"/>
        <v>0</v>
      </c>
      <c r="EX20" s="42">
        <f t="shared" si="19"/>
        <v>0</v>
      </c>
      <c r="EY20" s="42">
        <f t="shared" si="19"/>
        <v>0</v>
      </c>
      <c r="EZ20" s="42">
        <f t="shared" si="19"/>
        <v>0</v>
      </c>
      <c r="FA20" s="42">
        <f t="shared" si="19"/>
        <v>0</v>
      </c>
      <c r="FB20" s="42">
        <f t="shared" si="19"/>
        <v>0</v>
      </c>
      <c r="FC20" s="42">
        <f t="shared" si="19"/>
        <v>0</v>
      </c>
      <c r="FD20" s="42">
        <f t="shared" si="19"/>
        <v>0</v>
      </c>
      <c r="FE20" s="42">
        <f t="shared" si="19"/>
        <v>0</v>
      </c>
      <c r="FF20" s="42">
        <f t="shared" si="19"/>
        <v>0</v>
      </c>
      <c r="FG20" s="42">
        <f t="shared" si="19"/>
        <v>0</v>
      </c>
      <c r="FH20" s="42">
        <f t="shared" si="19"/>
        <v>0</v>
      </c>
      <c r="FI20" s="42">
        <f t="shared" si="19"/>
        <v>0</v>
      </c>
      <c r="FJ20" s="42">
        <f t="shared" si="19"/>
        <v>0</v>
      </c>
      <c r="FK20" s="42">
        <f t="shared" si="19"/>
        <v>0</v>
      </c>
      <c r="FL20" s="42">
        <f t="shared" si="19"/>
        <v>0</v>
      </c>
      <c r="FM20" s="42">
        <f t="shared" si="19"/>
        <v>0</v>
      </c>
      <c r="FN20" s="42">
        <f t="shared" si="19"/>
        <v>0</v>
      </c>
      <c r="FO20" s="42">
        <f t="shared" si="19"/>
        <v>0</v>
      </c>
      <c r="FP20" s="42">
        <f t="shared" si="19"/>
        <v>0</v>
      </c>
      <c r="FQ20" s="42">
        <f t="shared" si="19"/>
        <v>0</v>
      </c>
      <c r="FR20" s="42">
        <f t="shared" si="19"/>
        <v>0</v>
      </c>
      <c r="FS20" s="42">
        <f t="shared" si="19"/>
        <v>0</v>
      </c>
      <c r="FT20" s="42">
        <f t="shared" si="19"/>
        <v>0</v>
      </c>
      <c r="FU20" s="42">
        <f t="shared" si="19"/>
        <v>0</v>
      </c>
      <c r="FV20" s="42">
        <f t="shared" si="19"/>
        <v>0</v>
      </c>
      <c r="FW20" s="42">
        <f t="shared" si="19"/>
        <v>0</v>
      </c>
      <c r="FX20" s="42">
        <f t="shared" si="19"/>
        <v>0</v>
      </c>
      <c r="FY20" s="42">
        <f t="shared" si="19"/>
        <v>0</v>
      </c>
      <c r="FZ20" s="42">
        <f t="shared" si="19"/>
        <v>0</v>
      </c>
      <c r="GA20" s="42">
        <f t="shared" si="19"/>
        <v>0</v>
      </c>
      <c r="GB20" s="42">
        <f t="shared" si="19"/>
        <v>0</v>
      </c>
      <c r="GC20" s="42">
        <f t="shared" si="19"/>
        <v>0</v>
      </c>
      <c r="GD20" s="42">
        <f t="shared" si="19"/>
        <v>0</v>
      </c>
      <c r="GE20" s="42">
        <f t="shared" si="19"/>
        <v>0</v>
      </c>
      <c r="GF20" s="42">
        <f t="shared" si="19"/>
        <v>0</v>
      </c>
      <c r="GG20" s="42">
        <f t="shared" si="19"/>
        <v>0</v>
      </c>
      <c r="GH20" s="42">
        <f t="shared" si="19"/>
        <v>0</v>
      </c>
    </row>
    <row r="21" spans="2:190" ht="14.5" thickBot="1">
      <c r="B21" s="43" t="s">
        <v>226</v>
      </c>
      <c r="C21" s="31">
        <v>42896</v>
      </c>
      <c r="D21" s="31">
        <v>46548</v>
      </c>
      <c r="E21" s="32">
        <v>2.125</v>
      </c>
      <c r="F21" s="33" t="s">
        <v>14</v>
      </c>
      <c r="G21" s="34">
        <v>44.47</v>
      </c>
      <c r="H21" s="34">
        <v>1352</v>
      </c>
      <c r="I21" s="32">
        <v>3.95</v>
      </c>
      <c r="J21" s="35">
        <v>9439.7199999999993</v>
      </c>
      <c r="K21" s="44" cm="1">
        <f t="array" ref="K21">_xlfn.LET(
    _xlpm.settle,$B$3,
    _xlpm.mat,$D21,
    _xlpm.coupon,10000*$E21/200,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62.704918032786885</v>
      </c>
      <c r="L21" s="37">
        <f t="shared" si="3"/>
        <v>9502.4249180327861</v>
      </c>
      <c r="M21" s="120">
        <v>0.87091338373573879</v>
      </c>
      <c r="N21" s="45">
        <f t="shared" si="4"/>
        <v>3.73133538229454E-2</v>
      </c>
      <c r="O21" s="99">
        <f t="shared" si="5"/>
        <v>9502.4231857848972</v>
      </c>
      <c r="P21" s="39">
        <f t="shared" si="6"/>
        <v>-1.7322478888672777E-3</v>
      </c>
      <c r="R21" s="41">
        <f t="shared" si="10"/>
        <v>44</v>
      </c>
      <c r="S21" s="42">
        <f t="shared" si="11"/>
        <v>106.25</v>
      </c>
      <c r="T21" s="42">
        <f t="shared" ref="T21:CE23" si="22">IF(
    T$6=$R21,
    10000+10000*$E21/200,
    IF(
        AND(T$6&lt;$R21,MOD($R21-T$6,6)=0),
        10000*$E21/200,
        0
    )
)</f>
        <v>0</v>
      </c>
      <c r="U21" s="42">
        <f t="shared" si="22"/>
        <v>106.25</v>
      </c>
      <c r="V21" s="42">
        <f t="shared" si="22"/>
        <v>0</v>
      </c>
      <c r="W21" s="42">
        <f t="shared" si="22"/>
        <v>106.25</v>
      </c>
      <c r="X21" s="42">
        <f t="shared" si="22"/>
        <v>0</v>
      </c>
      <c r="Y21" s="42">
        <f t="shared" si="22"/>
        <v>106.25</v>
      </c>
      <c r="Z21" s="42">
        <f t="shared" si="22"/>
        <v>0</v>
      </c>
      <c r="AA21" s="42">
        <f t="shared" si="22"/>
        <v>106.25</v>
      </c>
      <c r="AB21" s="42">
        <f t="shared" si="22"/>
        <v>0</v>
      </c>
      <c r="AC21" s="42">
        <f t="shared" si="22"/>
        <v>106.25</v>
      </c>
      <c r="AD21" s="42">
        <f t="shared" si="22"/>
        <v>0</v>
      </c>
      <c r="AE21" s="42">
        <f t="shared" si="22"/>
        <v>106.25</v>
      </c>
      <c r="AF21" s="42">
        <f t="shared" si="22"/>
        <v>0</v>
      </c>
      <c r="AG21" s="42">
        <f t="shared" si="22"/>
        <v>10106.25</v>
      </c>
      <c r="AH21" s="42">
        <f t="shared" si="22"/>
        <v>0</v>
      </c>
      <c r="AI21" s="42">
        <f t="shared" si="22"/>
        <v>0</v>
      </c>
      <c r="AJ21" s="42">
        <f t="shared" si="22"/>
        <v>0</v>
      </c>
      <c r="AK21" s="42">
        <f t="shared" si="22"/>
        <v>0</v>
      </c>
      <c r="AL21" s="42">
        <f t="shared" si="22"/>
        <v>0</v>
      </c>
      <c r="AM21" s="42">
        <f t="shared" si="22"/>
        <v>0</v>
      </c>
      <c r="AN21" s="42">
        <f t="shared" si="22"/>
        <v>0</v>
      </c>
      <c r="AO21" s="42">
        <f t="shared" si="22"/>
        <v>0</v>
      </c>
      <c r="AP21" s="42">
        <f t="shared" si="22"/>
        <v>0</v>
      </c>
      <c r="AQ21" s="42">
        <f t="shared" si="22"/>
        <v>0</v>
      </c>
      <c r="AR21" s="42">
        <f t="shared" si="22"/>
        <v>0</v>
      </c>
      <c r="AS21" s="42">
        <f t="shared" si="22"/>
        <v>0</v>
      </c>
      <c r="AT21" s="42">
        <f t="shared" si="22"/>
        <v>0</v>
      </c>
      <c r="AU21" s="42">
        <f t="shared" si="22"/>
        <v>0</v>
      </c>
      <c r="AV21" s="42">
        <f t="shared" si="22"/>
        <v>0</v>
      </c>
      <c r="AW21" s="42">
        <f t="shared" si="22"/>
        <v>0</v>
      </c>
      <c r="AX21" s="42">
        <f t="shared" si="22"/>
        <v>0</v>
      </c>
      <c r="AY21" s="42">
        <f t="shared" si="22"/>
        <v>0</v>
      </c>
      <c r="AZ21" s="42">
        <f t="shared" si="22"/>
        <v>0</v>
      </c>
      <c r="BA21" s="42">
        <f t="shared" si="22"/>
        <v>0</v>
      </c>
      <c r="BB21" s="42">
        <f t="shared" si="22"/>
        <v>0</v>
      </c>
      <c r="BC21" s="42">
        <f t="shared" si="22"/>
        <v>0</v>
      </c>
      <c r="BD21" s="42">
        <f t="shared" si="22"/>
        <v>0</v>
      </c>
      <c r="BE21" s="42">
        <f t="shared" si="22"/>
        <v>0</v>
      </c>
      <c r="BF21" s="42">
        <f t="shared" si="22"/>
        <v>0</v>
      </c>
      <c r="BG21" s="42">
        <f t="shared" si="22"/>
        <v>0</v>
      </c>
      <c r="BH21" s="42">
        <f t="shared" si="22"/>
        <v>0</v>
      </c>
      <c r="BI21" s="42">
        <f t="shared" si="22"/>
        <v>0</v>
      </c>
      <c r="BJ21" s="42">
        <f t="shared" si="22"/>
        <v>0</v>
      </c>
      <c r="BK21" s="42">
        <f t="shared" si="22"/>
        <v>0</v>
      </c>
      <c r="BL21" s="42">
        <f t="shared" si="22"/>
        <v>0</v>
      </c>
      <c r="BM21" s="42">
        <f t="shared" si="22"/>
        <v>0</v>
      </c>
      <c r="BN21" s="42">
        <f t="shared" si="22"/>
        <v>0</v>
      </c>
      <c r="BO21" s="42">
        <f t="shared" si="22"/>
        <v>0</v>
      </c>
      <c r="BP21" s="42">
        <f t="shared" si="22"/>
        <v>0</v>
      </c>
      <c r="BQ21" s="42">
        <f t="shared" si="22"/>
        <v>0</v>
      </c>
      <c r="BR21" s="42">
        <f t="shared" si="22"/>
        <v>0</v>
      </c>
      <c r="BS21" s="42">
        <f t="shared" si="22"/>
        <v>0</v>
      </c>
      <c r="BT21" s="42">
        <f t="shared" si="22"/>
        <v>0</v>
      </c>
      <c r="BU21" s="42">
        <f t="shared" si="22"/>
        <v>0</v>
      </c>
      <c r="BV21" s="42">
        <f t="shared" si="22"/>
        <v>0</v>
      </c>
      <c r="BW21" s="42">
        <f t="shared" si="22"/>
        <v>0</v>
      </c>
      <c r="BX21" s="42">
        <f t="shared" si="22"/>
        <v>0</v>
      </c>
      <c r="BY21" s="42">
        <f t="shared" si="22"/>
        <v>0</v>
      </c>
      <c r="BZ21" s="42">
        <f t="shared" si="22"/>
        <v>0</v>
      </c>
      <c r="CA21" s="42">
        <f t="shared" si="22"/>
        <v>0</v>
      </c>
      <c r="CB21" s="42">
        <f t="shared" si="22"/>
        <v>0</v>
      </c>
      <c r="CC21" s="42">
        <f t="shared" si="22"/>
        <v>0</v>
      </c>
      <c r="CD21" s="42">
        <f t="shared" si="22"/>
        <v>0</v>
      </c>
      <c r="CE21" s="42">
        <f t="shared" si="22"/>
        <v>0</v>
      </c>
      <c r="CF21" s="42">
        <f t="shared" si="21"/>
        <v>0</v>
      </c>
      <c r="CG21" s="42">
        <f t="shared" si="21"/>
        <v>0</v>
      </c>
      <c r="CH21" s="42">
        <f t="shared" si="21"/>
        <v>0</v>
      </c>
      <c r="CI21" s="42">
        <f t="shared" si="21"/>
        <v>0</v>
      </c>
      <c r="CJ21" s="42">
        <f t="shared" si="21"/>
        <v>0</v>
      </c>
      <c r="CK21" s="42">
        <f t="shared" si="21"/>
        <v>0</v>
      </c>
      <c r="CL21" s="42">
        <f t="shared" si="21"/>
        <v>0</v>
      </c>
      <c r="CM21" s="42">
        <f t="shared" si="21"/>
        <v>0</v>
      </c>
      <c r="CN21" s="42">
        <f t="shared" si="21"/>
        <v>0</v>
      </c>
      <c r="CO21" s="42">
        <f t="shared" si="21"/>
        <v>0</v>
      </c>
      <c r="CP21" s="42">
        <f t="shared" si="21"/>
        <v>0</v>
      </c>
      <c r="CQ21" s="42">
        <f t="shared" si="21"/>
        <v>0</v>
      </c>
      <c r="CR21" s="42">
        <f t="shared" si="21"/>
        <v>0</v>
      </c>
      <c r="CS21" s="42">
        <f t="shared" si="21"/>
        <v>0</v>
      </c>
      <c r="CT21" s="42">
        <f t="shared" si="21"/>
        <v>0</v>
      </c>
      <c r="CU21" s="42">
        <f t="shared" si="21"/>
        <v>0</v>
      </c>
      <c r="CV21" s="42">
        <f t="shared" si="21"/>
        <v>0</v>
      </c>
      <c r="CW21" s="42">
        <f t="shared" si="21"/>
        <v>0</v>
      </c>
      <c r="CX21" s="42">
        <f t="shared" si="21"/>
        <v>0</v>
      </c>
      <c r="CY21" s="42">
        <f t="shared" si="21"/>
        <v>0</v>
      </c>
      <c r="CZ21" s="42">
        <f t="shared" si="21"/>
        <v>0</v>
      </c>
      <c r="DA21" s="42">
        <f t="shared" si="21"/>
        <v>0</v>
      </c>
      <c r="DB21" s="42">
        <f t="shared" si="21"/>
        <v>0</v>
      </c>
      <c r="DC21" s="42">
        <f t="shared" si="21"/>
        <v>0</v>
      </c>
      <c r="DD21" s="42">
        <f t="shared" si="21"/>
        <v>0</v>
      </c>
      <c r="DE21" s="42">
        <f t="shared" si="21"/>
        <v>0</v>
      </c>
      <c r="DF21" s="42">
        <f t="shared" si="21"/>
        <v>0</v>
      </c>
      <c r="DG21" s="42">
        <f t="shared" si="21"/>
        <v>0</v>
      </c>
      <c r="DH21" s="42">
        <f t="shared" si="21"/>
        <v>0</v>
      </c>
      <c r="DI21" s="42">
        <f t="shared" si="21"/>
        <v>0</v>
      </c>
      <c r="DJ21" s="42">
        <f t="shared" si="21"/>
        <v>0</v>
      </c>
      <c r="DK21" s="42">
        <f t="shared" si="21"/>
        <v>0</v>
      </c>
      <c r="DL21" s="42">
        <f t="shared" si="21"/>
        <v>0</v>
      </c>
      <c r="DM21" s="42">
        <f t="shared" si="21"/>
        <v>0</v>
      </c>
      <c r="DN21" s="42">
        <f t="shared" si="21"/>
        <v>0</v>
      </c>
      <c r="DO21" s="42">
        <f t="shared" si="21"/>
        <v>0</v>
      </c>
      <c r="DP21" s="42">
        <f t="shared" si="21"/>
        <v>0</v>
      </c>
      <c r="DQ21" s="42">
        <f t="shared" si="21"/>
        <v>0</v>
      </c>
      <c r="DR21" s="42">
        <f t="shared" si="21"/>
        <v>0</v>
      </c>
      <c r="DS21" s="42">
        <f t="shared" si="21"/>
        <v>0</v>
      </c>
      <c r="DT21" s="42">
        <f t="shared" si="21"/>
        <v>0</v>
      </c>
      <c r="DU21" s="42">
        <f t="shared" si="21"/>
        <v>0</v>
      </c>
      <c r="DV21" s="42">
        <f t="shared" si="21"/>
        <v>0</v>
      </c>
      <c r="DW21" s="42">
        <f t="shared" si="21"/>
        <v>0</v>
      </c>
      <c r="DX21" s="42">
        <f t="shared" si="21"/>
        <v>0</v>
      </c>
      <c r="DY21" s="42">
        <f t="shared" si="21"/>
        <v>0</v>
      </c>
      <c r="DZ21" s="42">
        <f t="shared" si="21"/>
        <v>0</v>
      </c>
      <c r="EA21" s="42">
        <f t="shared" si="21"/>
        <v>0</v>
      </c>
      <c r="EB21" s="42">
        <f t="shared" si="21"/>
        <v>0</v>
      </c>
      <c r="EC21" s="42">
        <f t="shared" si="21"/>
        <v>0</v>
      </c>
      <c r="ED21" s="42">
        <f t="shared" si="21"/>
        <v>0</v>
      </c>
      <c r="EE21" s="42">
        <f t="shared" si="21"/>
        <v>0</v>
      </c>
      <c r="EF21" s="42">
        <f t="shared" si="21"/>
        <v>0</v>
      </c>
      <c r="EG21" s="42">
        <f t="shared" si="21"/>
        <v>0</v>
      </c>
      <c r="EH21" s="42">
        <f t="shared" si="21"/>
        <v>0</v>
      </c>
      <c r="EI21" s="42">
        <f t="shared" si="21"/>
        <v>0</v>
      </c>
      <c r="EJ21" s="42">
        <f t="shared" si="21"/>
        <v>0</v>
      </c>
      <c r="EK21" s="42">
        <f t="shared" si="21"/>
        <v>0</v>
      </c>
      <c r="EL21" s="42">
        <f t="shared" si="21"/>
        <v>0</v>
      </c>
      <c r="EM21" s="42">
        <f t="shared" si="21"/>
        <v>0</v>
      </c>
      <c r="EN21" s="42">
        <f t="shared" si="21"/>
        <v>0</v>
      </c>
      <c r="EO21" s="42">
        <f t="shared" si="21"/>
        <v>0</v>
      </c>
      <c r="EP21" s="42">
        <f t="shared" si="21"/>
        <v>0</v>
      </c>
      <c r="EQ21" s="42">
        <f t="shared" si="14"/>
        <v>0</v>
      </c>
      <c r="ER21" s="42">
        <f t="shared" si="19"/>
        <v>0</v>
      </c>
      <c r="ES21" s="42">
        <f t="shared" si="19"/>
        <v>0</v>
      </c>
      <c r="ET21" s="42">
        <f t="shared" si="19"/>
        <v>0</v>
      </c>
      <c r="EU21" s="42">
        <f t="shared" si="19"/>
        <v>0</v>
      </c>
      <c r="EV21" s="42">
        <f t="shared" si="19"/>
        <v>0</v>
      </c>
      <c r="EW21" s="42">
        <f t="shared" si="19"/>
        <v>0</v>
      </c>
      <c r="EX21" s="42">
        <f t="shared" si="19"/>
        <v>0</v>
      </c>
      <c r="EY21" s="42">
        <f t="shared" si="19"/>
        <v>0</v>
      </c>
      <c r="EZ21" s="42">
        <f t="shared" si="19"/>
        <v>0</v>
      </c>
      <c r="FA21" s="42">
        <f t="shared" si="19"/>
        <v>0</v>
      </c>
      <c r="FB21" s="42">
        <f t="shared" si="19"/>
        <v>0</v>
      </c>
      <c r="FC21" s="42">
        <f t="shared" si="19"/>
        <v>0</v>
      </c>
      <c r="FD21" s="42">
        <f t="shared" si="19"/>
        <v>0</v>
      </c>
      <c r="FE21" s="42">
        <f t="shared" si="19"/>
        <v>0</v>
      </c>
      <c r="FF21" s="42">
        <f t="shared" si="19"/>
        <v>0</v>
      </c>
      <c r="FG21" s="42">
        <f t="shared" si="19"/>
        <v>0</v>
      </c>
      <c r="FH21" s="42">
        <f t="shared" si="19"/>
        <v>0</v>
      </c>
      <c r="FI21" s="42">
        <f t="shared" si="19"/>
        <v>0</v>
      </c>
      <c r="FJ21" s="42">
        <f t="shared" si="19"/>
        <v>0</v>
      </c>
      <c r="FK21" s="42">
        <f t="shared" si="19"/>
        <v>0</v>
      </c>
      <c r="FL21" s="42">
        <f t="shared" si="19"/>
        <v>0</v>
      </c>
      <c r="FM21" s="42">
        <f t="shared" si="19"/>
        <v>0</v>
      </c>
      <c r="FN21" s="42">
        <f t="shared" si="19"/>
        <v>0</v>
      </c>
      <c r="FO21" s="42">
        <f t="shared" si="19"/>
        <v>0</v>
      </c>
      <c r="FP21" s="42">
        <f t="shared" si="19"/>
        <v>0</v>
      </c>
      <c r="FQ21" s="42">
        <f t="shared" si="19"/>
        <v>0</v>
      </c>
      <c r="FR21" s="42">
        <f t="shared" si="19"/>
        <v>0</v>
      </c>
      <c r="FS21" s="42">
        <f t="shared" si="19"/>
        <v>0</v>
      </c>
      <c r="FT21" s="42">
        <f t="shared" si="19"/>
        <v>0</v>
      </c>
      <c r="FU21" s="42">
        <f t="shared" si="19"/>
        <v>0</v>
      </c>
      <c r="FV21" s="42">
        <f t="shared" si="19"/>
        <v>0</v>
      </c>
      <c r="FW21" s="42">
        <f t="shared" si="19"/>
        <v>0</v>
      </c>
      <c r="FX21" s="42">
        <f t="shared" si="19"/>
        <v>0</v>
      </c>
      <c r="FY21" s="42">
        <f t="shared" si="19"/>
        <v>0</v>
      </c>
      <c r="FZ21" s="42">
        <f t="shared" si="19"/>
        <v>0</v>
      </c>
      <c r="GA21" s="42">
        <f t="shared" si="19"/>
        <v>0</v>
      </c>
      <c r="GB21" s="42">
        <f t="shared" si="19"/>
        <v>0</v>
      </c>
      <c r="GC21" s="42">
        <f t="shared" si="19"/>
        <v>0</v>
      </c>
      <c r="GD21" s="42">
        <f t="shared" si="19"/>
        <v>0</v>
      </c>
      <c r="GE21" s="42">
        <f t="shared" si="19"/>
        <v>0</v>
      </c>
      <c r="GF21" s="42">
        <f t="shared" ref="GF21:GH21" si="23">IF(
    GF$6=$R21,
    10000+10000*$E21/200,
    IF(
        AND(GF$6&lt;$R21,MOD($R21-GF$6,6)=0),
        10000*$E21/200,
        0
    )
)</f>
        <v>0</v>
      </c>
      <c r="GG21" s="42">
        <f t="shared" si="23"/>
        <v>0</v>
      </c>
      <c r="GH21" s="42">
        <f t="shared" si="23"/>
        <v>0</v>
      </c>
    </row>
    <row r="22" spans="2:190" ht="14.5" thickBot="1">
      <c r="B22" s="43" t="s">
        <v>227</v>
      </c>
      <c r="C22" s="31">
        <v>44814</v>
      </c>
      <c r="D22" s="31">
        <v>46640</v>
      </c>
      <c r="E22" s="32">
        <v>3.125</v>
      </c>
      <c r="F22" s="33" t="s">
        <v>15</v>
      </c>
      <c r="G22" s="34">
        <v>47.47</v>
      </c>
      <c r="H22" s="34">
        <v>1444</v>
      </c>
      <c r="I22" s="32">
        <v>3.956</v>
      </c>
      <c r="J22" s="35">
        <v>9712.66</v>
      </c>
      <c r="K22" s="44" cm="1">
        <f t="array" ref="K22">_xlfn.LET(
    _xlpm.settle,$B$3,
    _xlpm.mat,$D22,
    _xlpm.coupon,10000*$E22/200,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13.736263736263735</v>
      </c>
      <c r="L22" s="37">
        <f t="shared" si="3"/>
        <v>9726.3962637362638</v>
      </c>
      <c r="M22" s="120">
        <v>0.85763281968157379</v>
      </c>
      <c r="N22" s="45">
        <f t="shared" si="4"/>
        <v>3.8820232247612142E-2</v>
      </c>
      <c r="O22" s="99">
        <f t="shared" si="5"/>
        <v>9726.3963832300888</v>
      </c>
      <c r="P22" s="39">
        <f t="shared" si="6"/>
        <v>1.1949382496823091E-4</v>
      </c>
      <c r="R22" s="41">
        <f t="shared" si="10"/>
        <v>47</v>
      </c>
      <c r="S22" s="42">
        <f t="shared" si="11"/>
        <v>0</v>
      </c>
      <c r="T22" s="42">
        <f t="shared" si="22"/>
        <v>156.25</v>
      </c>
      <c r="U22" s="42">
        <f t="shared" si="22"/>
        <v>0</v>
      </c>
      <c r="V22" s="42">
        <f t="shared" si="22"/>
        <v>156.25</v>
      </c>
      <c r="W22" s="42">
        <f t="shared" si="22"/>
        <v>0</v>
      </c>
      <c r="X22" s="42">
        <f t="shared" si="22"/>
        <v>156.25</v>
      </c>
      <c r="Y22" s="42">
        <f t="shared" si="22"/>
        <v>0</v>
      </c>
      <c r="Z22" s="42">
        <f t="shared" si="22"/>
        <v>156.25</v>
      </c>
      <c r="AA22" s="42">
        <f t="shared" si="22"/>
        <v>0</v>
      </c>
      <c r="AB22" s="42">
        <f t="shared" si="22"/>
        <v>156.25</v>
      </c>
      <c r="AC22" s="42">
        <f t="shared" si="22"/>
        <v>0</v>
      </c>
      <c r="AD22" s="42">
        <f t="shared" si="22"/>
        <v>156.25</v>
      </c>
      <c r="AE22" s="42">
        <f t="shared" si="22"/>
        <v>0</v>
      </c>
      <c r="AF22" s="42">
        <f t="shared" si="22"/>
        <v>156.25</v>
      </c>
      <c r="AG22" s="42">
        <f t="shared" si="22"/>
        <v>0</v>
      </c>
      <c r="AH22" s="42">
        <f t="shared" si="22"/>
        <v>10156.25</v>
      </c>
      <c r="AI22" s="42">
        <f t="shared" si="22"/>
        <v>0</v>
      </c>
      <c r="AJ22" s="42">
        <f t="shared" si="22"/>
        <v>0</v>
      </c>
      <c r="AK22" s="42">
        <f t="shared" si="22"/>
        <v>0</v>
      </c>
      <c r="AL22" s="42">
        <f t="shared" si="22"/>
        <v>0</v>
      </c>
      <c r="AM22" s="42">
        <f t="shared" si="22"/>
        <v>0</v>
      </c>
      <c r="AN22" s="42">
        <f t="shared" si="22"/>
        <v>0</v>
      </c>
      <c r="AO22" s="42">
        <f t="shared" si="22"/>
        <v>0</v>
      </c>
      <c r="AP22" s="42">
        <f t="shared" si="22"/>
        <v>0</v>
      </c>
      <c r="AQ22" s="42">
        <f t="shared" si="22"/>
        <v>0</v>
      </c>
      <c r="AR22" s="42">
        <f t="shared" si="22"/>
        <v>0</v>
      </c>
      <c r="AS22" s="42">
        <f t="shared" si="22"/>
        <v>0</v>
      </c>
      <c r="AT22" s="42">
        <f t="shared" si="22"/>
        <v>0</v>
      </c>
      <c r="AU22" s="42">
        <f t="shared" si="22"/>
        <v>0</v>
      </c>
      <c r="AV22" s="42">
        <f t="shared" si="22"/>
        <v>0</v>
      </c>
      <c r="AW22" s="42">
        <f t="shared" si="22"/>
        <v>0</v>
      </c>
      <c r="AX22" s="42">
        <f t="shared" si="22"/>
        <v>0</v>
      </c>
      <c r="AY22" s="42">
        <f t="shared" si="22"/>
        <v>0</v>
      </c>
      <c r="AZ22" s="42">
        <f t="shared" si="22"/>
        <v>0</v>
      </c>
      <c r="BA22" s="42">
        <f t="shared" si="22"/>
        <v>0</v>
      </c>
      <c r="BB22" s="42">
        <f t="shared" si="22"/>
        <v>0</v>
      </c>
      <c r="BC22" s="42">
        <f t="shared" si="22"/>
        <v>0</v>
      </c>
      <c r="BD22" s="42">
        <f t="shared" si="22"/>
        <v>0</v>
      </c>
      <c r="BE22" s="42">
        <f t="shared" si="22"/>
        <v>0</v>
      </c>
      <c r="BF22" s="42">
        <f t="shared" si="22"/>
        <v>0</v>
      </c>
      <c r="BG22" s="42">
        <f t="shared" si="22"/>
        <v>0</v>
      </c>
      <c r="BH22" s="42">
        <f t="shared" si="22"/>
        <v>0</v>
      </c>
      <c r="BI22" s="42">
        <f t="shared" si="22"/>
        <v>0</v>
      </c>
      <c r="BJ22" s="42">
        <f t="shared" si="22"/>
        <v>0</v>
      </c>
      <c r="BK22" s="42">
        <f t="shared" si="22"/>
        <v>0</v>
      </c>
      <c r="BL22" s="42">
        <f t="shared" si="22"/>
        <v>0</v>
      </c>
      <c r="BM22" s="42">
        <f t="shared" si="22"/>
        <v>0</v>
      </c>
      <c r="BN22" s="42">
        <f t="shared" si="22"/>
        <v>0</v>
      </c>
      <c r="BO22" s="42">
        <f t="shared" si="22"/>
        <v>0</v>
      </c>
      <c r="BP22" s="42">
        <f t="shared" si="22"/>
        <v>0</v>
      </c>
      <c r="BQ22" s="42">
        <f t="shared" si="22"/>
        <v>0</v>
      </c>
      <c r="BR22" s="42">
        <f t="shared" si="22"/>
        <v>0</v>
      </c>
      <c r="BS22" s="42">
        <f t="shared" si="22"/>
        <v>0</v>
      </c>
      <c r="BT22" s="42">
        <f t="shared" si="22"/>
        <v>0</v>
      </c>
      <c r="BU22" s="42">
        <f t="shared" si="22"/>
        <v>0</v>
      </c>
      <c r="BV22" s="42">
        <f t="shared" si="22"/>
        <v>0</v>
      </c>
      <c r="BW22" s="42">
        <f t="shared" si="22"/>
        <v>0</v>
      </c>
      <c r="BX22" s="42">
        <f t="shared" si="22"/>
        <v>0</v>
      </c>
      <c r="BY22" s="42">
        <f t="shared" si="22"/>
        <v>0</v>
      </c>
      <c r="BZ22" s="42">
        <f t="shared" si="22"/>
        <v>0</v>
      </c>
      <c r="CA22" s="42">
        <f t="shared" si="22"/>
        <v>0</v>
      </c>
      <c r="CB22" s="42">
        <f t="shared" si="22"/>
        <v>0</v>
      </c>
      <c r="CC22" s="42">
        <f t="shared" si="22"/>
        <v>0</v>
      </c>
      <c r="CD22" s="42">
        <f t="shared" si="22"/>
        <v>0</v>
      </c>
      <c r="CE22" s="42">
        <f t="shared" si="22"/>
        <v>0</v>
      </c>
      <c r="CF22" s="42">
        <f t="shared" si="21"/>
        <v>0</v>
      </c>
      <c r="CG22" s="42">
        <f t="shared" si="21"/>
        <v>0</v>
      </c>
      <c r="CH22" s="42">
        <f t="shared" si="21"/>
        <v>0</v>
      </c>
      <c r="CI22" s="42">
        <f t="shared" si="21"/>
        <v>0</v>
      </c>
      <c r="CJ22" s="42">
        <f t="shared" si="21"/>
        <v>0</v>
      </c>
      <c r="CK22" s="42">
        <f t="shared" si="21"/>
        <v>0</v>
      </c>
      <c r="CL22" s="42">
        <f t="shared" si="21"/>
        <v>0</v>
      </c>
      <c r="CM22" s="42">
        <f t="shared" si="21"/>
        <v>0</v>
      </c>
      <c r="CN22" s="42">
        <f t="shared" si="21"/>
        <v>0</v>
      </c>
      <c r="CO22" s="42">
        <f t="shared" si="21"/>
        <v>0</v>
      </c>
      <c r="CP22" s="42">
        <f t="shared" si="21"/>
        <v>0</v>
      </c>
      <c r="CQ22" s="42">
        <f t="shared" si="21"/>
        <v>0</v>
      </c>
      <c r="CR22" s="42">
        <f t="shared" si="21"/>
        <v>0</v>
      </c>
      <c r="CS22" s="42">
        <f t="shared" si="21"/>
        <v>0</v>
      </c>
      <c r="CT22" s="42">
        <f t="shared" si="21"/>
        <v>0</v>
      </c>
      <c r="CU22" s="42">
        <f t="shared" si="21"/>
        <v>0</v>
      </c>
      <c r="CV22" s="42">
        <f t="shared" si="21"/>
        <v>0</v>
      </c>
      <c r="CW22" s="42">
        <f t="shared" si="21"/>
        <v>0</v>
      </c>
      <c r="CX22" s="42">
        <f t="shared" si="21"/>
        <v>0</v>
      </c>
      <c r="CY22" s="42">
        <f t="shared" si="21"/>
        <v>0</v>
      </c>
      <c r="CZ22" s="42">
        <f t="shared" si="21"/>
        <v>0</v>
      </c>
      <c r="DA22" s="42">
        <f t="shared" si="21"/>
        <v>0</v>
      </c>
      <c r="DB22" s="42">
        <f t="shared" si="21"/>
        <v>0</v>
      </c>
      <c r="DC22" s="42">
        <f t="shared" si="21"/>
        <v>0</v>
      </c>
      <c r="DD22" s="42">
        <f t="shared" si="21"/>
        <v>0</v>
      </c>
      <c r="DE22" s="42">
        <f t="shared" si="21"/>
        <v>0</v>
      </c>
      <c r="DF22" s="42">
        <f t="shared" si="21"/>
        <v>0</v>
      </c>
      <c r="DG22" s="42">
        <f t="shared" si="21"/>
        <v>0</v>
      </c>
      <c r="DH22" s="42">
        <f t="shared" si="21"/>
        <v>0</v>
      </c>
      <c r="DI22" s="42">
        <f t="shared" si="21"/>
        <v>0</v>
      </c>
      <c r="DJ22" s="42">
        <f t="shared" si="21"/>
        <v>0</v>
      </c>
      <c r="DK22" s="42">
        <f t="shared" si="21"/>
        <v>0</v>
      </c>
      <c r="DL22" s="42">
        <f t="shared" si="21"/>
        <v>0</v>
      </c>
      <c r="DM22" s="42">
        <f t="shared" si="21"/>
        <v>0</v>
      </c>
      <c r="DN22" s="42">
        <f t="shared" si="21"/>
        <v>0</v>
      </c>
      <c r="DO22" s="42">
        <f t="shared" si="21"/>
        <v>0</v>
      </c>
      <c r="DP22" s="42">
        <f t="shared" si="21"/>
        <v>0</v>
      </c>
      <c r="DQ22" s="42">
        <f t="shared" si="21"/>
        <v>0</v>
      </c>
      <c r="DR22" s="42">
        <f t="shared" si="21"/>
        <v>0</v>
      </c>
      <c r="DS22" s="42">
        <f t="shared" si="21"/>
        <v>0</v>
      </c>
      <c r="DT22" s="42">
        <f t="shared" si="21"/>
        <v>0</v>
      </c>
      <c r="DU22" s="42">
        <f t="shared" si="21"/>
        <v>0</v>
      </c>
      <c r="DV22" s="42">
        <f t="shared" si="21"/>
        <v>0</v>
      </c>
      <c r="DW22" s="42">
        <f t="shared" si="21"/>
        <v>0</v>
      </c>
      <c r="DX22" s="42">
        <f t="shared" si="21"/>
        <v>0</v>
      </c>
      <c r="DY22" s="42">
        <f t="shared" si="21"/>
        <v>0</v>
      </c>
      <c r="DZ22" s="42">
        <f t="shared" si="21"/>
        <v>0</v>
      </c>
      <c r="EA22" s="42">
        <f t="shared" si="21"/>
        <v>0</v>
      </c>
      <c r="EB22" s="42">
        <f t="shared" si="21"/>
        <v>0</v>
      </c>
      <c r="EC22" s="42">
        <f t="shared" si="21"/>
        <v>0</v>
      </c>
      <c r="ED22" s="42">
        <f t="shared" si="21"/>
        <v>0</v>
      </c>
      <c r="EE22" s="42">
        <f t="shared" si="21"/>
        <v>0</v>
      </c>
      <c r="EF22" s="42">
        <f t="shared" si="21"/>
        <v>0</v>
      </c>
      <c r="EG22" s="42">
        <f t="shared" si="21"/>
        <v>0</v>
      </c>
      <c r="EH22" s="42">
        <f t="shared" si="21"/>
        <v>0</v>
      </c>
      <c r="EI22" s="42">
        <f t="shared" si="21"/>
        <v>0</v>
      </c>
      <c r="EJ22" s="42">
        <f t="shared" si="21"/>
        <v>0</v>
      </c>
      <c r="EK22" s="42">
        <f t="shared" si="21"/>
        <v>0</v>
      </c>
      <c r="EL22" s="42">
        <f t="shared" si="21"/>
        <v>0</v>
      </c>
      <c r="EM22" s="42">
        <f t="shared" si="21"/>
        <v>0</v>
      </c>
      <c r="EN22" s="42">
        <f t="shared" si="21"/>
        <v>0</v>
      </c>
      <c r="EO22" s="42">
        <f t="shared" si="21"/>
        <v>0</v>
      </c>
      <c r="EP22" s="42">
        <f t="shared" si="21"/>
        <v>0</v>
      </c>
      <c r="EQ22" s="42">
        <f t="shared" si="14"/>
        <v>0</v>
      </c>
      <c r="ER22" s="42">
        <f t="shared" ref="ER22:GH28" si="24">IF(
    ER$6=$R22,
    10000+10000*$E22/200,
    IF(
        AND(ER$6&lt;$R22,MOD($R22-ER$6,6)=0),
        10000*$E22/200,
        0
    )
)</f>
        <v>0</v>
      </c>
      <c r="ES22" s="42">
        <f t="shared" si="24"/>
        <v>0</v>
      </c>
      <c r="ET22" s="42">
        <f t="shared" si="24"/>
        <v>0</v>
      </c>
      <c r="EU22" s="42">
        <f t="shared" si="24"/>
        <v>0</v>
      </c>
      <c r="EV22" s="42">
        <f t="shared" si="24"/>
        <v>0</v>
      </c>
      <c r="EW22" s="42">
        <f t="shared" si="24"/>
        <v>0</v>
      </c>
      <c r="EX22" s="42">
        <f t="shared" si="24"/>
        <v>0</v>
      </c>
      <c r="EY22" s="42">
        <f t="shared" si="24"/>
        <v>0</v>
      </c>
      <c r="EZ22" s="42">
        <f t="shared" si="24"/>
        <v>0</v>
      </c>
      <c r="FA22" s="42">
        <f t="shared" si="24"/>
        <v>0</v>
      </c>
      <c r="FB22" s="42">
        <f t="shared" si="24"/>
        <v>0</v>
      </c>
      <c r="FC22" s="42">
        <f t="shared" si="24"/>
        <v>0</v>
      </c>
      <c r="FD22" s="42">
        <f t="shared" si="24"/>
        <v>0</v>
      </c>
      <c r="FE22" s="42">
        <f t="shared" si="24"/>
        <v>0</v>
      </c>
      <c r="FF22" s="42">
        <f t="shared" si="24"/>
        <v>0</v>
      </c>
      <c r="FG22" s="42">
        <f t="shared" si="24"/>
        <v>0</v>
      </c>
      <c r="FH22" s="42">
        <f t="shared" si="24"/>
        <v>0</v>
      </c>
      <c r="FI22" s="42">
        <f t="shared" si="24"/>
        <v>0</v>
      </c>
      <c r="FJ22" s="42">
        <f t="shared" si="24"/>
        <v>0</v>
      </c>
      <c r="FK22" s="42">
        <f t="shared" si="24"/>
        <v>0</v>
      </c>
      <c r="FL22" s="42">
        <f t="shared" si="24"/>
        <v>0</v>
      </c>
      <c r="FM22" s="42">
        <f t="shared" si="24"/>
        <v>0</v>
      </c>
      <c r="FN22" s="42">
        <f t="shared" si="24"/>
        <v>0</v>
      </c>
      <c r="FO22" s="42">
        <f t="shared" si="24"/>
        <v>0</v>
      </c>
      <c r="FP22" s="42">
        <f t="shared" si="24"/>
        <v>0</v>
      </c>
      <c r="FQ22" s="42">
        <f t="shared" si="24"/>
        <v>0</v>
      </c>
      <c r="FR22" s="42">
        <f t="shared" si="24"/>
        <v>0</v>
      </c>
      <c r="FS22" s="42">
        <f t="shared" si="24"/>
        <v>0</v>
      </c>
      <c r="FT22" s="42">
        <f t="shared" si="24"/>
        <v>0</v>
      </c>
      <c r="FU22" s="42">
        <f t="shared" si="24"/>
        <v>0</v>
      </c>
      <c r="FV22" s="42">
        <f t="shared" si="24"/>
        <v>0</v>
      </c>
      <c r="FW22" s="42">
        <f t="shared" si="24"/>
        <v>0</v>
      </c>
      <c r="FX22" s="42">
        <f t="shared" si="24"/>
        <v>0</v>
      </c>
      <c r="FY22" s="42">
        <f t="shared" si="24"/>
        <v>0</v>
      </c>
      <c r="FZ22" s="42">
        <f t="shared" si="24"/>
        <v>0</v>
      </c>
      <c r="GA22" s="42">
        <f t="shared" si="24"/>
        <v>0</v>
      </c>
      <c r="GB22" s="42">
        <f t="shared" si="24"/>
        <v>0</v>
      </c>
      <c r="GC22" s="42">
        <f t="shared" si="24"/>
        <v>0</v>
      </c>
      <c r="GD22" s="42">
        <f t="shared" si="24"/>
        <v>0</v>
      </c>
      <c r="GE22" s="42">
        <f t="shared" si="24"/>
        <v>0</v>
      </c>
      <c r="GF22" s="42">
        <f t="shared" si="24"/>
        <v>0</v>
      </c>
      <c r="GG22" s="42">
        <f t="shared" si="24"/>
        <v>0</v>
      </c>
      <c r="GH22" s="42">
        <f t="shared" si="24"/>
        <v>0</v>
      </c>
    </row>
    <row r="23" spans="2:190" ht="14.5" thickBot="1">
      <c r="B23" s="43" t="s">
        <v>228</v>
      </c>
      <c r="C23" s="31">
        <v>43079</v>
      </c>
      <c r="D23" s="31">
        <v>46731</v>
      </c>
      <c r="E23" s="32">
        <v>2.375</v>
      </c>
      <c r="F23" s="33" t="s">
        <v>16</v>
      </c>
      <c r="G23" s="34">
        <v>50.47</v>
      </c>
      <c r="H23" s="34">
        <v>1536</v>
      </c>
      <c r="I23" s="32">
        <v>3.968</v>
      </c>
      <c r="J23" s="35">
        <v>9458.7000000000007</v>
      </c>
      <c r="K23" s="44" cm="1">
        <f t="array" ref="K23">_xlfn.LET(
    _xlpm.settle,$B$3,
    _xlpm.mat,$D23,
    _xlpm.coupon,10000*$E23/200,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70.081967213114751</v>
      </c>
      <c r="L23" s="37">
        <f t="shared" si="3"/>
        <v>9528.7819672131154</v>
      </c>
      <c r="M23" s="120">
        <v>0.85407412305967145</v>
      </c>
      <c r="N23" s="45">
        <f t="shared" si="4"/>
        <v>3.748314598958076E-2</v>
      </c>
      <c r="O23" s="99">
        <f t="shared" si="5"/>
        <v>9528.7800397760893</v>
      </c>
      <c r="P23" s="39">
        <f t="shared" si="6"/>
        <v>-1.9274370260973228E-3</v>
      </c>
      <c r="R23" s="41">
        <f t="shared" si="10"/>
        <v>50</v>
      </c>
      <c r="S23" s="42">
        <f t="shared" ref="S23:AH59" si="25">IF(
    S$6=$R23,
    10000+10000*$E23/200,
    IF(
        AND(S$6&lt;$R23,MOD($R23-S$6,6)=0),
        10000*$E23/200,
        0
    )
)</f>
        <v>118.75</v>
      </c>
      <c r="T23" s="42">
        <f t="shared" si="25"/>
        <v>0</v>
      </c>
      <c r="U23" s="42">
        <f t="shared" si="25"/>
        <v>118.75</v>
      </c>
      <c r="V23" s="42">
        <f t="shared" si="25"/>
        <v>0</v>
      </c>
      <c r="W23" s="42">
        <f t="shared" si="25"/>
        <v>118.75</v>
      </c>
      <c r="X23" s="42">
        <f t="shared" si="25"/>
        <v>0</v>
      </c>
      <c r="Y23" s="42">
        <f t="shared" si="25"/>
        <v>118.75</v>
      </c>
      <c r="Z23" s="42">
        <f t="shared" si="25"/>
        <v>0</v>
      </c>
      <c r="AA23" s="42">
        <f t="shared" si="25"/>
        <v>118.75</v>
      </c>
      <c r="AB23" s="42">
        <f t="shared" si="25"/>
        <v>0</v>
      </c>
      <c r="AC23" s="42">
        <f t="shared" si="25"/>
        <v>118.75</v>
      </c>
      <c r="AD23" s="42">
        <f t="shared" si="25"/>
        <v>0</v>
      </c>
      <c r="AE23" s="42">
        <f t="shared" si="25"/>
        <v>118.75</v>
      </c>
      <c r="AF23" s="42">
        <f t="shared" si="25"/>
        <v>0</v>
      </c>
      <c r="AG23" s="42">
        <f t="shared" si="25"/>
        <v>118.75</v>
      </c>
      <c r="AH23" s="42">
        <f t="shared" si="25"/>
        <v>0</v>
      </c>
      <c r="AI23" s="42">
        <f t="shared" si="22"/>
        <v>10118.75</v>
      </c>
      <c r="AJ23" s="42">
        <f t="shared" si="22"/>
        <v>0</v>
      </c>
      <c r="AK23" s="42">
        <f t="shared" si="22"/>
        <v>0</v>
      </c>
      <c r="AL23" s="42">
        <f t="shared" si="22"/>
        <v>0</v>
      </c>
      <c r="AM23" s="42">
        <f t="shared" si="22"/>
        <v>0</v>
      </c>
      <c r="AN23" s="42">
        <f t="shared" si="22"/>
        <v>0</v>
      </c>
      <c r="AO23" s="42">
        <f t="shared" si="22"/>
        <v>0</v>
      </c>
      <c r="AP23" s="42">
        <f t="shared" si="22"/>
        <v>0</v>
      </c>
      <c r="AQ23" s="42">
        <f t="shared" si="22"/>
        <v>0</v>
      </c>
      <c r="AR23" s="42">
        <f t="shared" si="22"/>
        <v>0</v>
      </c>
      <c r="AS23" s="42">
        <f t="shared" si="22"/>
        <v>0</v>
      </c>
      <c r="AT23" s="42">
        <f t="shared" si="22"/>
        <v>0</v>
      </c>
      <c r="AU23" s="42">
        <f t="shared" si="22"/>
        <v>0</v>
      </c>
      <c r="AV23" s="42">
        <f t="shared" si="22"/>
        <v>0</v>
      </c>
      <c r="AW23" s="42">
        <f t="shared" si="22"/>
        <v>0</v>
      </c>
      <c r="AX23" s="42">
        <f t="shared" si="22"/>
        <v>0</v>
      </c>
      <c r="AY23" s="42">
        <f t="shared" si="22"/>
        <v>0</v>
      </c>
      <c r="AZ23" s="42">
        <f t="shared" si="22"/>
        <v>0</v>
      </c>
      <c r="BA23" s="42">
        <f t="shared" si="22"/>
        <v>0</v>
      </c>
      <c r="BB23" s="42">
        <f t="shared" si="22"/>
        <v>0</v>
      </c>
      <c r="BC23" s="42">
        <f t="shared" si="22"/>
        <v>0</v>
      </c>
      <c r="BD23" s="42">
        <f t="shared" si="22"/>
        <v>0</v>
      </c>
      <c r="BE23" s="42">
        <f t="shared" si="22"/>
        <v>0</v>
      </c>
      <c r="BF23" s="42">
        <f t="shared" si="22"/>
        <v>0</v>
      </c>
      <c r="BG23" s="42">
        <f t="shared" si="22"/>
        <v>0</v>
      </c>
      <c r="BH23" s="42">
        <f t="shared" si="22"/>
        <v>0</v>
      </c>
      <c r="BI23" s="42">
        <f t="shared" si="22"/>
        <v>0</v>
      </c>
      <c r="BJ23" s="42">
        <f t="shared" si="22"/>
        <v>0</v>
      </c>
      <c r="BK23" s="42">
        <f t="shared" si="22"/>
        <v>0</v>
      </c>
      <c r="BL23" s="42">
        <f t="shared" si="22"/>
        <v>0</v>
      </c>
      <c r="BM23" s="42">
        <f t="shared" si="22"/>
        <v>0</v>
      </c>
      <c r="BN23" s="42">
        <f t="shared" si="22"/>
        <v>0</v>
      </c>
      <c r="BO23" s="42">
        <f t="shared" si="22"/>
        <v>0</v>
      </c>
      <c r="BP23" s="42">
        <f t="shared" si="22"/>
        <v>0</v>
      </c>
      <c r="BQ23" s="42">
        <f t="shared" si="22"/>
        <v>0</v>
      </c>
      <c r="BR23" s="42">
        <f t="shared" si="22"/>
        <v>0</v>
      </c>
      <c r="BS23" s="42">
        <f t="shared" si="22"/>
        <v>0</v>
      </c>
      <c r="BT23" s="42">
        <f t="shared" si="22"/>
        <v>0</v>
      </c>
      <c r="BU23" s="42">
        <f t="shared" si="22"/>
        <v>0</v>
      </c>
      <c r="BV23" s="42">
        <f t="shared" si="22"/>
        <v>0</v>
      </c>
      <c r="BW23" s="42">
        <f t="shared" si="22"/>
        <v>0</v>
      </c>
      <c r="BX23" s="42">
        <f t="shared" si="22"/>
        <v>0</v>
      </c>
      <c r="BY23" s="42">
        <f t="shared" si="22"/>
        <v>0</v>
      </c>
      <c r="BZ23" s="42">
        <f t="shared" si="22"/>
        <v>0</v>
      </c>
      <c r="CA23" s="42">
        <f t="shared" si="22"/>
        <v>0</v>
      </c>
      <c r="CB23" s="42">
        <f t="shared" si="22"/>
        <v>0</v>
      </c>
      <c r="CC23" s="42">
        <f t="shared" si="22"/>
        <v>0</v>
      </c>
      <c r="CD23" s="42">
        <f t="shared" si="22"/>
        <v>0</v>
      </c>
      <c r="CE23" s="42">
        <f t="shared" si="22"/>
        <v>0</v>
      </c>
      <c r="CF23" s="42">
        <f t="shared" si="21"/>
        <v>0</v>
      </c>
      <c r="CG23" s="42">
        <f t="shared" si="21"/>
        <v>0</v>
      </c>
      <c r="CH23" s="42">
        <f t="shared" si="21"/>
        <v>0</v>
      </c>
      <c r="CI23" s="42">
        <f t="shared" si="21"/>
        <v>0</v>
      </c>
      <c r="CJ23" s="42">
        <f t="shared" si="21"/>
        <v>0</v>
      </c>
      <c r="CK23" s="42">
        <f t="shared" si="21"/>
        <v>0</v>
      </c>
      <c r="CL23" s="42">
        <f t="shared" si="21"/>
        <v>0</v>
      </c>
      <c r="CM23" s="42">
        <f t="shared" si="21"/>
        <v>0</v>
      </c>
      <c r="CN23" s="42">
        <f t="shared" si="21"/>
        <v>0</v>
      </c>
      <c r="CO23" s="42">
        <f t="shared" si="21"/>
        <v>0</v>
      </c>
      <c r="CP23" s="42">
        <f t="shared" si="21"/>
        <v>0</v>
      </c>
      <c r="CQ23" s="42">
        <f t="shared" si="21"/>
        <v>0</v>
      </c>
      <c r="CR23" s="42">
        <f t="shared" si="21"/>
        <v>0</v>
      </c>
      <c r="CS23" s="42">
        <f t="shared" si="21"/>
        <v>0</v>
      </c>
      <c r="CT23" s="42">
        <f t="shared" si="21"/>
        <v>0</v>
      </c>
      <c r="CU23" s="42">
        <f t="shared" si="21"/>
        <v>0</v>
      </c>
      <c r="CV23" s="42">
        <f t="shared" si="21"/>
        <v>0</v>
      </c>
      <c r="CW23" s="42">
        <f t="shared" si="21"/>
        <v>0</v>
      </c>
      <c r="CX23" s="42">
        <f t="shared" si="21"/>
        <v>0</v>
      </c>
      <c r="CY23" s="42">
        <f t="shared" si="21"/>
        <v>0</v>
      </c>
      <c r="CZ23" s="42">
        <f t="shared" si="21"/>
        <v>0</v>
      </c>
      <c r="DA23" s="42">
        <f t="shared" si="21"/>
        <v>0</v>
      </c>
      <c r="DB23" s="42">
        <f t="shared" si="21"/>
        <v>0</v>
      </c>
      <c r="DC23" s="42">
        <f t="shared" si="21"/>
        <v>0</v>
      </c>
      <c r="DD23" s="42">
        <f t="shared" si="21"/>
        <v>0</v>
      </c>
      <c r="DE23" s="42">
        <f t="shared" si="21"/>
        <v>0</v>
      </c>
      <c r="DF23" s="42">
        <f t="shared" si="21"/>
        <v>0</v>
      </c>
      <c r="DG23" s="42">
        <f t="shared" si="21"/>
        <v>0</v>
      </c>
      <c r="DH23" s="42">
        <f t="shared" si="21"/>
        <v>0</v>
      </c>
      <c r="DI23" s="42">
        <f t="shared" si="21"/>
        <v>0</v>
      </c>
      <c r="DJ23" s="42">
        <f t="shared" si="21"/>
        <v>0</v>
      </c>
      <c r="DK23" s="42">
        <f t="shared" si="21"/>
        <v>0</v>
      </c>
      <c r="DL23" s="42">
        <f t="shared" si="21"/>
        <v>0</v>
      </c>
      <c r="DM23" s="42">
        <f t="shared" si="21"/>
        <v>0</v>
      </c>
      <c r="DN23" s="42">
        <f t="shared" si="21"/>
        <v>0</v>
      </c>
      <c r="DO23" s="42">
        <f t="shared" si="21"/>
        <v>0</v>
      </c>
      <c r="DP23" s="42">
        <f t="shared" si="21"/>
        <v>0</v>
      </c>
      <c r="DQ23" s="42">
        <f t="shared" si="21"/>
        <v>0</v>
      </c>
      <c r="DR23" s="42">
        <f t="shared" si="21"/>
        <v>0</v>
      </c>
      <c r="DS23" s="42">
        <f t="shared" si="21"/>
        <v>0</v>
      </c>
      <c r="DT23" s="42">
        <f t="shared" si="21"/>
        <v>0</v>
      </c>
      <c r="DU23" s="42">
        <f t="shared" si="21"/>
        <v>0</v>
      </c>
      <c r="DV23" s="42">
        <f t="shared" si="21"/>
        <v>0</v>
      </c>
      <c r="DW23" s="42">
        <f t="shared" si="21"/>
        <v>0</v>
      </c>
      <c r="DX23" s="42">
        <f t="shared" si="21"/>
        <v>0</v>
      </c>
      <c r="DY23" s="42">
        <f t="shared" si="21"/>
        <v>0</v>
      </c>
      <c r="DZ23" s="42">
        <f t="shared" si="21"/>
        <v>0</v>
      </c>
      <c r="EA23" s="42">
        <f t="shared" si="21"/>
        <v>0</v>
      </c>
      <c r="EB23" s="42">
        <f t="shared" si="21"/>
        <v>0</v>
      </c>
      <c r="EC23" s="42">
        <f t="shared" si="21"/>
        <v>0</v>
      </c>
      <c r="ED23" s="42">
        <f t="shared" si="21"/>
        <v>0</v>
      </c>
      <c r="EE23" s="42">
        <f t="shared" si="21"/>
        <v>0</v>
      </c>
      <c r="EF23" s="42">
        <f t="shared" si="21"/>
        <v>0</v>
      </c>
      <c r="EG23" s="42">
        <f t="shared" si="21"/>
        <v>0</v>
      </c>
      <c r="EH23" s="42">
        <f t="shared" si="21"/>
        <v>0</v>
      </c>
      <c r="EI23" s="42">
        <f t="shared" si="21"/>
        <v>0</v>
      </c>
      <c r="EJ23" s="42">
        <f t="shared" si="21"/>
        <v>0</v>
      </c>
      <c r="EK23" s="42">
        <f t="shared" si="21"/>
        <v>0</v>
      </c>
      <c r="EL23" s="42">
        <f t="shared" si="21"/>
        <v>0</v>
      </c>
      <c r="EM23" s="42">
        <f t="shared" si="21"/>
        <v>0</v>
      </c>
      <c r="EN23" s="42">
        <f t="shared" si="21"/>
        <v>0</v>
      </c>
      <c r="EO23" s="42">
        <f t="shared" si="21"/>
        <v>0</v>
      </c>
      <c r="EP23" s="42">
        <f t="shared" si="21"/>
        <v>0</v>
      </c>
      <c r="EQ23" s="42">
        <f t="shared" si="14"/>
        <v>0</v>
      </c>
      <c r="ER23" s="42">
        <f t="shared" si="24"/>
        <v>0</v>
      </c>
      <c r="ES23" s="42">
        <f t="shared" si="24"/>
        <v>0</v>
      </c>
      <c r="ET23" s="42">
        <f t="shared" si="24"/>
        <v>0</v>
      </c>
      <c r="EU23" s="42">
        <f t="shared" si="24"/>
        <v>0</v>
      </c>
      <c r="EV23" s="42">
        <f t="shared" si="24"/>
        <v>0</v>
      </c>
      <c r="EW23" s="42">
        <f t="shared" si="24"/>
        <v>0</v>
      </c>
      <c r="EX23" s="42">
        <f t="shared" si="24"/>
        <v>0</v>
      </c>
      <c r="EY23" s="42">
        <f t="shared" si="24"/>
        <v>0</v>
      </c>
      <c r="EZ23" s="42">
        <f t="shared" si="24"/>
        <v>0</v>
      </c>
      <c r="FA23" s="42">
        <f t="shared" si="24"/>
        <v>0</v>
      </c>
      <c r="FB23" s="42">
        <f t="shared" si="24"/>
        <v>0</v>
      </c>
      <c r="FC23" s="42">
        <f t="shared" si="24"/>
        <v>0</v>
      </c>
      <c r="FD23" s="42">
        <f t="shared" si="24"/>
        <v>0</v>
      </c>
      <c r="FE23" s="42">
        <f t="shared" si="24"/>
        <v>0</v>
      </c>
      <c r="FF23" s="42">
        <f t="shared" si="24"/>
        <v>0</v>
      </c>
      <c r="FG23" s="42">
        <f t="shared" si="24"/>
        <v>0</v>
      </c>
      <c r="FH23" s="42">
        <f t="shared" si="24"/>
        <v>0</v>
      </c>
      <c r="FI23" s="42">
        <f t="shared" si="24"/>
        <v>0</v>
      </c>
      <c r="FJ23" s="42">
        <f t="shared" si="24"/>
        <v>0</v>
      </c>
      <c r="FK23" s="42">
        <f t="shared" si="24"/>
        <v>0</v>
      </c>
      <c r="FL23" s="42">
        <f t="shared" si="24"/>
        <v>0</v>
      </c>
      <c r="FM23" s="42">
        <f t="shared" si="24"/>
        <v>0</v>
      </c>
      <c r="FN23" s="42">
        <f t="shared" si="24"/>
        <v>0</v>
      </c>
      <c r="FO23" s="42">
        <f t="shared" si="24"/>
        <v>0</v>
      </c>
      <c r="FP23" s="42">
        <f t="shared" si="24"/>
        <v>0</v>
      </c>
      <c r="FQ23" s="42">
        <f t="shared" si="24"/>
        <v>0</v>
      </c>
      <c r="FR23" s="42">
        <f t="shared" si="24"/>
        <v>0</v>
      </c>
      <c r="FS23" s="42">
        <f t="shared" si="24"/>
        <v>0</v>
      </c>
      <c r="FT23" s="42">
        <f t="shared" si="24"/>
        <v>0</v>
      </c>
      <c r="FU23" s="42">
        <f t="shared" si="24"/>
        <v>0</v>
      </c>
      <c r="FV23" s="42">
        <f t="shared" si="24"/>
        <v>0</v>
      </c>
      <c r="FW23" s="42">
        <f t="shared" si="24"/>
        <v>0</v>
      </c>
      <c r="FX23" s="42">
        <f t="shared" si="24"/>
        <v>0</v>
      </c>
      <c r="FY23" s="42">
        <f t="shared" si="24"/>
        <v>0</v>
      </c>
      <c r="FZ23" s="42">
        <f t="shared" si="24"/>
        <v>0</v>
      </c>
      <c r="GA23" s="42">
        <f t="shared" si="24"/>
        <v>0</v>
      </c>
      <c r="GB23" s="42">
        <f t="shared" si="24"/>
        <v>0</v>
      </c>
      <c r="GC23" s="42">
        <f t="shared" si="24"/>
        <v>0</v>
      </c>
      <c r="GD23" s="42">
        <f t="shared" si="24"/>
        <v>0</v>
      </c>
      <c r="GE23" s="42">
        <f t="shared" si="24"/>
        <v>0</v>
      </c>
      <c r="GF23" s="42">
        <f t="shared" si="24"/>
        <v>0</v>
      </c>
      <c r="GG23" s="42">
        <f t="shared" si="24"/>
        <v>0</v>
      </c>
      <c r="GH23" s="42">
        <f t="shared" si="24"/>
        <v>0</v>
      </c>
    </row>
    <row r="24" spans="2:190" ht="14.5" thickBot="1">
      <c r="B24" s="43" t="s">
        <v>229</v>
      </c>
      <c r="C24" s="31">
        <v>44995</v>
      </c>
      <c r="D24" s="31">
        <v>46822</v>
      </c>
      <c r="E24" s="32">
        <v>3.25</v>
      </c>
      <c r="F24" s="33" t="s">
        <v>17</v>
      </c>
      <c r="G24" s="34">
        <v>53.47</v>
      </c>
      <c r="H24" s="34">
        <v>1628</v>
      </c>
      <c r="I24" s="32">
        <v>3.96</v>
      </c>
      <c r="J24" s="35">
        <v>9727.4</v>
      </c>
      <c r="K24" s="44" cm="1">
        <f t="array" ref="K24">_xlfn.LET(
    _xlpm.settle,$B$3,
    _xlpm.mat,$D24,
    _xlpm.coupon,10000*$E24/200,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14.285714285714286</v>
      </c>
      <c r="L24" s="37">
        <f t="shared" si="3"/>
        <v>9741.6857142857134</v>
      </c>
      <c r="M24" s="120">
        <v>0.84089691670648858</v>
      </c>
      <c r="N24" s="45">
        <f t="shared" si="4"/>
        <v>3.8851021231737996E-2</v>
      </c>
      <c r="O24" s="99">
        <f t="shared" si="5"/>
        <v>9741.6858299006162</v>
      </c>
      <c r="P24" s="39">
        <f t="shared" si="6"/>
        <v>1.1561490282474551E-4</v>
      </c>
      <c r="R24" s="41">
        <f t="shared" si="10"/>
        <v>53</v>
      </c>
      <c r="S24" s="42">
        <f t="shared" si="25"/>
        <v>0</v>
      </c>
      <c r="T24" s="42">
        <f t="shared" ref="T24:CE27" si="26">IF(
    T$6=$R24,
    10000+10000*$E24/200,
    IF(
        AND(T$6&lt;$R24,MOD($R24-T$6,6)=0),
        10000*$E24/200,
        0
    )
)</f>
        <v>162.5</v>
      </c>
      <c r="U24" s="42">
        <f t="shared" si="26"/>
        <v>0</v>
      </c>
      <c r="V24" s="42">
        <f t="shared" si="26"/>
        <v>162.5</v>
      </c>
      <c r="W24" s="42">
        <f t="shared" si="26"/>
        <v>0</v>
      </c>
      <c r="X24" s="42">
        <f t="shared" si="26"/>
        <v>162.5</v>
      </c>
      <c r="Y24" s="42">
        <f t="shared" si="26"/>
        <v>0</v>
      </c>
      <c r="Z24" s="42">
        <f t="shared" si="26"/>
        <v>162.5</v>
      </c>
      <c r="AA24" s="42">
        <f t="shared" si="26"/>
        <v>0</v>
      </c>
      <c r="AB24" s="42">
        <f t="shared" si="26"/>
        <v>162.5</v>
      </c>
      <c r="AC24" s="42">
        <f t="shared" si="26"/>
        <v>0</v>
      </c>
      <c r="AD24" s="42">
        <f t="shared" si="26"/>
        <v>162.5</v>
      </c>
      <c r="AE24" s="42">
        <f t="shared" si="26"/>
        <v>0</v>
      </c>
      <c r="AF24" s="42">
        <f t="shared" si="26"/>
        <v>162.5</v>
      </c>
      <c r="AG24" s="42">
        <f t="shared" si="26"/>
        <v>0</v>
      </c>
      <c r="AH24" s="42">
        <f t="shared" si="26"/>
        <v>162.5</v>
      </c>
      <c r="AI24" s="42">
        <f t="shared" si="26"/>
        <v>0</v>
      </c>
      <c r="AJ24" s="42">
        <f t="shared" si="26"/>
        <v>10162.5</v>
      </c>
      <c r="AK24" s="42">
        <f t="shared" si="26"/>
        <v>0</v>
      </c>
      <c r="AL24" s="42">
        <f t="shared" si="26"/>
        <v>0</v>
      </c>
      <c r="AM24" s="42">
        <f t="shared" si="26"/>
        <v>0</v>
      </c>
      <c r="AN24" s="42">
        <f t="shared" si="26"/>
        <v>0</v>
      </c>
      <c r="AO24" s="42">
        <f t="shared" si="26"/>
        <v>0</v>
      </c>
      <c r="AP24" s="42">
        <f t="shared" si="26"/>
        <v>0</v>
      </c>
      <c r="AQ24" s="42">
        <f t="shared" si="26"/>
        <v>0</v>
      </c>
      <c r="AR24" s="42">
        <f t="shared" si="26"/>
        <v>0</v>
      </c>
      <c r="AS24" s="42">
        <f t="shared" si="26"/>
        <v>0</v>
      </c>
      <c r="AT24" s="42">
        <f t="shared" si="26"/>
        <v>0</v>
      </c>
      <c r="AU24" s="42">
        <f t="shared" si="26"/>
        <v>0</v>
      </c>
      <c r="AV24" s="42">
        <f t="shared" si="26"/>
        <v>0</v>
      </c>
      <c r="AW24" s="42">
        <f t="shared" si="26"/>
        <v>0</v>
      </c>
      <c r="AX24" s="42">
        <f t="shared" si="26"/>
        <v>0</v>
      </c>
      <c r="AY24" s="42">
        <f t="shared" si="26"/>
        <v>0</v>
      </c>
      <c r="AZ24" s="42">
        <f t="shared" si="26"/>
        <v>0</v>
      </c>
      <c r="BA24" s="42">
        <f t="shared" si="26"/>
        <v>0</v>
      </c>
      <c r="BB24" s="42">
        <f t="shared" si="26"/>
        <v>0</v>
      </c>
      <c r="BC24" s="42">
        <f t="shared" si="26"/>
        <v>0</v>
      </c>
      <c r="BD24" s="42">
        <f t="shared" si="26"/>
        <v>0</v>
      </c>
      <c r="BE24" s="42">
        <f t="shared" si="26"/>
        <v>0</v>
      </c>
      <c r="BF24" s="42">
        <f t="shared" si="26"/>
        <v>0</v>
      </c>
      <c r="BG24" s="42">
        <f t="shared" si="26"/>
        <v>0</v>
      </c>
      <c r="BH24" s="42">
        <f t="shared" si="26"/>
        <v>0</v>
      </c>
      <c r="BI24" s="42">
        <f t="shared" si="26"/>
        <v>0</v>
      </c>
      <c r="BJ24" s="42">
        <f t="shared" si="26"/>
        <v>0</v>
      </c>
      <c r="BK24" s="42">
        <f t="shared" si="26"/>
        <v>0</v>
      </c>
      <c r="BL24" s="42">
        <f t="shared" si="26"/>
        <v>0</v>
      </c>
      <c r="BM24" s="42">
        <f t="shared" si="26"/>
        <v>0</v>
      </c>
      <c r="BN24" s="42">
        <f t="shared" si="26"/>
        <v>0</v>
      </c>
      <c r="BO24" s="42">
        <f t="shared" si="26"/>
        <v>0</v>
      </c>
      <c r="BP24" s="42">
        <f t="shared" si="26"/>
        <v>0</v>
      </c>
      <c r="BQ24" s="42">
        <f t="shared" si="26"/>
        <v>0</v>
      </c>
      <c r="BR24" s="42">
        <f t="shared" si="26"/>
        <v>0</v>
      </c>
      <c r="BS24" s="42">
        <f t="shared" si="26"/>
        <v>0</v>
      </c>
      <c r="BT24" s="42">
        <f t="shared" si="26"/>
        <v>0</v>
      </c>
      <c r="BU24" s="42">
        <f t="shared" si="26"/>
        <v>0</v>
      </c>
      <c r="BV24" s="42">
        <f t="shared" si="26"/>
        <v>0</v>
      </c>
      <c r="BW24" s="42">
        <f t="shared" si="26"/>
        <v>0</v>
      </c>
      <c r="BX24" s="42">
        <f t="shared" si="26"/>
        <v>0</v>
      </c>
      <c r="BY24" s="42">
        <f t="shared" si="26"/>
        <v>0</v>
      </c>
      <c r="BZ24" s="42">
        <f t="shared" si="26"/>
        <v>0</v>
      </c>
      <c r="CA24" s="42">
        <f t="shared" si="26"/>
        <v>0</v>
      </c>
      <c r="CB24" s="42">
        <f t="shared" si="26"/>
        <v>0</v>
      </c>
      <c r="CC24" s="42">
        <f t="shared" si="26"/>
        <v>0</v>
      </c>
      <c r="CD24" s="42">
        <f t="shared" si="26"/>
        <v>0</v>
      </c>
      <c r="CE24" s="42">
        <f t="shared" si="26"/>
        <v>0</v>
      </c>
      <c r="CF24" s="42">
        <f t="shared" si="21"/>
        <v>0</v>
      </c>
      <c r="CG24" s="42">
        <f t="shared" si="21"/>
        <v>0</v>
      </c>
      <c r="CH24" s="42">
        <f t="shared" ref="CH24:ES39" si="27">IF(
    CH$6=$R24,
    10000+10000*$E24/200,
    IF(
        AND(CH$6&lt;$R24,MOD($R24-CH$6,6)=0),
        10000*$E24/200,
        0
    )
)</f>
        <v>0</v>
      </c>
      <c r="CI24" s="42">
        <f t="shared" si="27"/>
        <v>0</v>
      </c>
      <c r="CJ24" s="42">
        <f t="shared" si="27"/>
        <v>0</v>
      </c>
      <c r="CK24" s="42">
        <f t="shared" si="27"/>
        <v>0</v>
      </c>
      <c r="CL24" s="42">
        <f t="shared" si="27"/>
        <v>0</v>
      </c>
      <c r="CM24" s="42">
        <f t="shared" si="27"/>
        <v>0</v>
      </c>
      <c r="CN24" s="42">
        <f t="shared" si="27"/>
        <v>0</v>
      </c>
      <c r="CO24" s="42">
        <f t="shared" si="27"/>
        <v>0</v>
      </c>
      <c r="CP24" s="42">
        <f t="shared" si="27"/>
        <v>0</v>
      </c>
      <c r="CQ24" s="42">
        <f t="shared" si="27"/>
        <v>0</v>
      </c>
      <c r="CR24" s="42">
        <f t="shared" si="27"/>
        <v>0</v>
      </c>
      <c r="CS24" s="42">
        <f t="shared" si="27"/>
        <v>0</v>
      </c>
      <c r="CT24" s="42">
        <f t="shared" si="27"/>
        <v>0</v>
      </c>
      <c r="CU24" s="42">
        <f t="shared" si="27"/>
        <v>0</v>
      </c>
      <c r="CV24" s="42">
        <f t="shared" si="27"/>
        <v>0</v>
      </c>
      <c r="CW24" s="42">
        <f t="shared" si="27"/>
        <v>0</v>
      </c>
      <c r="CX24" s="42">
        <f t="shared" si="27"/>
        <v>0</v>
      </c>
      <c r="CY24" s="42">
        <f t="shared" si="27"/>
        <v>0</v>
      </c>
      <c r="CZ24" s="42">
        <f t="shared" si="27"/>
        <v>0</v>
      </c>
      <c r="DA24" s="42">
        <f t="shared" si="27"/>
        <v>0</v>
      </c>
      <c r="DB24" s="42">
        <f t="shared" si="27"/>
        <v>0</v>
      </c>
      <c r="DC24" s="42">
        <f t="shared" si="27"/>
        <v>0</v>
      </c>
      <c r="DD24" s="42">
        <f t="shared" si="27"/>
        <v>0</v>
      </c>
      <c r="DE24" s="42">
        <f t="shared" si="27"/>
        <v>0</v>
      </c>
      <c r="DF24" s="42">
        <f t="shared" si="27"/>
        <v>0</v>
      </c>
      <c r="DG24" s="42">
        <f t="shared" si="27"/>
        <v>0</v>
      </c>
      <c r="DH24" s="42">
        <f t="shared" si="27"/>
        <v>0</v>
      </c>
      <c r="DI24" s="42">
        <f t="shared" si="27"/>
        <v>0</v>
      </c>
      <c r="DJ24" s="42">
        <f t="shared" si="27"/>
        <v>0</v>
      </c>
      <c r="DK24" s="42">
        <f t="shared" si="27"/>
        <v>0</v>
      </c>
      <c r="DL24" s="42">
        <f t="shared" si="27"/>
        <v>0</v>
      </c>
      <c r="DM24" s="42">
        <f t="shared" si="27"/>
        <v>0</v>
      </c>
      <c r="DN24" s="42">
        <f t="shared" si="27"/>
        <v>0</v>
      </c>
      <c r="DO24" s="42">
        <f t="shared" si="27"/>
        <v>0</v>
      </c>
      <c r="DP24" s="42">
        <f t="shared" si="27"/>
        <v>0</v>
      </c>
      <c r="DQ24" s="42">
        <f t="shared" si="27"/>
        <v>0</v>
      </c>
      <c r="DR24" s="42">
        <f t="shared" si="27"/>
        <v>0</v>
      </c>
      <c r="DS24" s="42">
        <f t="shared" si="27"/>
        <v>0</v>
      </c>
      <c r="DT24" s="42">
        <f t="shared" si="27"/>
        <v>0</v>
      </c>
      <c r="DU24" s="42">
        <f t="shared" si="27"/>
        <v>0</v>
      </c>
      <c r="DV24" s="42">
        <f t="shared" si="27"/>
        <v>0</v>
      </c>
      <c r="DW24" s="42">
        <f t="shared" si="27"/>
        <v>0</v>
      </c>
      <c r="DX24" s="42">
        <f t="shared" si="27"/>
        <v>0</v>
      </c>
      <c r="DY24" s="42">
        <f t="shared" si="27"/>
        <v>0</v>
      </c>
      <c r="DZ24" s="42">
        <f t="shared" si="27"/>
        <v>0</v>
      </c>
      <c r="EA24" s="42">
        <f t="shared" si="27"/>
        <v>0</v>
      </c>
      <c r="EB24" s="42">
        <f t="shared" si="27"/>
        <v>0</v>
      </c>
      <c r="EC24" s="42">
        <f t="shared" si="27"/>
        <v>0</v>
      </c>
      <c r="ED24" s="42">
        <f t="shared" si="27"/>
        <v>0</v>
      </c>
      <c r="EE24" s="42">
        <f t="shared" si="27"/>
        <v>0</v>
      </c>
      <c r="EF24" s="42">
        <f t="shared" si="27"/>
        <v>0</v>
      </c>
      <c r="EG24" s="42">
        <f t="shared" si="27"/>
        <v>0</v>
      </c>
      <c r="EH24" s="42">
        <f t="shared" si="27"/>
        <v>0</v>
      </c>
      <c r="EI24" s="42">
        <f t="shared" si="27"/>
        <v>0</v>
      </c>
      <c r="EJ24" s="42">
        <f t="shared" si="27"/>
        <v>0</v>
      </c>
      <c r="EK24" s="42">
        <f t="shared" si="27"/>
        <v>0</v>
      </c>
      <c r="EL24" s="42">
        <f t="shared" si="27"/>
        <v>0</v>
      </c>
      <c r="EM24" s="42">
        <f t="shared" si="27"/>
        <v>0</v>
      </c>
      <c r="EN24" s="42">
        <f t="shared" si="27"/>
        <v>0</v>
      </c>
      <c r="EO24" s="42">
        <f t="shared" si="27"/>
        <v>0</v>
      </c>
      <c r="EP24" s="42">
        <f t="shared" si="27"/>
        <v>0</v>
      </c>
      <c r="EQ24" s="42">
        <f t="shared" si="27"/>
        <v>0</v>
      </c>
      <c r="ER24" s="42">
        <f t="shared" si="27"/>
        <v>0</v>
      </c>
      <c r="ES24" s="42">
        <f t="shared" si="27"/>
        <v>0</v>
      </c>
      <c r="ET24" s="42">
        <f t="shared" si="24"/>
        <v>0</v>
      </c>
      <c r="EU24" s="42">
        <f t="shared" si="24"/>
        <v>0</v>
      </c>
      <c r="EV24" s="42">
        <f t="shared" si="24"/>
        <v>0</v>
      </c>
      <c r="EW24" s="42">
        <f t="shared" si="24"/>
        <v>0</v>
      </c>
      <c r="EX24" s="42">
        <f t="shared" si="24"/>
        <v>0</v>
      </c>
      <c r="EY24" s="42">
        <f t="shared" si="24"/>
        <v>0</v>
      </c>
      <c r="EZ24" s="42">
        <f t="shared" si="24"/>
        <v>0</v>
      </c>
      <c r="FA24" s="42">
        <f t="shared" si="24"/>
        <v>0</v>
      </c>
      <c r="FB24" s="42">
        <f t="shared" si="24"/>
        <v>0</v>
      </c>
      <c r="FC24" s="42">
        <f t="shared" si="24"/>
        <v>0</v>
      </c>
      <c r="FD24" s="42">
        <f t="shared" si="24"/>
        <v>0</v>
      </c>
      <c r="FE24" s="42">
        <f t="shared" si="24"/>
        <v>0</v>
      </c>
      <c r="FF24" s="42">
        <f t="shared" si="24"/>
        <v>0</v>
      </c>
      <c r="FG24" s="42">
        <f t="shared" si="24"/>
        <v>0</v>
      </c>
      <c r="FH24" s="42">
        <f t="shared" si="24"/>
        <v>0</v>
      </c>
      <c r="FI24" s="42">
        <f t="shared" si="24"/>
        <v>0</v>
      </c>
      <c r="FJ24" s="42">
        <f t="shared" si="24"/>
        <v>0</v>
      </c>
      <c r="FK24" s="42">
        <f t="shared" si="24"/>
        <v>0</v>
      </c>
      <c r="FL24" s="42">
        <f t="shared" si="24"/>
        <v>0</v>
      </c>
      <c r="FM24" s="42">
        <f t="shared" si="24"/>
        <v>0</v>
      </c>
      <c r="FN24" s="42">
        <f t="shared" si="24"/>
        <v>0</v>
      </c>
      <c r="FO24" s="42">
        <f t="shared" si="24"/>
        <v>0</v>
      </c>
      <c r="FP24" s="42">
        <f t="shared" si="24"/>
        <v>0</v>
      </c>
      <c r="FQ24" s="42">
        <f t="shared" si="24"/>
        <v>0</v>
      </c>
      <c r="FR24" s="42">
        <f t="shared" si="24"/>
        <v>0</v>
      </c>
      <c r="FS24" s="42">
        <f t="shared" si="24"/>
        <v>0</v>
      </c>
      <c r="FT24" s="42">
        <f t="shared" si="24"/>
        <v>0</v>
      </c>
      <c r="FU24" s="42">
        <f t="shared" si="24"/>
        <v>0</v>
      </c>
      <c r="FV24" s="42">
        <f t="shared" si="24"/>
        <v>0</v>
      </c>
      <c r="FW24" s="42">
        <f t="shared" si="24"/>
        <v>0</v>
      </c>
      <c r="FX24" s="42">
        <f t="shared" si="24"/>
        <v>0</v>
      </c>
      <c r="FY24" s="42">
        <f t="shared" si="24"/>
        <v>0</v>
      </c>
      <c r="FZ24" s="42">
        <f t="shared" si="24"/>
        <v>0</v>
      </c>
      <c r="GA24" s="42">
        <f t="shared" si="24"/>
        <v>0</v>
      </c>
      <c r="GB24" s="42">
        <f t="shared" si="24"/>
        <v>0</v>
      </c>
      <c r="GC24" s="42">
        <f t="shared" si="24"/>
        <v>0</v>
      </c>
      <c r="GD24" s="42">
        <f t="shared" si="24"/>
        <v>0</v>
      </c>
      <c r="GE24" s="42">
        <f t="shared" si="24"/>
        <v>0</v>
      </c>
      <c r="GF24" s="42">
        <f t="shared" si="24"/>
        <v>0</v>
      </c>
      <c r="GG24" s="42">
        <f t="shared" si="24"/>
        <v>0</v>
      </c>
      <c r="GH24" s="42">
        <f t="shared" si="24"/>
        <v>0</v>
      </c>
    </row>
    <row r="25" spans="2:190" ht="14.5" thickBot="1">
      <c r="B25" s="43" t="s">
        <v>230</v>
      </c>
      <c r="C25" s="31">
        <v>43261</v>
      </c>
      <c r="D25" s="31">
        <v>46914</v>
      </c>
      <c r="E25" s="32">
        <v>2.625</v>
      </c>
      <c r="F25" s="33" t="s">
        <v>18</v>
      </c>
      <c r="G25" s="34">
        <v>56.47</v>
      </c>
      <c r="H25" s="34">
        <v>1718</v>
      </c>
      <c r="I25" s="32">
        <v>4.0129999999999999</v>
      </c>
      <c r="J25" s="35">
        <v>9487.98</v>
      </c>
      <c r="K25" s="44" cm="1">
        <f t="array" ref="K25">_xlfn.LET(
    _xlpm.settle,$B$3,
    _xlpm.mat,$D25,
    _xlpm.coupon,10000*$E25/200,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77.459016393442624</v>
      </c>
      <c r="L25" s="37">
        <f t="shared" si="3"/>
        <v>9565.4390163934422</v>
      </c>
      <c r="M25" s="120">
        <v>0.83636215260999791</v>
      </c>
      <c r="N25" s="45">
        <f t="shared" si="4"/>
        <v>3.796458115328738E-2</v>
      </c>
      <c r="O25" s="99">
        <f t="shared" si="5"/>
        <v>9565.4369529861924</v>
      </c>
      <c r="P25" s="39">
        <f t="shared" si="6"/>
        <v>-2.0634072498069145E-3</v>
      </c>
      <c r="R25" s="41">
        <f t="shared" si="10"/>
        <v>56</v>
      </c>
      <c r="S25" s="42">
        <f t="shared" si="25"/>
        <v>131.25</v>
      </c>
      <c r="T25" s="42">
        <f t="shared" si="26"/>
        <v>0</v>
      </c>
      <c r="U25" s="42">
        <f t="shared" si="26"/>
        <v>131.25</v>
      </c>
      <c r="V25" s="42">
        <f t="shared" si="26"/>
        <v>0</v>
      </c>
      <c r="W25" s="42">
        <f t="shared" si="26"/>
        <v>131.25</v>
      </c>
      <c r="X25" s="42">
        <f t="shared" si="26"/>
        <v>0</v>
      </c>
      <c r="Y25" s="42">
        <f t="shared" si="26"/>
        <v>131.25</v>
      </c>
      <c r="Z25" s="42">
        <f t="shared" si="26"/>
        <v>0</v>
      </c>
      <c r="AA25" s="42">
        <f t="shared" si="26"/>
        <v>131.25</v>
      </c>
      <c r="AB25" s="42">
        <f t="shared" si="26"/>
        <v>0</v>
      </c>
      <c r="AC25" s="42">
        <f t="shared" si="26"/>
        <v>131.25</v>
      </c>
      <c r="AD25" s="42">
        <f t="shared" si="26"/>
        <v>0</v>
      </c>
      <c r="AE25" s="42">
        <f t="shared" si="26"/>
        <v>131.25</v>
      </c>
      <c r="AF25" s="42">
        <f t="shared" si="26"/>
        <v>0</v>
      </c>
      <c r="AG25" s="42">
        <f t="shared" si="26"/>
        <v>131.25</v>
      </c>
      <c r="AH25" s="42">
        <f t="shared" si="26"/>
        <v>0</v>
      </c>
      <c r="AI25" s="42">
        <f t="shared" si="26"/>
        <v>131.25</v>
      </c>
      <c r="AJ25" s="42">
        <f t="shared" si="26"/>
        <v>0</v>
      </c>
      <c r="AK25" s="42">
        <f t="shared" si="26"/>
        <v>10131.25</v>
      </c>
      <c r="AL25" s="42">
        <f t="shared" si="26"/>
        <v>0</v>
      </c>
      <c r="AM25" s="42">
        <f t="shared" si="26"/>
        <v>0</v>
      </c>
      <c r="AN25" s="42">
        <f t="shared" si="26"/>
        <v>0</v>
      </c>
      <c r="AO25" s="42">
        <f t="shared" si="26"/>
        <v>0</v>
      </c>
      <c r="AP25" s="42">
        <f t="shared" si="26"/>
        <v>0</v>
      </c>
      <c r="AQ25" s="42">
        <f t="shared" si="26"/>
        <v>0</v>
      </c>
      <c r="AR25" s="42">
        <f t="shared" si="26"/>
        <v>0</v>
      </c>
      <c r="AS25" s="42">
        <f t="shared" si="26"/>
        <v>0</v>
      </c>
      <c r="AT25" s="42">
        <f t="shared" si="26"/>
        <v>0</v>
      </c>
      <c r="AU25" s="42">
        <f t="shared" si="26"/>
        <v>0</v>
      </c>
      <c r="AV25" s="42">
        <f t="shared" si="26"/>
        <v>0</v>
      </c>
      <c r="AW25" s="42">
        <f t="shared" si="26"/>
        <v>0</v>
      </c>
      <c r="AX25" s="42">
        <f t="shared" si="26"/>
        <v>0</v>
      </c>
      <c r="AY25" s="42">
        <f t="shared" si="26"/>
        <v>0</v>
      </c>
      <c r="AZ25" s="42">
        <f t="shared" si="26"/>
        <v>0</v>
      </c>
      <c r="BA25" s="42">
        <f t="shared" si="26"/>
        <v>0</v>
      </c>
      <c r="BB25" s="42">
        <f t="shared" si="26"/>
        <v>0</v>
      </c>
      <c r="BC25" s="42">
        <f t="shared" si="26"/>
        <v>0</v>
      </c>
      <c r="BD25" s="42">
        <f t="shared" si="26"/>
        <v>0</v>
      </c>
      <c r="BE25" s="42">
        <f t="shared" si="26"/>
        <v>0</v>
      </c>
      <c r="BF25" s="42">
        <f t="shared" si="26"/>
        <v>0</v>
      </c>
      <c r="BG25" s="42">
        <f t="shared" si="26"/>
        <v>0</v>
      </c>
      <c r="BH25" s="42">
        <f t="shared" si="26"/>
        <v>0</v>
      </c>
      <c r="BI25" s="42">
        <f t="shared" si="26"/>
        <v>0</v>
      </c>
      <c r="BJ25" s="42">
        <f t="shared" si="26"/>
        <v>0</v>
      </c>
      <c r="BK25" s="42">
        <f t="shared" si="26"/>
        <v>0</v>
      </c>
      <c r="BL25" s="42">
        <f t="shared" si="26"/>
        <v>0</v>
      </c>
      <c r="BM25" s="42">
        <f t="shared" si="26"/>
        <v>0</v>
      </c>
      <c r="BN25" s="42">
        <f t="shared" si="26"/>
        <v>0</v>
      </c>
      <c r="BO25" s="42">
        <f t="shared" si="26"/>
        <v>0</v>
      </c>
      <c r="BP25" s="42">
        <f t="shared" si="26"/>
        <v>0</v>
      </c>
      <c r="BQ25" s="42">
        <f t="shared" si="26"/>
        <v>0</v>
      </c>
      <c r="BR25" s="42">
        <f t="shared" si="26"/>
        <v>0</v>
      </c>
      <c r="BS25" s="42">
        <f t="shared" si="26"/>
        <v>0</v>
      </c>
      <c r="BT25" s="42">
        <f t="shared" si="26"/>
        <v>0</v>
      </c>
      <c r="BU25" s="42">
        <f t="shared" si="26"/>
        <v>0</v>
      </c>
      <c r="BV25" s="42">
        <f t="shared" si="26"/>
        <v>0</v>
      </c>
      <c r="BW25" s="42">
        <f t="shared" si="26"/>
        <v>0</v>
      </c>
      <c r="BX25" s="42">
        <f t="shared" si="26"/>
        <v>0</v>
      </c>
      <c r="BY25" s="42">
        <f t="shared" si="26"/>
        <v>0</v>
      </c>
      <c r="BZ25" s="42">
        <f t="shared" si="26"/>
        <v>0</v>
      </c>
      <c r="CA25" s="42">
        <f t="shared" si="26"/>
        <v>0</v>
      </c>
      <c r="CB25" s="42">
        <f t="shared" si="26"/>
        <v>0</v>
      </c>
      <c r="CC25" s="42">
        <f t="shared" si="26"/>
        <v>0</v>
      </c>
      <c r="CD25" s="42">
        <f t="shared" si="26"/>
        <v>0</v>
      </c>
      <c r="CE25" s="42">
        <f t="shared" si="26"/>
        <v>0</v>
      </c>
      <c r="CF25" s="42">
        <f t="shared" ref="CF25:EQ40" si="28">IF(
    CF$6=$R25,
    10000+10000*$E25/200,
    IF(
        AND(CF$6&lt;$R25,MOD($R25-CF$6,6)=0),
        10000*$E25/200,
        0
    )
)</f>
        <v>0</v>
      </c>
      <c r="CG25" s="42">
        <f t="shared" si="28"/>
        <v>0</v>
      </c>
      <c r="CH25" s="42">
        <f t="shared" si="28"/>
        <v>0</v>
      </c>
      <c r="CI25" s="42">
        <f t="shared" si="28"/>
        <v>0</v>
      </c>
      <c r="CJ25" s="42">
        <f t="shared" si="28"/>
        <v>0</v>
      </c>
      <c r="CK25" s="42">
        <f t="shared" si="28"/>
        <v>0</v>
      </c>
      <c r="CL25" s="42">
        <f t="shared" si="28"/>
        <v>0</v>
      </c>
      <c r="CM25" s="42">
        <f t="shared" si="28"/>
        <v>0</v>
      </c>
      <c r="CN25" s="42">
        <f t="shared" si="28"/>
        <v>0</v>
      </c>
      <c r="CO25" s="42">
        <f t="shared" si="28"/>
        <v>0</v>
      </c>
      <c r="CP25" s="42">
        <f t="shared" si="28"/>
        <v>0</v>
      </c>
      <c r="CQ25" s="42">
        <f t="shared" si="28"/>
        <v>0</v>
      </c>
      <c r="CR25" s="42">
        <f t="shared" si="28"/>
        <v>0</v>
      </c>
      <c r="CS25" s="42">
        <f t="shared" si="28"/>
        <v>0</v>
      </c>
      <c r="CT25" s="42">
        <f t="shared" si="28"/>
        <v>0</v>
      </c>
      <c r="CU25" s="42">
        <f t="shared" si="28"/>
        <v>0</v>
      </c>
      <c r="CV25" s="42">
        <f t="shared" si="28"/>
        <v>0</v>
      </c>
      <c r="CW25" s="42">
        <f t="shared" si="28"/>
        <v>0</v>
      </c>
      <c r="CX25" s="42">
        <f t="shared" si="28"/>
        <v>0</v>
      </c>
      <c r="CY25" s="42">
        <f t="shared" si="28"/>
        <v>0</v>
      </c>
      <c r="CZ25" s="42">
        <f t="shared" si="28"/>
        <v>0</v>
      </c>
      <c r="DA25" s="42">
        <f t="shared" si="28"/>
        <v>0</v>
      </c>
      <c r="DB25" s="42">
        <f t="shared" si="28"/>
        <v>0</v>
      </c>
      <c r="DC25" s="42">
        <f t="shared" si="28"/>
        <v>0</v>
      </c>
      <c r="DD25" s="42">
        <f t="shared" si="28"/>
        <v>0</v>
      </c>
      <c r="DE25" s="42">
        <f t="shared" si="28"/>
        <v>0</v>
      </c>
      <c r="DF25" s="42">
        <f t="shared" si="28"/>
        <v>0</v>
      </c>
      <c r="DG25" s="42">
        <f t="shared" si="28"/>
        <v>0</v>
      </c>
      <c r="DH25" s="42">
        <f t="shared" si="28"/>
        <v>0</v>
      </c>
      <c r="DI25" s="42">
        <f t="shared" si="28"/>
        <v>0</v>
      </c>
      <c r="DJ25" s="42">
        <f t="shared" si="28"/>
        <v>0</v>
      </c>
      <c r="DK25" s="42">
        <f t="shared" si="28"/>
        <v>0</v>
      </c>
      <c r="DL25" s="42">
        <f t="shared" si="28"/>
        <v>0</v>
      </c>
      <c r="DM25" s="42">
        <f t="shared" si="28"/>
        <v>0</v>
      </c>
      <c r="DN25" s="42">
        <f t="shared" si="28"/>
        <v>0</v>
      </c>
      <c r="DO25" s="42">
        <f t="shared" si="28"/>
        <v>0</v>
      </c>
      <c r="DP25" s="42">
        <f t="shared" si="28"/>
        <v>0</v>
      </c>
      <c r="DQ25" s="42">
        <f t="shared" si="28"/>
        <v>0</v>
      </c>
      <c r="DR25" s="42">
        <f t="shared" si="28"/>
        <v>0</v>
      </c>
      <c r="DS25" s="42">
        <f t="shared" si="28"/>
        <v>0</v>
      </c>
      <c r="DT25" s="42">
        <f t="shared" si="28"/>
        <v>0</v>
      </c>
      <c r="DU25" s="42">
        <f t="shared" si="28"/>
        <v>0</v>
      </c>
      <c r="DV25" s="42">
        <f t="shared" si="28"/>
        <v>0</v>
      </c>
      <c r="DW25" s="42">
        <f t="shared" si="28"/>
        <v>0</v>
      </c>
      <c r="DX25" s="42">
        <f t="shared" si="28"/>
        <v>0</v>
      </c>
      <c r="DY25" s="42">
        <f t="shared" si="28"/>
        <v>0</v>
      </c>
      <c r="DZ25" s="42">
        <f t="shared" si="28"/>
        <v>0</v>
      </c>
      <c r="EA25" s="42">
        <f t="shared" si="28"/>
        <v>0</v>
      </c>
      <c r="EB25" s="42">
        <f t="shared" si="28"/>
        <v>0</v>
      </c>
      <c r="EC25" s="42">
        <f t="shared" si="28"/>
        <v>0</v>
      </c>
      <c r="ED25" s="42">
        <f t="shared" si="28"/>
        <v>0</v>
      </c>
      <c r="EE25" s="42">
        <f t="shared" si="28"/>
        <v>0</v>
      </c>
      <c r="EF25" s="42">
        <f t="shared" si="28"/>
        <v>0</v>
      </c>
      <c r="EG25" s="42">
        <f t="shared" si="28"/>
        <v>0</v>
      </c>
      <c r="EH25" s="42">
        <f t="shared" si="28"/>
        <v>0</v>
      </c>
      <c r="EI25" s="42">
        <f t="shared" si="28"/>
        <v>0</v>
      </c>
      <c r="EJ25" s="42">
        <f t="shared" si="28"/>
        <v>0</v>
      </c>
      <c r="EK25" s="42">
        <f t="shared" si="28"/>
        <v>0</v>
      </c>
      <c r="EL25" s="42">
        <f t="shared" si="28"/>
        <v>0</v>
      </c>
      <c r="EM25" s="42">
        <f t="shared" si="28"/>
        <v>0</v>
      </c>
      <c r="EN25" s="42">
        <f t="shared" si="28"/>
        <v>0</v>
      </c>
      <c r="EO25" s="42">
        <f t="shared" si="28"/>
        <v>0</v>
      </c>
      <c r="EP25" s="42">
        <f t="shared" si="28"/>
        <v>0</v>
      </c>
      <c r="EQ25" s="42">
        <f t="shared" si="28"/>
        <v>0</v>
      </c>
      <c r="ER25" s="42">
        <f t="shared" si="27"/>
        <v>0</v>
      </c>
      <c r="ES25" s="42">
        <f t="shared" si="27"/>
        <v>0</v>
      </c>
      <c r="ET25" s="42">
        <f t="shared" si="24"/>
        <v>0</v>
      </c>
      <c r="EU25" s="42">
        <f t="shared" si="24"/>
        <v>0</v>
      </c>
      <c r="EV25" s="42">
        <f t="shared" si="24"/>
        <v>0</v>
      </c>
      <c r="EW25" s="42">
        <f t="shared" si="24"/>
        <v>0</v>
      </c>
      <c r="EX25" s="42">
        <f t="shared" si="24"/>
        <v>0</v>
      </c>
      <c r="EY25" s="42">
        <f t="shared" si="24"/>
        <v>0</v>
      </c>
      <c r="EZ25" s="42">
        <f t="shared" si="24"/>
        <v>0</v>
      </c>
      <c r="FA25" s="42">
        <f t="shared" si="24"/>
        <v>0</v>
      </c>
      <c r="FB25" s="42">
        <f t="shared" si="24"/>
        <v>0</v>
      </c>
      <c r="FC25" s="42">
        <f t="shared" si="24"/>
        <v>0</v>
      </c>
      <c r="FD25" s="42">
        <f t="shared" si="24"/>
        <v>0</v>
      </c>
      <c r="FE25" s="42">
        <f t="shared" si="24"/>
        <v>0</v>
      </c>
      <c r="FF25" s="42">
        <f t="shared" si="24"/>
        <v>0</v>
      </c>
      <c r="FG25" s="42">
        <f t="shared" si="24"/>
        <v>0</v>
      </c>
      <c r="FH25" s="42">
        <f t="shared" si="24"/>
        <v>0</v>
      </c>
      <c r="FI25" s="42">
        <f t="shared" si="24"/>
        <v>0</v>
      </c>
      <c r="FJ25" s="42">
        <f t="shared" si="24"/>
        <v>0</v>
      </c>
      <c r="FK25" s="42">
        <f t="shared" si="24"/>
        <v>0</v>
      </c>
      <c r="FL25" s="42">
        <f t="shared" si="24"/>
        <v>0</v>
      </c>
      <c r="FM25" s="42">
        <f t="shared" si="24"/>
        <v>0</v>
      </c>
      <c r="FN25" s="42">
        <f t="shared" si="24"/>
        <v>0</v>
      </c>
      <c r="FO25" s="42">
        <f t="shared" si="24"/>
        <v>0</v>
      </c>
      <c r="FP25" s="42">
        <f t="shared" si="24"/>
        <v>0</v>
      </c>
      <c r="FQ25" s="42">
        <f t="shared" si="24"/>
        <v>0</v>
      </c>
      <c r="FR25" s="42">
        <f t="shared" si="24"/>
        <v>0</v>
      </c>
      <c r="FS25" s="42">
        <f t="shared" si="24"/>
        <v>0</v>
      </c>
      <c r="FT25" s="42">
        <f t="shared" si="24"/>
        <v>0</v>
      </c>
      <c r="FU25" s="42">
        <f t="shared" si="24"/>
        <v>0</v>
      </c>
      <c r="FV25" s="42">
        <f t="shared" si="24"/>
        <v>0</v>
      </c>
      <c r="FW25" s="42">
        <f t="shared" si="24"/>
        <v>0</v>
      </c>
      <c r="FX25" s="42">
        <f t="shared" si="24"/>
        <v>0</v>
      </c>
      <c r="FY25" s="42">
        <f t="shared" si="24"/>
        <v>0</v>
      </c>
      <c r="FZ25" s="42">
        <f t="shared" si="24"/>
        <v>0</v>
      </c>
      <c r="GA25" s="42">
        <f t="shared" si="24"/>
        <v>0</v>
      </c>
      <c r="GB25" s="42">
        <f t="shared" si="24"/>
        <v>0</v>
      </c>
      <c r="GC25" s="42">
        <f t="shared" si="24"/>
        <v>0</v>
      </c>
      <c r="GD25" s="42">
        <f t="shared" si="24"/>
        <v>0</v>
      </c>
      <c r="GE25" s="42">
        <f t="shared" si="24"/>
        <v>0</v>
      </c>
      <c r="GF25" s="42">
        <f t="shared" si="24"/>
        <v>0</v>
      </c>
      <c r="GG25" s="42">
        <f t="shared" si="24"/>
        <v>0</v>
      </c>
      <c r="GH25" s="42">
        <f t="shared" si="24"/>
        <v>0</v>
      </c>
    </row>
    <row r="26" spans="2:190" ht="14.5" thickBot="1">
      <c r="B26" s="43" t="s">
        <v>231</v>
      </c>
      <c r="C26" s="31">
        <v>45179</v>
      </c>
      <c r="D26" s="31">
        <v>47006</v>
      </c>
      <c r="E26" s="32">
        <v>3.5</v>
      </c>
      <c r="F26" s="33" t="s">
        <v>19</v>
      </c>
      <c r="G26" s="34">
        <v>59.47</v>
      </c>
      <c r="H26" s="34">
        <v>1810</v>
      </c>
      <c r="I26" s="32">
        <v>3.9550000000000001</v>
      </c>
      <c r="J26" s="35">
        <v>9812.9500000000007</v>
      </c>
      <c r="K26" s="44" cm="1">
        <f t="array" ref="K26">_xlfn.LET(
    _xlpm.settle,$B$3,
    _xlpm.mat,$D26,
    _xlpm.coupon,10000*$E26/200,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15.384615384615385</v>
      </c>
      <c r="L26" s="37">
        <f t="shared" si="3"/>
        <v>9828.334615384616</v>
      </c>
      <c r="M26" s="120">
        <v>0.82487483339668288</v>
      </c>
      <c r="N26" s="45">
        <f t="shared" si="4"/>
        <v>3.8823824175245755E-2</v>
      </c>
      <c r="O26" s="99">
        <f t="shared" si="5"/>
        <v>9828.3347590189569</v>
      </c>
      <c r="P26" s="39">
        <f t="shared" si="6"/>
        <v>1.4363434092956595E-4</v>
      </c>
      <c r="R26" s="41">
        <f t="shared" si="10"/>
        <v>59</v>
      </c>
      <c r="S26" s="42">
        <f t="shared" si="25"/>
        <v>0</v>
      </c>
      <c r="T26" s="42">
        <f t="shared" si="26"/>
        <v>175</v>
      </c>
      <c r="U26" s="42">
        <f t="shared" si="26"/>
        <v>0</v>
      </c>
      <c r="V26" s="42">
        <f t="shared" si="26"/>
        <v>175</v>
      </c>
      <c r="W26" s="42">
        <f t="shared" si="26"/>
        <v>0</v>
      </c>
      <c r="X26" s="42">
        <f t="shared" si="26"/>
        <v>175</v>
      </c>
      <c r="Y26" s="42">
        <f t="shared" si="26"/>
        <v>0</v>
      </c>
      <c r="Z26" s="42">
        <f t="shared" si="26"/>
        <v>175</v>
      </c>
      <c r="AA26" s="42">
        <f t="shared" si="26"/>
        <v>0</v>
      </c>
      <c r="AB26" s="42">
        <f t="shared" si="26"/>
        <v>175</v>
      </c>
      <c r="AC26" s="42">
        <f t="shared" si="26"/>
        <v>0</v>
      </c>
      <c r="AD26" s="42">
        <f t="shared" si="26"/>
        <v>175</v>
      </c>
      <c r="AE26" s="42">
        <f t="shared" si="26"/>
        <v>0</v>
      </c>
      <c r="AF26" s="42">
        <f t="shared" si="26"/>
        <v>175</v>
      </c>
      <c r="AG26" s="42">
        <f t="shared" si="26"/>
        <v>0</v>
      </c>
      <c r="AH26" s="42">
        <f t="shared" si="26"/>
        <v>175</v>
      </c>
      <c r="AI26" s="42">
        <f t="shared" si="26"/>
        <v>0</v>
      </c>
      <c r="AJ26" s="42">
        <f t="shared" si="26"/>
        <v>175</v>
      </c>
      <c r="AK26" s="42">
        <f t="shared" si="26"/>
        <v>0</v>
      </c>
      <c r="AL26" s="42">
        <f t="shared" si="26"/>
        <v>10175</v>
      </c>
      <c r="AM26" s="42">
        <f t="shared" si="26"/>
        <v>0</v>
      </c>
      <c r="AN26" s="42">
        <f t="shared" si="26"/>
        <v>0</v>
      </c>
      <c r="AO26" s="42">
        <f t="shared" si="26"/>
        <v>0</v>
      </c>
      <c r="AP26" s="42">
        <f t="shared" si="26"/>
        <v>0</v>
      </c>
      <c r="AQ26" s="42">
        <f t="shared" si="26"/>
        <v>0</v>
      </c>
      <c r="AR26" s="42">
        <f t="shared" si="26"/>
        <v>0</v>
      </c>
      <c r="AS26" s="42">
        <f t="shared" si="26"/>
        <v>0</v>
      </c>
      <c r="AT26" s="42">
        <f t="shared" si="26"/>
        <v>0</v>
      </c>
      <c r="AU26" s="42">
        <f t="shared" si="26"/>
        <v>0</v>
      </c>
      <c r="AV26" s="42">
        <f t="shared" si="26"/>
        <v>0</v>
      </c>
      <c r="AW26" s="42">
        <f t="shared" si="26"/>
        <v>0</v>
      </c>
      <c r="AX26" s="42">
        <f t="shared" si="26"/>
        <v>0</v>
      </c>
      <c r="AY26" s="42">
        <f t="shared" si="26"/>
        <v>0</v>
      </c>
      <c r="AZ26" s="42">
        <f t="shared" si="26"/>
        <v>0</v>
      </c>
      <c r="BA26" s="42">
        <f t="shared" si="26"/>
        <v>0</v>
      </c>
      <c r="BB26" s="42">
        <f t="shared" si="26"/>
        <v>0</v>
      </c>
      <c r="BC26" s="42">
        <f t="shared" si="26"/>
        <v>0</v>
      </c>
      <c r="BD26" s="42">
        <f t="shared" si="26"/>
        <v>0</v>
      </c>
      <c r="BE26" s="42">
        <f t="shared" si="26"/>
        <v>0</v>
      </c>
      <c r="BF26" s="42">
        <f t="shared" si="26"/>
        <v>0</v>
      </c>
      <c r="BG26" s="42">
        <f t="shared" si="26"/>
        <v>0</v>
      </c>
      <c r="BH26" s="42">
        <f t="shared" si="26"/>
        <v>0</v>
      </c>
      <c r="BI26" s="42">
        <f t="shared" si="26"/>
        <v>0</v>
      </c>
      <c r="BJ26" s="42">
        <f t="shared" si="26"/>
        <v>0</v>
      </c>
      <c r="BK26" s="42">
        <f t="shared" si="26"/>
        <v>0</v>
      </c>
      <c r="BL26" s="42">
        <f t="shared" si="26"/>
        <v>0</v>
      </c>
      <c r="BM26" s="42">
        <f t="shared" si="26"/>
        <v>0</v>
      </c>
      <c r="BN26" s="42">
        <f t="shared" si="26"/>
        <v>0</v>
      </c>
      <c r="BO26" s="42">
        <f t="shared" si="26"/>
        <v>0</v>
      </c>
      <c r="BP26" s="42">
        <f t="shared" si="26"/>
        <v>0</v>
      </c>
      <c r="BQ26" s="42">
        <f t="shared" si="26"/>
        <v>0</v>
      </c>
      <c r="BR26" s="42">
        <f t="shared" si="26"/>
        <v>0</v>
      </c>
      <c r="BS26" s="42">
        <f t="shared" si="26"/>
        <v>0</v>
      </c>
      <c r="BT26" s="42">
        <f t="shared" si="26"/>
        <v>0</v>
      </c>
      <c r="BU26" s="42">
        <f t="shared" si="26"/>
        <v>0</v>
      </c>
      <c r="BV26" s="42">
        <f t="shared" si="26"/>
        <v>0</v>
      </c>
      <c r="BW26" s="42">
        <f t="shared" si="26"/>
        <v>0</v>
      </c>
      <c r="BX26" s="42">
        <f t="shared" si="26"/>
        <v>0</v>
      </c>
      <c r="BY26" s="42">
        <f t="shared" si="26"/>
        <v>0</v>
      </c>
      <c r="BZ26" s="42">
        <f t="shared" si="26"/>
        <v>0</v>
      </c>
      <c r="CA26" s="42">
        <f t="shared" si="26"/>
        <v>0</v>
      </c>
      <c r="CB26" s="42">
        <f t="shared" si="26"/>
        <v>0</v>
      </c>
      <c r="CC26" s="42">
        <f t="shared" si="26"/>
        <v>0</v>
      </c>
      <c r="CD26" s="42">
        <f t="shared" si="26"/>
        <v>0</v>
      </c>
      <c r="CE26" s="42">
        <f t="shared" si="26"/>
        <v>0</v>
      </c>
      <c r="CF26" s="42">
        <f t="shared" si="28"/>
        <v>0</v>
      </c>
      <c r="CG26" s="42">
        <f t="shared" si="28"/>
        <v>0</v>
      </c>
      <c r="CH26" s="42">
        <f t="shared" si="28"/>
        <v>0</v>
      </c>
      <c r="CI26" s="42">
        <f t="shared" si="28"/>
        <v>0</v>
      </c>
      <c r="CJ26" s="42">
        <f t="shared" si="28"/>
        <v>0</v>
      </c>
      <c r="CK26" s="42">
        <f t="shared" si="28"/>
        <v>0</v>
      </c>
      <c r="CL26" s="42">
        <f t="shared" si="28"/>
        <v>0</v>
      </c>
      <c r="CM26" s="42">
        <f t="shared" si="28"/>
        <v>0</v>
      </c>
      <c r="CN26" s="42">
        <f t="shared" si="28"/>
        <v>0</v>
      </c>
      <c r="CO26" s="42">
        <f t="shared" si="28"/>
        <v>0</v>
      </c>
      <c r="CP26" s="42">
        <f t="shared" si="28"/>
        <v>0</v>
      </c>
      <c r="CQ26" s="42">
        <f t="shared" si="28"/>
        <v>0</v>
      </c>
      <c r="CR26" s="42">
        <f t="shared" si="28"/>
        <v>0</v>
      </c>
      <c r="CS26" s="42">
        <f t="shared" si="28"/>
        <v>0</v>
      </c>
      <c r="CT26" s="42">
        <f t="shared" si="28"/>
        <v>0</v>
      </c>
      <c r="CU26" s="42">
        <f t="shared" si="28"/>
        <v>0</v>
      </c>
      <c r="CV26" s="42">
        <f t="shared" si="28"/>
        <v>0</v>
      </c>
      <c r="CW26" s="42">
        <f t="shared" si="28"/>
        <v>0</v>
      </c>
      <c r="CX26" s="42">
        <f t="shared" si="28"/>
        <v>0</v>
      </c>
      <c r="CY26" s="42">
        <f t="shared" si="28"/>
        <v>0</v>
      </c>
      <c r="CZ26" s="42">
        <f t="shared" si="28"/>
        <v>0</v>
      </c>
      <c r="DA26" s="42">
        <f t="shared" si="28"/>
        <v>0</v>
      </c>
      <c r="DB26" s="42">
        <f t="shared" si="28"/>
        <v>0</v>
      </c>
      <c r="DC26" s="42">
        <f t="shared" si="28"/>
        <v>0</v>
      </c>
      <c r="DD26" s="42">
        <f t="shared" si="28"/>
        <v>0</v>
      </c>
      <c r="DE26" s="42">
        <f t="shared" si="28"/>
        <v>0</v>
      </c>
      <c r="DF26" s="42">
        <f t="shared" si="28"/>
        <v>0</v>
      </c>
      <c r="DG26" s="42">
        <f t="shared" si="28"/>
        <v>0</v>
      </c>
      <c r="DH26" s="42">
        <f t="shared" si="28"/>
        <v>0</v>
      </c>
      <c r="DI26" s="42">
        <f t="shared" si="28"/>
        <v>0</v>
      </c>
      <c r="DJ26" s="42">
        <f t="shared" si="28"/>
        <v>0</v>
      </c>
      <c r="DK26" s="42">
        <f t="shared" si="28"/>
        <v>0</v>
      </c>
      <c r="DL26" s="42">
        <f t="shared" si="28"/>
        <v>0</v>
      </c>
      <c r="DM26" s="42">
        <f t="shared" si="28"/>
        <v>0</v>
      </c>
      <c r="DN26" s="42">
        <f t="shared" si="28"/>
        <v>0</v>
      </c>
      <c r="DO26" s="42">
        <f t="shared" si="28"/>
        <v>0</v>
      </c>
      <c r="DP26" s="42">
        <f t="shared" si="28"/>
        <v>0</v>
      </c>
      <c r="DQ26" s="42">
        <f t="shared" si="28"/>
        <v>0</v>
      </c>
      <c r="DR26" s="42">
        <f t="shared" si="28"/>
        <v>0</v>
      </c>
      <c r="DS26" s="42">
        <f t="shared" si="28"/>
        <v>0</v>
      </c>
      <c r="DT26" s="42">
        <f t="shared" si="28"/>
        <v>0</v>
      </c>
      <c r="DU26" s="42">
        <f t="shared" si="28"/>
        <v>0</v>
      </c>
      <c r="DV26" s="42">
        <f t="shared" si="28"/>
        <v>0</v>
      </c>
      <c r="DW26" s="42">
        <f t="shared" si="28"/>
        <v>0</v>
      </c>
      <c r="DX26" s="42">
        <f t="shared" si="28"/>
        <v>0</v>
      </c>
      <c r="DY26" s="42">
        <f t="shared" si="28"/>
        <v>0</v>
      </c>
      <c r="DZ26" s="42">
        <f t="shared" si="28"/>
        <v>0</v>
      </c>
      <c r="EA26" s="42">
        <f t="shared" si="28"/>
        <v>0</v>
      </c>
      <c r="EB26" s="42">
        <f t="shared" si="28"/>
        <v>0</v>
      </c>
      <c r="EC26" s="42">
        <f t="shared" si="28"/>
        <v>0</v>
      </c>
      <c r="ED26" s="42">
        <f t="shared" si="28"/>
        <v>0</v>
      </c>
      <c r="EE26" s="42">
        <f t="shared" si="28"/>
        <v>0</v>
      </c>
      <c r="EF26" s="42">
        <f t="shared" si="28"/>
        <v>0</v>
      </c>
      <c r="EG26" s="42">
        <f t="shared" si="28"/>
        <v>0</v>
      </c>
      <c r="EH26" s="42">
        <f t="shared" si="28"/>
        <v>0</v>
      </c>
      <c r="EI26" s="42">
        <f t="shared" si="28"/>
        <v>0</v>
      </c>
      <c r="EJ26" s="42">
        <f t="shared" si="28"/>
        <v>0</v>
      </c>
      <c r="EK26" s="42">
        <f t="shared" si="28"/>
        <v>0</v>
      </c>
      <c r="EL26" s="42">
        <f t="shared" si="28"/>
        <v>0</v>
      </c>
      <c r="EM26" s="42">
        <f t="shared" si="28"/>
        <v>0</v>
      </c>
      <c r="EN26" s="42">
        <f t="shared" si="28"/>
        <v>0</v>
      </c>
      <c r="EO26" s="42">
        <f t="shared" si="28"/>
        <v>0</v>
      </c>
      <c r="EP26" s="42">
        <f t="shared" si="28"/>
        <v>0</v>
      </c>
      <c r="EQ26" s="42">
        <f t="shared" si="28"/>
        <v>0</v>
      </c>
      <c r="ER26" s="42">
        <f t="shared" si="27"/>
        <v>0</v>
      </c>
      <c r="ES26" s="42">
        <f t="shared" si="27"/>
        <v>0</v>
      </c>
      <c r="ET26" s="42">
        <f t="shared" si="24"/>
        <v>0</v>
      </c>
      <c r="EU26" s="42">
        <f t="shared" si="24"/>
        <v>0</v>
      </c>
      <c r="EV26" s="42">
        <f t="shared" si="24"/>
        <v>0</v>
      </c>
      <c r="EW26" s="42">
        <f t="shared" si="24"/>
        <v>0</v>
      </c>
      <c r="EX26" s="42">
        <f t="shared" si="24"/>
        <v>0</v>
      </c>
      <c r="EY26" s="42">
        <f t="shared" si="24"/>
        <v>0</v>
      </c>
      <c r="EZ26" s="42">
        <f t="shared" si="24"/>
        <v>0</v>
      </c>
      <c r="FA26" s="42">
        <f t="shared" si="24"/>
        <v>0</v>
      </c>
      <c r="FB26" s="42">
        <f t="shared" si="24"/>
        <v>0</v>
      </c>
      <c r="FC26" s="42">
        <f t="shared" si="24"/>
        <v>0</v>
      </c>
      <c r="FD26" s="42">
        <f t="shared" si="24"/>
        <v>0</v>
      </c>
      <c r="FE26" s="42">
        <f t="shared" si="24"/>
        <v>0</v>
      </c>
      <c r="FF26" s="42">
        <f t="shared" si="24"/>
        <v>0</v>
      </c>
      <c r="FG26" s="42">
        <f t="shared" si="24"/>
        <v>0</v>
      </c>
      <c r="FH26" s="42">
        <f t="shared" si="24"/>
        <v>0</v>
      </c>
      <c r="FI26" s="42">
        <f t="shared" si="24"/>
        <v>0</v>
      </c>
      <c r="FJ26" s="42">
        <f t="shared" si="24"/>
        <v>0</v>
      </c>
      <c r="FK26" s="42">
        <f t="shared" si="24"/>
        <v>0</v>
      </c>
      <c r="FL26" s="42">
        <f t="shared" si="24"/>
        <v>0</v>
      </c>
      <c r="FM26" s="42">
        <f t="shared" si="24"/>
        <v>0</v>
      </c>
      <c r="FN26" s="42">
        <f t="shared" si="24"/>
        <v>0</v>
      </c>
      <c r="FO26" s="42">
        <f t="shared" si="24"/>
        <v>0</v>
      </c>
      <c r="FP26" s="42">
        <f t="shared" si="24"/>
        <v>0</v>
      </c>
      <c r="FQ26" s="42">
        <f t="shared" si="24"/>
        <v>0</v>
      </c>
      <c r="FR26" s="42">
        <f t="shared" si="24"/>
        <v>0</v>
      </c>
      <c r="FS26" s="42">
        <f t="shared" si="24"/>
        <v>0</v>
      </c>
      <c r="FT26" s="42">
        <f t="shared" si="24"/>
        <v>0</v>
      </c>
      <c r="FU26" s="42">
        <f t="shared" si="24"/>
        <v>0</v>
      </c>
      <c r="FV26" s="42">
        <f t="shared" si="24"/>
        <v>0</v>
      </c>
      <c r="FW26" s="42">
        <f t="shared" si="24"/>
        <v>0</v>
      </c>
      <c r="FX26" s="42">
        <f t="shared" si="24"/>
        <v>0</v>
      </c>
      <c r="FY26" s="42">
        <f t="shared" si="24"/>
        <v>0</v>
      </c>
      <c r="FZ26" s="42">
        <f t="shared" si="24"/>
        <v>0</v>
      </c>
      <c r="GA26" s="42">
        <f t="shared" si="24"/>
        <v>0</v>
      </c>
      <c r="GB26" s="42">
        <f t="shared" si="24"/>
        <v>0</v>
      </c>
      <c r="GC26" s="42">
        <f t="shared" si="24"/>
        <v>0</v>
      </c>
      <c r="GD26" s="42">
        <f t="shared" si="24"/>
        <v>0</v>
      </c>
      <c r="GE26" s="42">
        <f t="shared" si="24"/>
        <v>0</v>
      </c>
      <c r="GF26" s="42">
        <f t="shared" si="24"/>
        <v>0</v>
      </c>
      <c r="GG26" s="42">
        <f t="shared" si="24"/>
        <v>0</v>
      </c>
      <c r="GH26" s="42">
        <f t="shared" si="24"/>
        <v>0</v>
      </c>
    </row>
    <row r="27" spans="2:190" ht="14.5" thickBot="1">
      <c r="B27" s="43" t="s">
        <v>232</v>
      </c>
      <c r="C27" s="31">
        <v>43444</v>
      </c>
      <c r="D27" s="31">
        <v>47097</v>
      </c>
      <c r="E27" s="32">
        <v>2.375</v>
      </c>
      <c r="F27" s="33" t="s">
        <v>20</v>
      </c>
      <c r="G27" s="34">
        <v>62.47</v>
      </c>
      <c r="H27" s="34">
        <v>1902</v>
      </c>
      <c r="I27" s="32">
        <v>4.016</v>
      </c>
      <c r="J27" s="35">
        <v>9306.24</v>
      </c>
      <c r="K27" s="44" cm="1">
        <f t="array" ref="K27">_xlfn.LET(
    _xlpm.settle,$B$3,
    _xlpm.mat,$D27,
    _xlpm.coupon,10000*$E27/200,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70.081967213114751</v>
      </c>
      <c r="L27" s="37">
        <f t="shared" si="3"/>
        <v>9376.3219672131145</v>
      </c>
      <c r="M27" s="120">
        <v>0.81916870789903018</v>
      </c>
      <c r="N27" s="45">
        <f t="shared" si="4"/>
        <v>3.8278026647764307E-2</v>
      </c>
      <c r="O27" s="99">
        <f t="shared" si="5"/>
        <v>9376.3201778551229</v>
      </c>
      <c r="P27" s="39">
        <f t="shared" si="6"/>
        <v>-1.7893579915835289E-3</v>
      </c>
      <c r="R27" s="41">
        <f t="shared" si="10"/>
        <v>62</v>
      </c>
      <c r="S27" s="42">
        <f t="shared" si="25"/>
        <v>118.75</v>
      </c>
      <c r="T27" s="42">
        <f t="shared" si="26"/>
        <v>0</v>
      </c>
      <c r="U27" s="42">
        <f t="shared" si="26"/>
        <v>118.75</v>
      </c>
      <c r="V27" s="42">
        <f t="shared" si="26"/>
        <v>0</v>
      </c>
      <c r="W27" s="42">
        <f t="shared" si="26"/>
        <v>118.75</v>
      </c>
      <c r="X27" s="42">
        <f t="shared" si="26"/>
        <v>0</v>
      </c>
      <c r="Y27" s="42">
        <f t="shared" si="26"/>
        <v>118.75</v>
      </c>
      <c r="Z27" s="42">
        <f t="shared" si="26"/>
        <v>0</v>
      </c>
      <c r="AA27" s="42">
        <f t="shared" si="26"/>
        <v>118.75</v>
      </c>
      <c r="AB27" s="42">
        <f t="shared" si="26"/>
        <v>0</v>
      </c>
      <c r="AC27" s="42">
        <f t="shared" si="26"/>
        <v>118.75</v>
      </c>
      <c r="AD27" s="42">
        <f t="shared" si="26"/>
        <v>0</v>
      </c>
      <c r="AE27" s="42">
        <f t="shared" si="26"/>
        <v>118.75</v>
      </c>
      <c r="AF27" s="42">
        <f t="shared" si="26"/>
        <v>0</v>
      </c>
      <c r="AG27" s="42">
        <f t="shared" si="26"/>
        <v>118.75</v>
      </c>
      <c r="AH27" s="42">
        <f t="shared" si="26"/>
        <v>0</v>
      </c>
      <c r="AI27" s="42">
        <f t="shared" si="26"/>
        <v>118.75</v>
      </c>
      <c r="AJ27" s="42">
        <f t="shared" si="26"/>
        <v>0</v>
      </c>
      <c r="AK27" s="42">
        <f t="shared" si="26"/>
        <v>118.75</v>
      </c>
      <c r="AL27" s="42">
        <f t="shared" si="26"/>
        <v>0</v>
      </c>
      <c r="AM27" s="42">
        <f t="shared" si="26"/>
        <v>10118.75</v>
      </c>
      <c r="AN27" s="42">
        <f t="shared" si="26"/>
        <v>0</v>
      </c>
      <c r="AO27" s="42">
        <f t="shared" si="26"/>
        <v>0</v>
      </c>
      <c r="AP27" s="42">
        <f t="shared" si="26"/>
        <v>0</v>
      </c>
      <c r="AQ27" s="42">
        <f t="shared" si="26"/>
        <v>0</v>
      </c>
      <c r="AR27" s="42">
        <f t="shared" si="26"/>
        <v>0</v>
      </c>
      <c r="AS27" s="42">
        <f t="shared" si="26"/>
        <v>0</v>
      </c>
      <c r="AT27" s="42">
        <f t="shared" si="26"/>
        <v>0</v>
      </c>
      <c r="AU27" s="42">
        <f t="shared" si="26"/>
        <v>0</v>
      </c>
      <c r="AV27" s="42">
        <f t="shared" si="26"/>
        <v>0</v>
      </c>
      <c r="AW27" s="42">
        <f t="shared" si="26"/>
        <v>0</v>
      </c>
      <c r="AX27" s="42">
        <f t="shared" si="26"/>
        <v>0</v>
      </c>
      <c r="AY27" s="42">
        <f t="shared" si="26"/>
        <v>0</v>
      </c>
      <c r="AZ27" s="42">
        <f t="shared" si="26"/>
        <v>0</v>
      </c>
      <c r="BA27" s="42">
        <f t="shared" si="26"/>
        <v>0</v>
      </c>
      <c r="BB27" s="42">
        <f t="shared" si="26"/>
        <v>0</v>
      </c>
      <c r="BC27" s="42">
        <f t="shared" si="26"/>
        <v>0</v>
      </c>
      <c r="BD27" s="42">
        <f t="shared" si="26"/>
        <v>0</v>
      </c>
      <c r="BE27" s="42">
        <f t="shared" si="26"/>
        <v>0</v>
      </c>
      <c r="BF27" s="42">
        <f t="shared" si="26"/>
        <v>0</v>
      </c>
      <c r="BG27" s="42">
        <f t="shared" si="26"/>
        <v>0</v>
      </c>
      <c r="BH27" s="42">
        <f t="shared" si="26"/>
        <v>0</v>
      </c>
      <c r="BI27" s="42">
        <f t="shared" si="26"/>
        <v>0</v>
      </c>
      <c r="BJ27" s="42">
        <f t="shared" si="26"/>
        <v>0</v>
      </c>
      <c r="BK27" s="42">
        <f t="shared" si="26"/>
        <v>0</v>
      </c>
      <c r="BL27" s="42">
        <f t="shared" si="26"/>
        <v>0</v>
      </c>
      <c r="BM27" s="42">
        <f t="shared" si="26"/>
        <v>0</v>
      </c>
      <c r="BN27" s="42">
        <f t="shared" si="26"/>
        <v>0</v>
      </c>
      <c r="BO27" s="42">
        <f t="shared" si="26"/>
        <v>0</v>
      </c>
      <c r="BP27" s="42">
        <f t="shared" si="26"/>
        <v>0</v>
      </c>
      <c r="BQ27" s="42">
        <f t="shared" si="26"/>
        <v>0</v>
      </c>
      <c r="BR27" s="42">
        <f t="shared" si="26"/>
        <v>0</v>
      </c>
      <c r="BS27" s="42">
        <f t="shared" si="26"/>
        <v>0</v>
      </c>
      <c r="BT27" s="42">
        <f t="shared" si="26"/>
        <v>0</v>
      </c>
      <c r="BU27" s="42">
        <f t="shared" si="26"/>
        <v>0</v>
      </c>
      <c r="BV27" s="42">
        <f t="shared" si="26"/>
        <v>0</v>
      </c>
      <c r="BW27" s="42">
        <f t="shared" si="26"/>
        <v>0</v>
      </c>
      <c r="BX27" s="42">
        <f t="shared" si="26"/>
        <v>0</v>
      </c>
      <c r="BY27" s="42">
        <f t="shared" si="26"/>
        <v>0</v>
      </c>
      <c r="BZ27" s="42">
        <f t="shared" si="26"/>
        <v>0</v>
      </c>
      <c r="CA27" s="42">
        <f t="shared" si="26"/>
        <v>0</v>
      </c>
      <c r="CB27" s="42">
        <f t="shared" si="26"/>
        <v>0</v>
      </c>
      <c r="CC27" s="42">
        <f t="shared" si="26"/>
        <v>0</v>
      </c>
      <c r="CD27" s="42">
        <f t="shared" si="26"/>
        <v>0</v>
      </c>
      <c r="CE27" s="42">
        <f t="shared" ref="CE27:EP30" si="29">IF(
    CE$6=$R27,
    10000+10000*$E27/200,
    IF(
        AND(CE$6&lt;$R27,MOD($R27-CE$6,6)=0),
        10000*$E27/200,
        0
    )
)</f>
        <v>0</v>
      </c>
      <c r="CF27" s="42">
        <f t="shared" si="29"/>
        <v>0</v>
      </c>
      <c r="CG27" s="42">
        <f t="shared" si="29"/>
        <v>0</v>
      </c>
      <c r="CH27" s="42">
        <f t="shared" si="29"/>
        <v>0</v>
      </c>
      <c r="CI27" s="42">
        <f t="shared" si="29"/>
        <v>0</v>
      </c>
      <c r="CJ27" s="42">
        <f t="shared" si="29"/>
        <v>0</v>
      </c>
      <c r="CK27" s="42">
        <f t="shared" si="29"/>
        <v>0</v>
      </c>
      <c r="CL27" s="42">
        <f t="shared" si="29"/>
        <v>0</v>
      </c>
      <c r="CM27" s="42">
        <f t="shared" si="29"/>
        <v>0</v>
      </c>
      <c r="CN27" s="42">
        <f t="shared" si="29"/>
        <v>0</v>
      </c>
      <c r="CO27" s="42">
        <f t="shared" si="29"/>
        <v>0</v>
      </c>
      <c r="CP27" s="42">
        <f t="shared" si="29"/>
        <v>0</v>
      </c>
      <c r="CQ27" s="42">
        <f t="shared" si="29"/>
        <v>0</v>
      </c>
      <c r="CR27" s="42">
        <f t="shared" si="29"/>
        <v>0</v>
      </c>
      <c r="CS27" s="42">
        <f t="shared" si="29"/>
        <v>0</v>
      </c>
      <c r="CT27" s="42">
        <f t="shared" si="29"/>
        <v>0</v>
      </c>
      <c r="CU27" s="42">
        <f t="shared" si="29"/>
        <v>0</v>
      </c>
      <c r="CV27" s="42">
        <f t="shared" si="29"/>
        <v>0</v>
      </c>
      <c r="CW27" s="42">
        <f t="shared" si="29"/>
        <v>0</v>
      </c>
      <c r="CX27" s="42">
        <f t="shared" si="29"/>
        <v>0</v>
      </c>
      <c r="CY27" s="42">
        <f t="shared" si="29"/>
        <v>0</v>
      </c>
      <c r="CZ27" s="42">
        <f t="shared" si="29"/>
        <v>0</v>
      </c>
      <c r="DA27" s="42">
        <f t="shared" si="29"/>
        <v>0</v>
      </c>
      <c r="DB27" s="42">
        <f t="shared" si="29"/>
        <v>0</v>
      </c>
      <c r="DC27" s="42">
        <f t="shared" si="29"/>
        <v>0</v>
      </c>
      <c r="DD27" s="42">
        <f t="shared" si="29"/>
        <v>0</v>
      </c>
      <c r="DE27" s="42">
        <f t="shared" si="29"/>
        <v>0</v>
      </c>
      <c r="DF27" s="42">
        <f t="shared" si="29"/>
        <v>0</v>
      </c>
      <c r="DG27" s="42">
        <f t="shared" si="29"/>
        <v>0</v>
      </c>
      <c r="DH27" s="42">
        <f t="shared" si="29"/>
        <v>0</v>
      </c>
      <c r="DI27" s="42">
        <f t="shared" si="29"/>
        <v>0</v>
      </c>
      <c r="DJ27" s="42">
        <f t="shared" si="29"/>
        <v>0</v>
      </c>
      <c r="DK27" s="42">
        <f t="shared" si="29"/>
        <v>0</v>
      </c>
      <c r="DL27" s="42">
        <f t="shared" si="29"/>
        <v>0</v>
      </c>
      <c r="DM27" s="42">
        <f t="shared" si="29"/>
        <v>0</v>
      </c>
      <c r="DN27" s="42">
        <f t="shared" si="29"/>
        <v>0</v>
      </c>
      <c r="DO27" s="42">
        <f t="shared" si="29"/>
        <v>0</v>
      </c>
      <c r="DP27" s="42">
        <f t="shared" si="29"/>
        <v>0</v>
      </c>
      <c r="DQ27" s="42">
        <f t="shared" si="29"/>
        <v>0</v>
      </c>
      <c r="DR27" s="42">
        <f t="shared" si="29"/>
        <v>0</v>
      </c>
      <c r="DS27" s="42">
        <f t="shared" si="29"/>
        <v>0</v>
      </c>
      <c r="DT27" s="42">
        <f t="shared" si="29"/>
        <v>0</v>
      </c>
      <c r="DU27" s="42">
        <f t="shared" si="29"/>
        <v>0</v>
      </c>
      <c r="DV27" s="42">
        <f t="shared" si="29"/>
        <v>0</v>
      </c>
      <c r="DW27" s="42">
        <f t="shared" si="29"/>
        <v>0</v>
      </c>
      <c r="DX27" s="42">
        <f t="shared" si="29"/>
        <v>0</v>
      </c>
      <c r="DY27" s="42">
        <f t="shared" si="29"/>
        <v>0</v>
      </c>
      <c r="DZ27" s="42">
        <f t="shared" si="29"/>
        <v>0</v>
      </c>
      <c r="EA27" s="42">
        <f t="shared" si="29"/>
        <v>0</v>
      </c>
      <c r="EB27" s="42">
        <f t="shared" si="29"/>
        <v>0</v>
      </c>
      <c r="EC27" s="42">
        <f t="shared" si="29"/>
        <v>0</v>
      </c>
      <c r="ED27" s="42">
        <f t="shared" si="29"/>
        <v>0</v>
      </c>
      <c r="EE27" s="42">
        <f t="shared" si="29"/>
        <v>0</v>
      </c>
      <c r="EF27" s="42">
        <f t="shared" si="29"/>
        <v>0</v>
      </c>
      <c r="EG27" s="42">
        <f t="shared" si="29"/>
        <v>0</v>
      </c>
      <c r="EH27" s="42">
        <f t="shared" si="29"/>
        <v>0</v>
      </c>
      <c r="EI27" s="42">
        <f t="shared" si="29"/>
        <v>0</v>
      </c>
      <c r="EJ27" s="42">
        <f t="shared" si="29"/>
        <v>0</v>
      </c>
      <c r="EK27" s="42">
        <f t="shared" si="29"/>
        <v>0</v>
      </c>
      <c r="EL27" s="42">
        <f t="shared" si="29"/>
        <v>0</v>
      </c>
      <c r="EM27" s="42">
        <f t="shared" si="29"/>
        <v>0</v>
      </c>
      <c r="EN27" s="42">
        <f t="shared" si="29"/>
        <v>0</v>
      </c>
      <c r="EO27" s="42">
        <f t="shared" si="29"/>
        <v>0</v>
      </c>
      <c r="EP27" s="42">
        <f t="shared" si="29"/>
        <v>0</v>
      </c>
      <c r="EQ27" s="42">
        <f t="shared" si="28"/>
        <v>0</v>
      </c>
      <c r="ER27" s="42">
        <f t="shared" si="27"/>
        <v>0</v>
      </c>
      <c r="ES27" s="42">
        <f t="shared" si="27"/>
        <v>0</v>
      </c>
      <c r="ET27" s="42">
        <f t="shared" si="24"/>
        <v>0</v>
      </c>
      <c r="EU27" s="42">
        <f t="shared" si="24"/>
        <v>0</v>
      </c>
      <c r="EV27" s="42">
        <f t="shared" si="24"/>
        <v>0</v>
      </c>
      <c r="EW27" s="42">
        <f t="shared" si="24"/>
        <v>0</v>
      </c>
      <c r="EX27" s="42">
        <f t="shared" si="24"/>
        <v>0</v>
      </c>
      <c r="EY27" s="42">
        <f t="shared" si="24"/>
        <v>0</v>
      </c>
      <c r="EZ27" s="42">
        <f t="shared" si="24"/>
        <v>0</v>
      </c>
      <c r="FA27" s="42">
        <f t="shared" si="24"/>
        <v>0</v>
      </c>
      <c r="FB27" s="42">
        <f t="shared" si="24"/>
        <v>0</v>
      </c>
      <c r="FC27" s="42">
        <f t="shared" si="24"/>
        <v>0</v>
      </c>
      <c r="FD27" s="42">
        <f t="shared" si="24"/>
        <v>0</v>
      </c>
      <c r="FE27" s="42">
        <f t="shared" si="24"/>
        <v>0</v>
      </c>
      <c r="FF27" s="42">
        <f t="shared" si="24"/>
        <v>0</v>
      </c>
      <c r="FG27" s="42">
        <f t="shared" si="24"/>
        <v>0</v>
      </c>
      <c r="FH27" s="42">
        <f t="shared" si="24"/>
        <v>0</v>
      </c>
      <c r="FI27" s="42">
        <f t="shared" si="24"/>
        <v>0</v>
      </c>
      <c r="FJ27" s="42">
        <f t="shared" si="24"/>
        <v>0</v>
      </c>
      <c r="FK27" s="42">
        <f t="shared" si="24"/>
        <v>0</v>
      </c>
      <c r="FL27" s="42">
        <f t="shared" si="24"/>
        <v>0</v>
      </c>
      <c r="FM27" s="42">
        <f t="shared" si="24"/>
        <v>0</v>
      </c>
      <c r="FN27" s="42">
        <f t="shared" si="24"/>
        <v>0</v>
      </c>
      <c r="FO27" s="42">
        <f t="shared" si="24"/>
        <v>0</v>
      </c>
      <c r="FP27" s="42">
        <f t="shared" si="24"/>
        <v>0</v>
      </c>
      <c r="FQ27" s="42">
        <f t="shared" si="24"/>
        <v>0</v>
      </c>
      <c r="FR27" s="42">
        <f t="shared" si="24"/>
        <v>0</v>
      </c>
      <c r="FS27" s="42">
        <f t="shared" si="24"/>
        <v>0</v>
      </c>
      <c r="FT27" s="42">
        <f t="shared" si="24"/>
        <v>0</v>
      </c>
      <c r="FU27" s="42">
        <f t="shared" si="24"/>
        <v>0</v>
      </c>
      <c r="FV27" s="42">
        <f t="shared" si="24"/>
        <v>0</v>
      </c>
      <c r="FW27" s="42">
        <f t="shared" si="24"/>
        <v>0</v>
      </c>
      <c r="FX27" s="42">
        <f t="shared" si="24"/>
        <v>0</v>
      </c>
      <c r="FY27" s="42">
        <f t="shared" si="24"/>
        <v>0</v>
      </c>
      <c r="FZ27" s="42">
        <f t="shared" si="24"/>
        <v>0</v>
      </c>
      <c r="GA27" s="42">
        <f t="shared" si="24"/>
        <v>0</v>
      </c>
      <c r="GB27" s="42">
        <f t="shared" si="24"/>
        <v>0</v>
      </c>
      <c r="GC27" s="42">
        <f t="shared" si="24"/>
        <v>0</v>
      </c>
      <c r="GD27" s="42">
        <f t="shared" si="24"/>
        <v>0</v>
      </c>
      <c r="GE27" s="42">
        <f t="shared" si="24"/>
        <v>0</v>
      </c>
      <c r="GF27" s="42">
        <f t="shared" si="24"/>
        <v>0</v>
      </c>
      <c r="GG27" s="42">
        <f t="shared" si="24"/>
        <v>0</v>
      </c>
      <c r="GH27" s="42">
        <f t="shared" si="24"/>
        <v>0</v>
      </c>
    </row>
    <row r="28" spans="2:190" ht="14.5" thickBot="1">
      <c r="B28" s="43" t="s">
        <v>233</v>
      </c>
      <c r="C28" s="31">
        <v>43626</v>
      </c>
      <c r="D28" s="31">
        <v>47279</v>
      </c>
      <c r="E28" s="32">
        <v>1.875</v>
      </c>
      <c r="F28" s="33" t="s">
        <v>21</v>
      </c>
      <c r="G28" s="34">
        <v>68.47</v>
      </c>
      <c r="H28" s="34">
        <v>2083</v>
      </c>
      <c r="I28" s="32">
        <v>4.0209999999999999</v>
      </c>
      <c r="J28" s="35">
        <v>8971.2999999999993</v>
      </c>
      <c r="K28" s="44" cm="1">
        <f t="array" ref="K28">_xlfn.LET(
    _xlpm.settle,$B$3,
    _xlpm.mat,$D28,
    _xlpm.coupon,10000*$E28/200,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55.327868852459019</v>
      </c>
      <c r="L28" s="37">
        <f t="shared" si="3"/>
        <v>9026.6278688524581</v>
      </c>
      <c r="M28" s="120">
        <v>0.801623774633067</v>
      </c>
      <c r="N28" s="45">
        <f t="shared" si="4"/>
        <v>3.8745703261189847E-2</v>
      </c>
      <c r="O28" s="99">
        <f t="shared" si="5"/>
        <v>9026.6266322010633</v>
      </c>
      <c r="P28" s="39">
        <f t="shared" si="6"/>
        <v>-1.2366513947199564E-3</v>
      </c>
      <c r="R28" s="41">
        <f t="shared" si="10"/>
        <v>68</v>
      </c>
      <c r="S28" s="42">
        <f t="shared" si="25"/>
        <v>93.75</v>
      </c>
      <c r="T28" s="42">
        <f t="shared" ref="T28:CE31" si="30">IF(
    T$6=$R28,
    10000+10000*$E28/200,
    IF(
        AND(T$6&lt;$R28,MOD($R28-T$6,6)=0),
        10000*$E28/200,
        0
    )
)</f>
        <v>0</v>
      </c>
      <c r="U28" s="42">
        <f t="shared" si="30"/>
        <v>93.75</v>
      </c>
      <c r="V28" s="42">
        <f t="shared" si="30"/>
        <v>0</v>
      </c>
      <c r="W28" s="42">
        <f t="shared" si="30"/>
        <v>93.75</v>
      </c>
      <c r="X28" s="42">
        <f t="shared" si="30"/>
        <v>0</v>
      </c>
      <c r="Y28" s="42">
        <f t="shared" si="30"/>
        <v>93.75</v>
      </c>
      <c r="Z28" s="42">
        <f t="shared" si="30"/>
        <v>0</v>
      </c>
      <c r="AA28" s="42">
        <f t="shared" si="30"/>
        <v>93.75</v>
      </c>
      <c r="AB28" s="42">
        <f t="shared" si="30"/>
        <v>0</v>
      </c>
      <c r="AC28" s="42">
        <f t="shared" si="30"/>
        <v>93.75</v>
      </c>
      <c r="AD28" s="42">
        <f t="shared" si="30"/>
        <v>0</v>
      </c>
      <c r="AE28" s="42">
        <f t="shared" si="30"/>
        <v>93.75</v>
      </c>
      <c r="AF28" s="42">
        <f t="shared" si="30"/>
        <v>0</v>
      </c>
      <c r="AG28" s="42">
        <f t="shared" si="30"/>
        <v>93.75</v>
      </c>
      <c r="AH28" s="42">
        <f t="shared" si="30"/>
        <v>0</v>
      </c>
      <c r="AI28" s="42">
        <f t="shared" si="30"/>
        <v>93.75</v>
      </c>
      <c r="AJ28" s="42">
        <f t="shared" si="30"/>
        <v>0</v>
      </c>
      <c r="AK28" s="42">
        <f t="shared" si="30"/>
        <v>93.75</v>
      </c>
      <c r="AL28" s="42">
        <f t="shared" si="30"/>
        <v>0</v>
      </c>
      <c r="AM28" s="42">
        <f t="shared" si="30"/>
        <v>93.75</v>
      </c>
      <c r="AN28" s="42">
        <f t="shared" si="30"/>
        <v>0</v>
      </c>
      <c r="AO28" s="42">
        <f t="shared" si="30"/>
        <v>10093.75</v>
      </c>
      <c r="AP28" s="42">
        <f t="shared" si="30"/>
        <v>0</v>
      </c>
      <c r="AQ28" s="42">
        <f t="shared" si="30"/>
        <v>0</v>
      </c>
      <c r="AR28" s="42">
        <f t="shared" si="30"/>
        <v>0</v>
      </c>
      <c r="AS28" s="42">
        <f t="shared" si="30"/>
        <v>0</v>
      </c>
      <c r="AT28" s="42">
        <f t="shared" si="30"/>
        <v>0</v>
      </c>
      <c r="AU28" s="42">
        <f t="shared" si="30"/>
        <v>0</v>
      </c>
      <c r="AV28" s="42">
        <f t="shared" si="30"/>
        <v>0</v>
      </c>
      <c r="AW28" s="42">
        <f t="shared" si="30"/>
        <v>0</v>
      </c>
      <c r="AX28" s="42">
        <f t="shared" si="30"/>
        <v>0</v>
      </c>
      <c r="AY28" s="42">
        <f t="shared" si="30"/>
        <v>0</v>
      </c>
      <c r="AZ28" s="42">
        <f t="shared" si="30"/>
        <v>0</v>
      </c>
      <c r="BA28" s="42">
        <f t="shared" si="30"/>
        <v>0</v>
      </c>
      <c r="BB28" s="42">
        <f t="shared" si="30"/>
        <v>0</v>
      </c>
      <c r="BC28" s="42">
        <f t="shared" si="30"/>
        <v>0</v>
      </c>
      <c r="BD28" s="42">
        <f t="shared" si="30"/>
        <v>0</v>
      </c>
      <c r="BE28" s="42">
        <f t="shared" si="30"/>
        <v>0</v>
      </c>
      <c r="BF28" s="42">
        <f t="shared" si="30"/>
        <v>0</v>
      </c>
      <c r="BG28" s="42">
        <f t="shared" si="30"/>
        <v>0</v>
      </c>
      <c r="BH28" s="42">
        <f t="shared" si="30"/>
        <v>0</v>
      </c>
      <c r="BI28" s="42">
        <f t="shared" si="30"/>
        <v>0</v>
      </c>
      <c r="BJ28" s="42">
        <f t="shared" si="30"/>
        <v>0</v>
      </c>
      <c r="BK28" s="42">
        <f t="shared" si="30"/>
        <v>0</v>
      </c>
      <c r="BL28" s="42">
        <f t="shared" si="30"/>
        <v>0</v>
      </c>
      <c r="BM28" s="42">
        <f t="shared" si="30"/>
        <v>0</v>
      </c>
      <c r="BN28" s="42">
        <f t="shared" si="30"/>
        <v>0</v>
      </c>
      <c r="BO28" s="42">
        <f t="shared" si="30"/>
        <v>0</v>
      </c>
      <c r="BP28" s="42">
        <f t="shared" si="30"/>
        <v>0</v>
      </c>
      <c r="BQ28" s="42">
        <f t="shared" si="30"/>
        <v>0</v>
      </c>
      <c r="BR28" s="42">
        <f t="shared" si="30"/>
        <v>0</v>
      </c>
      <c r="BS28" s="42">
        <f t="shared" si="30"/>
        <v>0</v>
      </c>
      <c r="BT28" s="42">
        <f t="shared" si="30"/>
        <v>0</v>
      </c>
      <c r="BU28" s="42">
        <f t="shared" si="30"/>
        <v>0</v>
      </c>
      <c r="BV28" s="42">
        <f t="shared" si="30"/>
        <v>0</v>
      </c>
      <c r="BW28" s="42">
        <f t="shared" si="30"/>
        <v>0</v>
      </c>
      <c r="BX28" s="42">
        <f t="shared" si="30"/>
        <v>0</v>
      </c>
      <c r="BY28" s="42">
        <f t="shared" si="30"/>
        <v>0</v>
      </c>
      <c r="BZ28" s="42">
        <f t="shared" si="30"/>
        <v>0</v>
      </c>
      <c r="CA28" s="42">
        <f t="shared" si="30"/>
        <v>0</v>
      </c>
      <c r="CB28" s="42">
        <f t="shared" si="30"/>
        <v>0</v>
      </c>
      <c r="CC28" s="42">
        <f t="shared" si="30"/>
        <v>0</v>
      </c>
      <c r="CD28" s="42">
        <f t="shared" si="30"/>
        <v>0</v>
      </c>
      <c r="CE28" s="42">
        <f t="shared" si="30"/>
        <v>0</v>
      </c>
      <c r="CF28" s="42">
        <f t="shared" si="29"/>
        <v>0</v>
      </c>
      <c r="CG28" s="42">
        <f t="shared" si="29"/>
        <v>0</v>
      </c>
      <c r="CH28" s="42">
        <f t="shared" si="29"/>
        <v>0</v>
      </c>
      <c r="CI28" s="42">
        <f t="shared" si="29"/>
        <v>0</v>
      </c>
      <c r="CJ28" s="42">
        <f t="shared" si="29"/>
        <v>0</v>
      </c>
      <c r="CK28" s="42">
        <f t="shared" si="29"/>
        <v>0</v>
      </c>
      <c r="CL28" s="42">
        <f t="shared" si="29"/>
        <v>0</v>
      </c>
      <c r="CM28" s="42">
        <f t="shared" si="29"/>
        <v>0</v>
      </c>
      <c r="CN28" s="42">
        <f t="shared" si="29"/>
        <v>0</v>
      </c>
      <c r="CO28" s="42">
        <f t="shared" si="29"/>
        <v>0</v>
      </c>
      <c r="CP28" s="42">
        <f t="shared" si="29"/>
        <v>0</v>
      </c>
      <c r="CQ28" s="42">
        <f t="shared" si="29"/>
        <v>0</v>
      </c>
      <c r="CR28" s="42">
        <f t="shared" si="29"/>
        <v>0</v>
      </c>
      <c r="CS28" s="42">
        <f t="shared" si="29"/>
        <v>0</v>
      </c>
      <c r="CT28" s="42">
        <f t="shared" si="29"/>
        <v>0</v>
      </c>
      <c r="CU28" s="42">
        <f t="shared" si="29"/>
        <v>0</v>
      </c>
      <c r="CV28" s="42">
        <f t="shared" si="29"/>
        <v>0</v>
      </c>
      <c r="CW28" s="42">
        <f t="shared" si="29"/>
        <v>0</v>
      </c>
      <c r="CX28" s="42">
        <f t="shared" si="29"/>
        <v>0</v>
      </c>
      <c r="CY28" s="42">
        <f t="shared" si="29"/>
        <v>0</v>
      </c>
      <c r="CZ28" s="42">
        <f t="shared" si="29"/>
        <v>0</v>
      </c>
      <c r="DA28" s="42">
        <f t="shared" si="29"/>
        <v>0</v>
      </c>
      <c r="DB28" s="42">
        <f t="shared" si="29"/>
        <v>0</v>
      </c>
      <c r="DC28" s="42">
        <f t="shared" si="29"/>
        <v>0</v>
      </c>
      <c r="DD28" s="42">
        <f t="shared" si="29"/>
        <v>0</v>
      </c>
      <c r="DE28" s="42">
        <f t="shared" si="29"/>
        <v>0</v>
      </c>
      <c r="DF28" s="42">
        <f t="shared" si="29"/>
        <v>0</v>
      </c>
      <c r="DG28" s="42">
        <f t="shared" si="29"/>
        <v>0</v>
      </c>
      <c r="DH28" s="42">
        <f t="shared" si="29"/>
        <v>0</v>
      </c>
      <c r="DI28" s="42">
        <f t="shared" si="29"/>
        <v>0</v>
      </c>
      <c r="DJ28" s="42">
        <f t="shared" si="29"/>
        <v>0</v>
      </c>
      <c r="DK28" s="42">
        <f t="shared" si="29"/>
        <v>0</v>
      </c>
      <c r="DL28" s="42">
        <f t="shared" si="29"/>
        <v>0</v>
      </c>
      <c r="DM28" s="42">
        <f t="shared" si="29"/>
        <v>0</v>
      </c>
      <c r="DN28" s="42">
        <f t="shared" si="29"/>
        <v>0</v>
      </c>
      <c r="DO28" s="42">
        <f t="shared" si="29"/>
        <v>0</v>
      </c>
      <c r="DP28" s="42">
        <f t="shared" si="29"/>
        <v>0</v>
      </c>
      <c r="DQ28" s="42">
        <f t="shared" si="29"/>
        <v>0</v>
      </c>
      <c r="DR28" s="42">
        <f t="shared" si="29"/>
        <v>0</v>
      </c>
      <c r="DS28" s="42">
        <f t="shared" si="29"/>
        <v>0</v>
      </c>
      <c r="DT28" s="42">
        <f t="shared" si="29"/>
        <v>0</v>
      </c>
      <c r="DU28" s="42">
        <f t="shared" si="29"/>
        <v>0</v>
      </c>
      <c r="DV28" s="42">
        <f t="shared" si="29"/>
        <v>0</v>
      </c>
      <c r="DW28" s="42">
        <f t="shared" si="29"/>
        <v>0</v>
      </c>
      <c r="DX28" s="42">
        <f t="shared" si="29"/>
        <v>0</v>
      </c>
      <c r="DY28" s="42">
        <f t="shared" si="29"/>
        <v>0</v>
      </c>
      <c r="DZ28" s="42">
        <f t="shared" si="29"/>
        <v>0</v>
      </c>
      <c r="EA28" s="42">
        <f t="shared" si="29"/>
        <v>0</v>
      </c>
      <c r="EB28" s="42">
        <f t="shared" si="29"/>
        <v>0</v>
      </c>
      <c r="EC28" s="42">
        <f t="shared" si="29"/>
        <v>0</v>
      </c>
      <c r="ED28" s="42">
        <f t="shared" si="29"/>
        <v>0</v>
      </c>
      <c r="EE28" s="42">
        <f t="shared" si="29"/>
        <v>0</v>
      </c>
      <c r="EF28" s="42">
        <f t="shared" si="29"/>
        <v>0</v>
      </c>
      <c r="EG28" s="42">
        <f t="shared" si="29"/>
        <v>0</v>
      </c>
      <c r="EH28" s="42">
        <f t="shared" si="29"/>
        <v>0</v>
      </c>
      <c r="EI28" s="42">
        <f t="shared" si="29"/>
        <v>0</v>
      </c>
      <c r="EJ28" s="42">
        <f t="shared" si="29"/>
        <v>0</v>
      </c>
      <c r="EK28" s="42">
        <f t="shared" si="29"/>
        <v>0</v>
      </c>
      <c r="EL28" s="42">
        <f t="shared" si="29"/>
        <v>0</v>
      </c>
      <c r="EM28" s="42">
        <f t="shared" si="29"/>
        <v>0</v>
      </c>
      <c r="EN28" s="42">
        <f t="shared" si="29"/>
        <v>0</v>
      </c>
      <c r="EO28" s="42">
        <f t="shared" si="29"/>
        <v>0</v>
      </c>
      <c r="EP28" s="42">
        <f t="shared" si="29"/>
        <v>0</v>
      </c>
      <c r="EQ28" s="42">
        <f t="shared" si="28"/>
        <v>0</v>
      </c>
      <c r="ER28" s="42">
        <f t="shared" si="27"/>
        <v>0</v>
      </c>
      <c r="ES28" s="42">
        <f t="shared" si="27"/>
        <v>0</v>
      </c>
      <c r="ET28" s="42">
        <f t="shared" si="24"/>
        <v>0</v>
      </c>
      <c r="EU28" s="42">
        <f t="shared" si="24"/>
        <v>0</v>
      </c>
      <c r="EV28" s="42">
        <f t="shared" si="24"/>
        <v>0</v>
      </c>
      <c r="EW28" s="42">
        <f t="shared" si="24"/>
        <v>0</v>
      </c>
      <c r="EX28" s="42">
        <f t="shared" si="24"/>
        <v>0</v>
      </c>
      <c r="EY28" s="42">
        <f t="shared" ref="EY28:GH28" si="31">IF(
    EY$6=$R28,
    10000+10000*$E28/200,
    IF(
        AND(EY$6&lt;$R28,MOD($R28-EY$6,6)=0),
        10000*$E28/200,
        0
    )
)</f>
        <v>0</v>
      </c>
      <c r="EZ28" s="42">
        <f t="shared" si="31"/>
        <v>0</v>
      </c>
      <c r="FA28" s="42">
        <f t="shared" si="31"/>
        <v>0</v>
      </c>
      <c r="FB28" s="42">
        <f t="shared" si="31"/>
        <v>0</v>
      </c>
      <c r="FC28" s="42">
        <f t="shared" si="31"/>
        <v>0</v>
      </c>
      <c r="FD28" s="42">
        <f t="shared" si="31"/>
        <v>0</v>
      </c>
      <c r="FE28" s="42">
        <f t="shared" si="31"/>
        <v>0</v>
      </c>
      <c r="FF28" s="42">
        <f t="shared" si="31"/>
        <v>0</v>
      </c>
      <c r="FG28" s="42">
        <f t="shared" si="31"/>
        <v>0</v>
      </c>
      <c r="FH28" s="42">
        <f t="shared" si="31"/>
        <v>0</v>
      </c>
      <c r="FI28" s="42">
        <f t="shared" si="31"/>
        <v>0</v>
      </c>
      <c r="FJ28" s="42">
        <f t="shared" si="31"/>
        <v>0</v>
      </c>
      <c r="FK28" s="42">
        <f t="shared" si="31"/>
        <v>0</v>
      </c>
      <c r="FL28" s="42">
        <f t="shared" si="31"/>
        <v>0</v>
      </c>
      <c r="FM28" s="42">
        <f t="shared" si="31"/>
        <v>0</v>
      </c>
      <c r="FN28" s="42">
        <f t="shared" si="31"/>
        <v>0</v>
      </c>
      <c r="FO28" s="42">
        <f t="shared" si="31"/>
        <v>0</v>
      </c>
      <c r="FP28" s="42">
        <f t="shared" si="31"/>
        <v>0</v>
      </c>
      <c r="FQ28" s="42">
        <f t="shared" si="31"/>
        <v>0</v>
      </c>
      <c r="FR28" s="42">
        <f t="shared" si="31"/>
        <v>0</v>
      </c>
      <c r="FS28" s="42">
        <f t="shared" si="31"/>
        <v>0</v>
      </c>
      <c r="FT28" s="42">
        <f t="shared" si="31"/>
        <v>0</v>
      </c>
      <c r="FU28" s="42">
        <f t="shared" si="31"/>
        <v>0</v>
      </c>
      <c r="FV28" s="42">
        <f t="shared" si="31"/>
        <v>0</v>
      </c>
      <c r="FW28" s="42">
        <f t="shared" si="31"/>
        <v>0</v>
      </c>
      <c r="FX28" s="42">
        <f t="shared" si="31"/>
        <v>0</v>
      </c>
      <c r="FY28" s="42">
        <f t="shared" si="31"/>
        <v>0</v>
      </c>
      <c r="FZ28" s="42">
        <f t="shared" si="31"/>
        <v>0</v>
      </c>
      <c r="GA28" s="42">
        <f t="shared" si="31"/>
        <v>0</v>
      </c>
      <c r="GB28" s="42">
        <f t="shared" si="31"/>
        <v>0</v>
      </c>
      <c r="GC28" s="42">
        <f t="shared" si="31"/>
        <v>0</v>
      </c>
      <c r="GD28" s="42">
        <f t="shared" si="31"/>
        <v>0</v>
      </c>
      <c r="GE28" s="42">
        <f t="shared" si="31"/>
        <v>0</v>
      </c>
      <c r="GF28" s="42">
        <f t="shared" si="31"/>
        <v>0</v>
      </c>
      <c r="GG28" s="42">
        <f t="shared" si="31"/>
        <v>0</v>
      </c>
      <c r="GH28" s="42">
        <f t="shared" si="31"/>
        <v>0</v>
      </c>
    </row>
    <row r="29" spans="2:190" ht="14.5" thickBot="1">
      <c r="B29" s="43" t="s">
        <v>234</v>
      </c>
      <c r="C29" s="31">
        <v>43809</v>
      </c>
      <c r="D29" s="31">
        <v>47462</v>
      </c>
      <c r="E29" s="32">
        <v>1.375</v>
      </c>
      <c r="F29" s="33" t="s">
        <v>22</v>
      </c>
      <c r="G29" s="34">
        <v>74.47</v>
      </c>
      <c r="H29" s="34">
        <v>2267</v>
      </c>
      <c r="I29" s="32">
        <v>4.0279999999999996</v>
      </c>
      <c r="J29" s="35">
        <v>8597.11</v>
      </c>
      <c r="K29" s="44" cm="1">
        <f t="array" ref="K29">_xlfn.LET(
    _xlpm.settle,$B$3,
    _xlpm.mat,$D29,
    _xlpm.coupon,10000*$E29/200,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40.57377049180328</v>
      </c>
      <c r="L29" s="37">
        <f t="shared" si="3"/>
        <v>8637.6837704918034</v>
      </c>
      <c r="M29" s="120">
        <v>0.78428117892727289</v>
      </c>
      <c r="N29" s="45">
        <f t="shared" si="4"/>
        <v>3.9122409291479671E-2</v>
      </c>
      <c r="O29" s="99">
        <f t="shared" si="5"/>
        <v>8637.6829699622667</v>
      </c>
      <c r="P29" s="39">
        <f t="shared" si="6"/>
        <v>-8.0052953671838623E-4</v>
      </c>
      <c r="R29" s="41">
        <f t="shared" si="10"/>
        <v>74</v>
      </c>
      <c r="S29" s="42">
        <f t="shared" si="25"/>
        <v>68.75</v>
      </c>
      <c r="T29" s="42">
        <f t="shared" si="30"/>
        <v>0</v>
      </c>
      <c r="U29" s="42">
        <f t="shared" si="30"/>
        <v>68.75</v>
      </c>
      <c r="V29" s="42">
        <f t="shared" si="30"/>
        <v>0</v>
      </c>
      <c r="W29" s="42">
        <f t="shared" si="30"/>
        <v>68.75</v>
      </c>
      <c r="X29" s="42">
        <f t="shared" si="30"/>
        <v>0</v>
      </c>
      <c r="Y29" s="42">
        <f t="shared" si="30"/>
        <v>68.75</v>
      </c>
      <c r="Z29" s="42">
        <f t="shared" si="30"/>
        <v>0</v>
      </c>
      <c r="AA29" s="42">
        <f t="shared" si="30"/>
        <v>68.75</v>
      </c>
      <c r="AB29" s="42">
        <f t="shared" si="30"/>
        <v>0</v>
      </c>
      <c r="AC29" s="42">
        <f t="shared" si="30"/>
        <v>68.75</v>
      </c>
      <c r="AD29" s="42">
        <f t="shared" si="30"/>
        <v>0</v>
      </c>
      <c r="AE29" s="42">
        <f t="shared" si="30"/>
        <v>68.75</v>
      </c>
      <c r="AF29" s="42">
        <f t="shared" si="30"/>
        <v>0</v>
      </c>
      <c r="AG29" s="42">
        <f t="shared" si="30"/>
        <v>68.75</v>
      </c>
      <c r="AH29" s="42">
        <f t="shared" si="30"/>
        <v>0</v>
      </c>
      <c r="AI29" s="42">
        <f t="shared" si="30"/>
        <v>68.75</v>
      </c>
      <c r="AJ29" s="42">
        <f t="shared" si="30"/>
        <v>0</v>
      </c>
      <c r="AK29" s="42">
        <f t="shared" si="30"/>
        <v>68.75</v>
      </c>
      <c r="AL29" s="42">
        <f t="shared" si="30"/>
        <v>0</v>
      </c>
      <c r="AM29" s="42">
        <f t="shared" si="30"/>
        <v>68.75</v>
      </c>
      <c r="AN29" s="42">
        <f t="shared" si="30"/>
        <v>0</v>
      </c>
      <c r="AO29" s="42">
        <f t="shared" si="30"/>
        <v>68.75</v>
      </c>
      <c r="AP29" s="42">
        <f t="shared" si="30"/>
        <v>0</v>
      </c>
      <c r="AQ29" s="42">
        <f t="shared" si="30"/>
        <v>10068.75</v>
      </c>
      <c r="AR29" s="42">
        <f t="shared" si="30"/>
        <v>0</v>
      </c>
      <c r="AS29" s="42">
        <f t="shared" si="30"/>
        <v>0</v>
      </c>
      <c r="AT29" s="42">
        <f t="shared" si="30"/>
        <v>0</v>
      </c>
      <c r="AU29" s="42">
        <f t="shared" si="30"/>
        <v>0</v>
      </c>
      <c r="AV29" s="42">
        <f t="shared" si="30"/>
        <v>0</v>
      </c>
      <c r="AW29" s="42">
        <f t="shared" si="30"/>
        <v>0</v>
      </c>
      <c r="AX29" s="42">
        <f t="shared" si="30"/>
        <v>0</v>
      </c>
      <c r="AY29" s="42">
        <f t="shared" si="30"/>
        <v>0</v>
      </c>
      <c r="AZ29" s="42">
        <f t="shared" si="30"/>
        <v>0</v>
      </c>
      <c r="BA29" s="42">
        <f t="shared" si="30"/>
        <v>0</v>
      </c>
      <c r="BB29" s="42">
        <f t="shared" si="30"/>
        <v>0</v>
      </c>
      <c r="BC29" s="42">
        <f t="shared" si="30"/>
        <v>0</v>
      </c>
      <c r="BD29" s="42">
        <f t="shared" si="30"/>
        <v>0</v>
      </c>
      <c r="BE29" s="42">
        <f t="shared" si="30"/>
        <v>0</v>
      </c>
      <c r="BF29" s="42">
        <f t="shared" si="30"/>
        <v>0</v>
      </c>
      <c r="BG29" s="42">
        <f t="shared" si="30"/>
        <v>0</v>
      </c>
      <c r="BH29" s="42">
        <f t="shared" si="30"/>
        <v>0</v>
      </c>
      <c r="BI29" s="42">
        <f t="shared" si="30"/>
        <v>0</v>
      </c>
      <c r="BJ29" s="42">
        <f t="shared" si="30"/>
        <v>0</v>
      </c>
      <c r="BK29" s="42">
        <f t="shared" si="30"/>
        <v>0</v>
      </c>
      <c r="BL29" s="42">
        <f t="shared" si="30"/>
        <v>0</v>
      </c>
      <c r="BM29" s="42">
        <f t="shared" si="30"/>
        <v>0</v>
      </c>
      <c r="BN29" s="42">
        <f t="shared" si="30"/>
        <v>0</v>
      </c>
      <c r="BO29" s="42">
        <f t="shared" si="30"/>
        <v>0</v>
      </c>
      <c r="BP29" s="42">
        <f t="shared" si="30"/>
        <v>0</v>
      </c>
      <c r="BQ29" s="42">
        <f t="shared" si="30"/>
        <v>0</v>
      </c>
      <c r="BR29" s="42">
        <f t="shared" si="30"/>
        <v>0</v>
      </c>
      <c r="BS29" s="42">
        <f t="shared" si="30"/>
        <v>0</v>
      </c>
      <c r="BT29" s="42">
        <f t="shared" si="30"/>
        <v>0</v>
      </c>
      <c r="BU29" s="42">
        <f t="shared" si="30"/>
        <v>0</v>
      </c>
      <c r="BV29" s="42">
        <f t="shared" si="30"/>
        <v>0</v>
      </c>
      <c r="BW29" s="42">
        <f t="shared" si="30"/>
        <v>0</v>
      </c>
      <c r="BX29" s="42">
        <f t="shared" si="30"/>
        <v>0</v>
      </c>
      <c r="BY29" s="42">
        <f t="shared" si="30"/>
        <v>0</v>
      </c>
      <c r="BZ29" s="42">
        <f t="shared" si="30"/>
        <v>0</v>
      </c>
      <c r="CA29" s="42">
        <f t="shared" si="30"/>
        <v>0</v>
      </c>
      <c r="CB29" s="42">
        <f t="shared" si="30"/>
        <v>0</v>
      </c>
      <c r="CC29" s="42">
        <f t="shared" si="30"/>
        <v>0</v>
      </c>
      <c r="CD29" s="42">
        <f t="shared" si="30"/>
        <v>0</v>
      </c>
      <c r="CE29" s="42">
        <f t="shared" si="30"/>
        <v>0</v>
      </c>
      <c r="CF29" s="42">
        <f t="shared" si="29"/>
        <v>0</v>
      </c>
      <c r="CG29" s="42">
        <f t="shared" si="29"/>
        <v>0</v>
      </c>
      <c r="CH29" s="42">
        <f t="shared" si="29"/>
        <v>0</v>
      </c>
      <c r="CI29" s="42">
        <f t="shared" si="29"/>
        <v>0</v>
      </c>
      <c r="CJ29" s="42">
        <f t="shared" si="29"/>
        <v>0</v>
      </c>
      <c r="CK29" s="42">
        <f t="shared" si="29"/>
        <v>0</v>
      </c>
      <c r="CL29" s="42">
        <f t="shared" si="29"/>
        <v>0</v>
      </c>
      <c r="CM29" s="42">
        <f t="shared" si="29"/>
        <v>0</v>
      </c>
      <c r="CN29" s="42">
        <f t="shared" si="29"/>
        <v>0</v>
      </c>
      <c r="CO29" s="42">
        <f t="shared" si="29"/>
        <v>0</v>
      </c>
      <c r="CP29" s="42">
        <f t="shared" si="29"/>
        <v>0</v>
      </c>
      <c r="CQ29" s="42">
        <f t="shared" si="29"/>
        <v>0</v>
      </c>
      <c r="CR29" s="42">
        <f t="shared" si="29"/>
        <v>0</v>
      </c>
      <c r="CS29" s="42">
        <f t="shared" si="29"/>
        <v>0</v>
      </c>
      <c r="CT29" s="42">
        <f t="shared" si="29"/>
        <v>0</v>
      </c>
      <c r="CU29" s="42">
        <f t="shared" si="29"/>
        <v>0</v>
      </c>
      <c r="CV29" s="42">
        <f t="shared" si="29"/>
        <v>0</v>
      </c>
      <c r="CW29" s="42">
        <f t="shared" si="29"/>
        <v>0</v>
      </c>
      <c r="CX29" s="42">
        <f t="shared" si="29"/>
        <v>0</v>
      </c>
      <c r="CY29" s="42">
        <f t="shared" si="29"/>
        <v>0</v>
      </c>
      <c r="CZ29" s="42">
        <f t="shared" si="29"/>
        <v>0</v>
      </c>
      <c r="DA29" s="42">
        <f t="shared" si="29"/>
        <v>0</v>
      </c>
      <c r="DB29" s="42">
        <f t="shared" si="29"/>
        <v>0</v>
      </c>
      <c r="DC29" s="42">
        <f t="shared" si="29"/>
        <v>0</v>
      </c>
      <c r="DD29" s="42">
        <f t="shared" si="29"/>
        <v>0</v>
      </c>
      <c r="DE29" s="42">
        <f t="shared" si="29"/>
        <v>0</v>
      </c>
      <c r="DF29" s="42">
        <f t="shared" si="29"/>
        <v>0</v>
      </c>
      <c r="DG29" s="42">
        <f t="shared" si="29"/>
        <v>0</v>
      </c>
      <c r="DH29" s="42">
        <f t="shared" si="29"/>
        <v>0</v>
      </c>
      <c r="DI29" s="42">
        <f t="shared" si="29"/>
        <v>0</v>
      </c>
      <c r="DJ29" s="42">
        <f t="shared" si="29"/>
        <v>0</v>
      </c>
      <c r="DK29" s="42">
        <f t="shared" si="29"/>
        <v>0</v>
      </c>
      <c r="DL29" s="42">
        <f t="shared" si="29"/>
        <v>0</v>
      </c>
      <c r="DM29" s="42">
        <f t="shared" si="29"/>
        <v>0</v>
      </c>
      <c r="DN29" s="42">
        <f t="shared" si="29"/>
        <v>0</v>
      </c>
      <c r="DO29" s="42">
        <f t="shared" si="29"/>
        <v>0</v>
      </c>
      <c r="DP29" s="42">
        <f t="shared" si="29"/>
        <v>0</v>
      </c>
      <c r="DQ29" s="42">
        <f t="shared" si="29"/>
        <v>0</v>
      </c>
      <c r="DR29" s="42">
        <f t="shared" si="29"/>
        <v>0</v>
      </c>
      <c r="DS29" s="42">
        <f t="shared" si="29"/>
        <v>0</v>
      </c>
      <c r="DT29" s="42">
        <f t="shared" si="29"/>
        <v>0</v>
      </c>
      <c r="DU29" s="42">
        <f t="shared" si="29"/>
        <v>0</v>
      </c>
      <c r="DV29" s="42">
        <f t="shared" si="29"/>
        <v>0</v>
      </c>
      <c r="DW29" s="42">
        <f t="shared" si="29"/>
        <v>0</v>
      </c>
      <c r="DX29" s="42">
        <f t="shared" si="29"/>
        <v>0</v>
      </c>
      <c r="DY29" s="42">
        <f t="shared" si="29"/>
        <v>0</v>
      </c>
      <c r="DZ29" s="42">
        <f t="shared" si="29"/>
        <v>0</v>
      </c>
      <c r="EA29" s="42">
        <f t="shared" si="29"/>
        <v>0</v>
      </c>
      <c r="EB29" s="42">
        <f t="shared" si="29"/>
        <v>0</v>
      </c>
      <c r="EC29" s="42">
        <f t="shared" si="29"/>
        <v>0</v>
      </c>
      <c r="ED29" s="42">
        <f t="shared" si="29"/>
        <v>0</v>
      </c>
      <c r="EE29" s="42">
        <f t="shared" si="29"/>
        <v>0</v>
      </c>
      <c r="EF29" s="42">
        <f t="shared" si="29"/>
        <v>0</v>
      </c>
      <c r="EG29" s="42">
        <f t="shared" si="29"/>
        <v>0</v>
      </c>
      <c r="EH29" s="42">
        <f t="shared" si="29"/>
        <v>0</v>
      </c>
      <c r="EI29" s="42">
        <f t="shared" si="29"/>
        <v>0</v>
      </c>
      <c r="EJ29" s="42">
        <f t="shared" si="29"/>
        <v>0</v>
      </c>
      <c r="EK29" s="42">
        <f t="shared" si="29"/>
        <v>0</v>
      </c>
      <c r="EL29" s="42">
        <f t="shared" si="29"/>
        <v>0</v>
      </c>
      <c r="EM29" s="42">
        <f t="shared" si="29"/>
        <v>0</v>
      </c>
      <c r="EN29" s="42">
        <f t="shared" si="29"/>
        <v>0</v>
      </c>
      <c r="EO29" s="42">
        <f t="shared" si="29"/>
        <v>0</v>
      </c>
      <c r="EP29" s="42">
        <f t="shared" si="29"/>
        <v>0</v>
      </c>
      <c r="EQ29" s="42">
        <f t="shared" si="28"/>
        <v>0</v>
      </c>
      <c r="ER29" s="42">
        <f t="shared" si="27"/>
        <v>0</v>
      </c>
      <c r="ES29" s="42">
        <f t="shared" si="27"/>
        <v>0</v>
      </c>
      <c r="ET29" s="42">
        <f t="shared" ref="ET29:GH35" si="32">IF(
    ET$6=$R29,
    10000+10000*$E29/200,
    IF(
        AND(ET$6&lt;$R29,MOD($R29-ET$6,6)=0),
        10000*$E29/200,
        0
    )
)</f>
        <v>0</v>
      </c>
      <c r="EU29" s="42">
        <f t="shared" si="32"/>
        <v>0</v>
      </c>
      <c r="EV29" s="42">
        <f t="shared" si="32"/>
        <v>0</v>
      </c>
      <c r="EW29" s="42">
        <f t="shared" si="32"/>
        <v>0</v>
      </c>
      <c r="EX29" s="42">
        <f t="shared" si="32"/>
        <v>0</v>
      </c>
      <c r="EY29" s="42">
        <f t="shared" si="32"/>
        <v>0</v>
      </c>
      <c r="EZ29" s="42">
        <f t="shared" si="32"/>
        <v>0</v>
      </c>
      <c r="FA29" s="42">
        <f t="shared" si="32"/>
        <v>0</v>
      </c>
      <c r="FB29" s="42">
        <f t="shared" si="32"/>
        <v>0</v>
      </c>
      <c r="FC29" s="42">
        <f t="shared" si="32"/>
        <v>0</v>
      </c>
      <c r="FD29" s="42">
        <f t="shared" si="32"/>
        <v>0</v>
      </c>
      <c r="FE29" s="42">
        <f t="shared" si="32"/>
        <v>0</v>
      </c>
      <c r="FF29" s="42">
        <f t="shared" si="32"/>
        <v>0</v>
      </c>
      <c r="FG29" s="42">
        <f t="shared" si="32"/>
        <v>0</v>
      </c>
      <c r="FH29" s="42">
        <f t="shared" si="32"/>
        <v>0</v>
      </c>
      <c r="FI29" s="42">
        <f t="shared" si="32"/>
        <v>0</v>
      </c>
      <c r="FJ29" s="42">
        <f t="shared" si="32"/>
        <v>0</v>
      </c>
      <c r="FK29" s="42">
        <f t="shared" si="32"/>
        <v>0</v>
      </c>
      <c r="FL29" s="42">
        <f t="shared" si="32"/>
        <v>0</v>
      </c>
      <c r="FM29" s="42">
        <f t="shared" si="32"/>
        <v>0</v>
      </c>
      <c r="FN29" s="42">
        <f t="shared" si="32"/>
        <v>0</v>
      </c>
      <c r="FO29" s="42">
        <f t="shared" si="32"/>
        <v>0</v>
      </c>
      <c r="FP29" s="42">
        <f t="shared" si="32"/>
        <v>0</v>
      </c>
      <c r="FQ29" s="42">
        <f t="shared" si="32"/>
        <v>0</v>
      </c>
      <c r="FR29" s="42">
        <f t="shared" si="32"/>
        <v>0</v>
      </c>
      <c r="FS29" s="42">
        <f t="shared" si="32"/>
        <v>0</v>
      </c>
      <c r="FT29" s="42">
        <f t="shared" si="32"/>
        <v>0</v>
      </c>
      <c r="FU29" s="42">
        <f t="shared" si="32"/>
        <v>0</v>
      </c>
      <c r="FV29" s="42">
        <f t="shared" si="32"/>
        <v>0</v>
      </c>
      <c r="FW29" s="42">
        <f t="shared" si="32"/>
        <v>0</v>
      </c>
      <c r="FX29" s="42">
        <f t="shared" si="32"/>
        <v>0</v>
      </c>
      <c r="FY29" s="42">
        <f t="shared" si="32"/>
        <v>0</v>
      </c>
      <c r="FZ29" s="42">
        <f t="shared" si="32"/>
        <v>0</v>
      </c>
      <c r="GA29" s="42">
        <f t="shared" si="32"/>
        <v>0</v>
      </c>
      <c r="GB29" s="42">
        <f t="shared" si="32"/>
        <v>0</v>
      </c>
      <c r="GC29" s="42">
        <f t="shared" si="32"/>
        <v>0</v>
      </c>
      <c r="GD29" s="42">
        <f t="shared" si="32"/>
        <v>0</v>
      </c>
      <c r="GE29" s="42">
        <f t="shared" si="32"/>
        <v>0</v>
      </c>
      <c r="GF29" s="42">
        <f t="shared" si="32"/>
        <v>0</v>
      </c>
      <c r="GG29" s="42">
        <f t="shared" si="32"/>
        <v>0</v>
      </c>
      <c r="GH29" s="42">
        <f t="shared" si="32"/>
        <v>0</v>
      </c>
    </row>
    <row r="30" spans="2:190" ht="14.5" thickBot="1">
      <c r="B30" s="43" t="s">
        <v>235</v>
      </c>
      <c r="C30" s="31">
        <v>43992</v>
      </c>
      <c r="D30" s="31">
        <v>47644</v>
      </c>
      <c r="E30" s="32">
        <v>1.375</v>
      </c>
      <c r="F30" s="33" t="s">
        <v>23</v>
      </c>
      <c r="G30" s="34">
        <v>80.47</v>
      </c>
      <c r="H30" s="34">
        <v>2448</v>
      </c>
      <c r="I30" s="32">
        <v>4.032</v>
      </c>
      <c r="J30" s="35">
        <v>8493.32</v>
      </c>
      <c r="K30" s="44" cm="1">
        <f t="array" ref="K30">_xlfn.LET(
    _xlpm.settle,$B$3,
    _xlpm.mat,$D30,
    _xlpm.coupon,10000*$E30/200,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40.57377049180328</v>
      </c>
      <c r="L30" s="37">
        <f t="shared" si="3"/>
        <v>8533.8937704918026</v>
      </c>
      <c r="M30" s="120">
        <v>0.76861793831721392</v>
      </c>
      <c r="N30" s="45">
        <f t="shared" si="4"/>
        <v>3.9237688191707594E-2</v>
      </c>
      <c r="O30" s="99">
        <f t="shared" si="5"/>
        <v>8533.893047120986</v>
      </c>
      <c r="P30" s="39">
        <f t="shared" si="6"/>
        <v>-7.2337081655859947E-4</v>
      </c>
      <c r="R30" s="41">
        <f t="shared" si="10"/>
        <v>80</v>
      </c>
      <c r="S30" s="42">
        <f t="shared" si="25"/>
        <v>68.75</v>
      </c>
      <c r="T30" s="42">
        <f t="shared" si="30"/>
        <v>0</v>
      </c>
      <c r="U30" s="42">
        <f t="shared" si="30"/>
        <v>68.75</v>
      </c>
      <c r="V30" s="42">
        <f t="shared" si="30"/>
        <v>0</v>
      </c>
      <c r="W30" s="42">
        <f t="shared" si="30"/>
        <v>68.75</v>
      </c>
      <c r="X30" s="42">
        <f t="shared" si="30"/>
        <v>0</v>
      </c>
      <c r="Y30" s="42">
        <f t="shared" si="30"/>
        <v>68.75</v>
      </c>
      <c r="Z30" s="42">
        <f t="shared" si="30"/>
        <v>0</v>
      </c>
      <c r="AA30" s="42">
        <f t="shared" si="30"/>
        <v>68.75</v>
      </c>
      <c r="AB30" s="42">
        <f t="shared" si="30"/>
        <v>0</v>
      </c>
      <c r="AC30" s="42">
        <f t="shared" si="30"/>
        <v>68.75</v>
      </c>
      <c r="AD30" s="42">
        <f t="shared" si="30"/>
        <v>0</v>
      </c>
      <c r="AE30" s="42">
        <f t="shared" si="30"/>
        <v>68.75</v>
      </c>
      <c r="AF30" s="42">
        <f t="shared" si="30"/>
        <v>0</v>
      </c>
      <c r="AG30" s="42">
        <f t="shared" si="30"/>
        <v>68.75</v>
      </c>
      <c r="AH30" s="42">
        <f t="shared" si="30"/>
        <v>0</v>
      </c>
      <c r="AI30" s="42">
        <f t="shared" si="30"/>
        <v>68.75</v>
      </c>
      <c r="AJ30" s="42">
        <f t="shared" si="30"/>
        <v>0</v>
      </c>
      <c r="AK30" s="42">
        <f t="shared" si="30"/>
        <v>68.75</v>
      </c>
      <c r="AL30" s="42">
        <f t="shared" si="30"/>
        <v>0</v>
      </c>
      <c r="AM30" s="42">
        <f t="shared" si="30"/>
        <v>68.75</v>
      </c>
      <c r="AN30" s="42">
        <f t="shared" si="30"/>
        <v>0</v>
      </c>
      <c r="AO30" s="42">
        <f t="shared" si="30"/>
        <v>68.75</v>
      </c>
      <c r="AP30" s="42">
        <f t="shared" si="30"/>
        <v>0</v>
      </c>
      <c r="AQ30" s="42">
        <f t="shared" si="30"/>
        <v>68.75</v>
      </c>
      <c r="AR30" s="42">
        <f t="shared" si="30"/>
        <v>0</v>
      </c>
      <c r="AS30" s="42">
        <f t="shared" si="30"/>
        <v>10068.75</v>
      </c>
      <c r="AT30" s="42">
        <f t="shared" si="30"/>
        <v>0</v>
      </c>
      <c r="AU30" s="42">
        <f t="shared" si="30"/>
        <v>0</v>
      </c>
      <c r="AV30" s="42">
        <f t="shared" si="30"/>
        <v>0</v>
      </c>
      <c r="AW30" s="42">
        <f t="shared" si="30"/>
        <v>0</v>
      </c>
      <c r="AX30" s="42">
        <f t="shared" si="30"/>
        <v>0</v>
      </c>
      <c r="AY30" s="42">
        <f t="shared" si="30"/>
        <v>0</v>
      </c>
      <c r="AZ30" s="42">
        <f t="shared" si="30"/>
        <v>0</v>
      </c>
      <c r="BA30" s="42">
        <f t="shared" si="30"/>
        <v>0</v>
      </c>
      <c r="BB30" s="42">
        <f t="shared" si="30"/>
        <v>0</v>
      </c>
      <c r="BC30" s="42">
        <f t="shared" si="30"/>
        <v>0</v>
      </c>
      <c r="BD30" s="42">
        <f t="shared" si="30"/>
        <v>0</v>
      </c>
      <c r="BE30" s="42">
        <f t="shared" si="30"/>
        <v>0</v>
      </c>
      <c r="BF30" s="42">
        <f t="shared" si="30"/>
        <v>0</v>
      </c>
      <c r="BG30" s="42">
        <f t="shared" si="30"/>
        <v>0</v>
      </c>
      <c r="BH30" s="42">
        <f t="shared" si="30"/>
        <v>0</v>
      </c>
      <c r="BI30" s="42">
        <f t="shared" si="30"/>
        <v>0</v>
      </c>
      <c r="BJ30" s="42">
        <f t="shared" si="30"/>
        <v>0</v>
      </c>
      <c r="BK30" s="42">
        <f t="shared" si="30"/>
        <v>0</v>
      </c>
      <c r="BL30" s="42">
        <f t="shared" si="30"/>
        <v>0</v>
      </c>
      <c r="BM30" s="42">
        <f t="shared" si="30"/>
        <v>0</v>
      </c>
      <c r="BN30" s="42">
        <f t="shared" si="30"/>
        <v>0</v>
      </c>
      <c r="BO30" s="42">
        <f t="shared" si="30"/>
        <v>0</v>
      </c>
      <c r="BP30" s="42">
        <f t="shared" si="30"/>
        <v>0</v>
      </c>
      <c r="BQ30" s="42">
        <f t="shared" si="30"/>
        <v>0</v>
      </c>
      <c r="BR30" s="42">
        <f t="shared" si="30"/>
        <v>0</v>
      </c>
      <c r="BS30" s="42">
        <f t="shared" si="30"/>
        <v>0</v>
      </c>
      <c r="BT30" s="42">
        <f t="shared" si="30"/>
        <v>0</v>
      </c>
      <c r="BU30" s="42">
        <f t="shared" si="30"/>
        <v>0</v>
      </c>
      <c r="BV30" s="42">
        <f t="shared" si="30"/>
        <v>0</v>
      </c>
      <c r="BW30" s="42">
        <f t="shared" si="30"/>
        <v>0</v>
      </c>
      <c r="BX30" s="42">
        <f t="shared" si="30"/>
        <v>0</v>
      </c>
      <c r="BY30" s="42">
        <f t="shared" si="30"/>
        <v>0</v>
      </c>
      <c r="BZ30" s="42">
        <f t="shared" si="30"/>
        <v>0</v>
      </c>
      <c r="CA30" s="42">
        <f t="shared" si="30"/>
        <v>0</v>
      </c>
      <c r="CB30" s="42">
        <f t="shared" si="30"/>
        <v>0</v>
      </c>
      <c r="CC30" s="42">
        <f t="shared" si="30"/>
        <v>0</v>
      </c>
      <c r="CD30" s="42">
        <f t="shared" si="30"/>
        <v>0</v>
      </c>
      <c r="CE30" s="42">
        <f t="shared" si="30"/>
        <v>0</v>
      </c>
      <c r="CF30" s="42">
        <f t="shared" si="29"/>
        <v>0</v>
      </c>
      <c r="CG30" s="42">
        <f t="shared" si="29"/>
        <v>0</v>
      </c>
      <c r="CH30" s="42">
        <f t="shared" si="29"/>
        <v>0</v>
      </c>
      <c r="CI30" s="42">
        <f t="shared" si="29"/>
        <v>0</v>
      </c>
      <c r="CJ30" s="42">
        <f t="shared" si="29"/>
        <v>0</v>
      </c>
      <c r="CK30" s="42">
        <f t="shared" si="29"/>
        <v>0</v>
      </c>
      <c r="CL30" s="42">
        <f t="shared" si="29"/>
        <v>0</v>
      </c>
      <c r="CM30" s="42">
        <f t="shared" si="29"/>
        <v>0</v>
      </c>
      <c r="CN30" s="42">
        <f t="shared" si="29"/>
        <v>0</v>
      </c>
      <c r="CO30" s="42">
        <f t="shared" si="29"/>
        <v>0</v>
      </c>
      <c r="CP30" s="42">
        <f t="shared" si="29"/>
        <v>0</v>
      </c>
      <c r="CQ30" s="42">
        <f t="shared" si="29"/>
        <v>0</v>
      </c>
      <c r="CR30" s="42">
        <f t="shared" si="29"/>
        <v>0</v>
      </c>
      <c r="CS30" s="42">
        <f t="shared" si="29"/>
        <v>0</v>
      </c>
      <c r="CT30" s="42">
        <f t="shared" si="29"/>
        <v>0</v>
      </c>
      <c r="CU30" s="42">
        <f t="shared" si="29"/>
        <v>0</v>
      </c>
      <c r="CV30" s="42">
        <f t="shared" si="29"/>
        <v>0</v>
      </c>
      <c r="CW30" s="42">
        <f t="shared" si="29"/>
        <v>0</v>
      </c>
      <c r="CX30" s="42">
        <f t="shared" si="29"/>
        <v>0</v>
      </c>
      <c r="CY30" s="42">
        <f t="shared" si="29"/>
        <v>0</v>
      </c>
      <c r="CZ30" s="42">
        <f t="shared" si="29"/>
        <v>0</v>
      </c>
      <c r="DA30" s="42">
        <f t="shared" si="29"/>
        <v>0</v>
      </c>
      <c r="DB30" s="42">
        <f t="shared" si="29"/>
        <v>0</v>
      </c>
      <c r="DC30" s="42">
        <f t="shared" si="29"/>
        <v>0</v>
      </c>
      <c r="DD30" s="42">
        <f t="shared" si="29"/>
        <v>0</v>
      </c>
      <c r="DE30" s="42">
        <f t="shared" si="29"/>
        <v>0</v>
      </c>
      <c r="DF30" s="42">
        <f t="shared" si="29"/>
        <v>0</v>
      </c>
      <c r="DG30" s="42">
        <f t="shared" si="29"/>
        <v>0</v>
      </c>
      <c r="DH30" s="42">
        <f t="shared" si="29"/>
        <v>0</v>
      </c>
      <c r="DI30" s="42">
        <f t="shared" si="29"/>
        <v>0</v>
      </c>
      <c r="DJ30" s="42">
        <f t="shared" si="29"/>
        <v>0</v>
      </c>
      <c r="DK30" s="42">
        <f t="shared" si="29"/>
        <v>0</v>
      </c>
      <c r="DL30" s="42">
        <f t="shared" si="29"/>
        <v>0</v>
      </c>
      <c r="DM30" s="42">
        <f t="shared" si="29"/>
        <v>0</v>
      </c>
      <c r="DN30" s="42">
        <f t="shared" si="29"/>
        <v>0</v>
      </c>
      <c r="DO30" s="42">
        <f t="shared" si="29"/>
        <v>0</v>
      </c>
      <c r="DP30" s="42">
        <f t="shared" si="29"/>
        <v>0</v>
      </c>
      <c r="DQ30" s="42">
        <f t="shared" si="29"/>
        <v>0</v>
      </c>
      <c r="DR30" s="42">
        <f t="shared" si="29"/>
        <v>0</v>
      </c>
      <c r="DS30" s="42">
        <f t="shared" si="29"/>
        <v>0</v>
      </c>
      <c r="DT30" s="42">
        <f t="shared" si="29"/>
        <v>0</v>
      </c>
      <c r="DU30" s="42">
        <f t="shared" si="29"/>
        <v>0</v>
      </c>
      <c r="DV30" s="42">
        <f t="shared" si="29"/>
        <v>0</v>
      </c>
      <c r="DW30" s="42">
        <f t="shared" si="29"/>
        <v>0</v>
      </c>
      <c r="DX30" s="42">
        <f t="shared" si="29"/>
        <v>0</v>
      </c>
      <c r="DY30" s="42">
        <f t="shared" si="29"/>
        <v>0</v>
      </c>
      <c r="DZ30" s="42">
        <f t="shared" si="29"/>
        <v>0</v>
      </c>
      <c r="EA30" s="42">
        <f t="shared" si="29"/>
        <v>0</v>
      </c>
      <c r="EB30" s="42">
        <f t="shared" si="29"/>
        <v>0</v>
      </c>
      <c r="EC30" s="42">
        <f t="shared" si="29"/>
        <v>0</v>
      </c>
      <c r="ED30" s="42">
        <f t="shared" si="29"/>
        <v>0</v>
      </c>
      <c r="EE30" s="42">
        <f t="shared" si="29"/>
        <v>0</v>
      </c>
      <c r="EF30" s="42">
        <f t="shared" si="29"/>
        <v>0</v>
      </c>
      <c r="EG30" s="42">
        <f t="shared" si="29"/>
        <v>0</v>
      </c>
      <c r="EH30" s="42">
        <f t="shared" si="29"/>
        <v>0</v>
      </c>
      <c r="EI30" s="42">
        <f t="shared" si="29"/>
        <v>0</v>
      </c>
      <c r="EJ30" s="42">
        <f t="shared" si="29"/>
        <v>0</v>
      </c>
      <c r="EK30" s="42">
        <f t="shared" si="29"/>
        <v>0</v>
      </c>
      <c r="EL30" s="42">
        <f t="shared" si="29"/>
        <v>0</v>
      </c>
      <c r="EM30" s="42">
        <f t="shared" si="29"/>
        <v>0</v>
      </c>
      <c r="EN30" s="42">
        <f t="shared" si="29"/>
        <v>0</v>
      </c>
      <c r="EO30" s="42">
        <f t="shared" si="29"/>
        <v>0</v>
      </c>
      <c r="EP30" s="42">
        <f t="shared" si="29"/>
        <v>0</v>
      </c>
      <c r="EQ30" s="42">
        <f t="shared" si="28"/>
        <v>0</v>
      </c>
      <c r="ER30" s="42">
        <f t="shared" si="27"/>
        <v>0</v>
      </c>
      <c r="ES30" s="42">
        <f t="shared" si="27"/>
        <v>0</v>
      </c>
      <c r="ET30" s="42">
        <f t="shared" si="32"/>
        <v>0</v>
      </c>
      <c r="EU30" s="42">
        <f t="shared" si="32"/>
        <v>0</v>
      </c>
      <c r="EV30" s="42">
        <f t="shared" si="32"/>
        <v>0</v>
      </c>
      <c r="EW30" s="42">
        <f t="shared" si="32"/>
        <v>0</v>
      </c>
      <c r="EX30" s="42">
        <f t="shared" si="32"/>
        <v>0</v>
      </c>
      <c r="EY30" s="42">
        <f t="shared" si="32"/>
        <v>0</v>
      </c>
      <c r="EZ30" s="42">
        <f t="shared" si="32"/>
        <v>0</v>
      </c>
      <c r="FA30" s="42">
        <f t="shared" si="32"/>
        <v>0</v>
      </c>
      <c r="FB30" s="42">
        <f t="shared" si="32"/>
        <v>0</v>
      </c>
      <c r="FC30" s="42">
        <f t="shared" si="32"/>
        <v>0</v>
      </c>
      <c r="FD30" s="42">
        <f t="shared" si="32"/>
        <v>0</v>
      </c>
      <c r="FE30" s="42">
        <f t="shared" si="32"/>
        <v>0</v>
      </c>
      <c r="FF30" s="42">
        <f t="shared" si="32"/>
        <v>0</v>
      </c>
      <c r="FG30" s="42">
        <f t="shared" si="32"/>
        <v>0</v>
      </c>
      <c r="FH30" s="42">
        <f t="shared" si="32"/>
        <v>0</v>
      </c>
      <c r="FI30" s="42">
        <f t="shared" si="32"/>
        <v>0</v>
      </c>
      <c r="FJ30" s="42">
        <f t="shared" si="32"/>
        <v>0</v>
      </c>
      <c r="FK30" s="42">
        <f t="shared" si="32"/>
        <v>0</v>
      </c>
      <c r="FL30" s="42">
        <f t="shared" si="32"/>
        <v>0</v>
      </c>
      <c r="FM30" s="42">
        <f t="shared" si="32"/>
        <v>0</v>
      </c>
      <c r="FN30" s="42">
        <f t="shared" si="32"/>
        <v>0</v>
      </c>
      <c r="FO30" s="42">
        <f t="shared" si="32"/>
        <v>0</v>
      </c>
      <c r="FP30" s="42">
        <f t="shared" si="32"/>
        <v>0</v>
      </c>
      <c r="FQ30" s="42">
        <f t="shared" si="32"/>
        <v>0</v>
      </c>
      <c r="FR30" s="42">
        <f t="shared" si="32"/>
        <v>0</v>
      </c>
      <c r="FS30" s="42">
        <f t="shared" si="32"/>
        <v>0</v>
      </c>
      <c r="FT30" s="42">
        <f t="shared" si="32"/>
        <v>0</v>
      </c>
      <c r="FU30" s="42">
        <f t="shared" si="32"/>
        <v>0</v>
      </c>
      <c r="FV30" s="42">
        <f t="shared" si="32"/>
        <v>0</v>
      </c>
      <c r="FW30" s="42">
        <f t="shared" si="32"/>
        <v>0</v>
      </c>
      <c r="FX30" s="42">
        <f t="shared" si="32"/>
        <v>0</v>
      </c>
      <c r="FY30" s="42">
        <f t="shared" si="32"/>
        <v>0</v>
      </c>
      <c r="FZ30" s="42">
        <f t="shared" si="32"/>
        <v>0</v>
      </c>
      <c r="GA30" s="42">
        <f t="shared" si="32"/>
        <v>0</v>
      </c>
      <c r="GB30" s="42">
        <f t="shared" si="32"/>
        <v>0</v>
      </c>
      <c r="GC30" s="42">
        <f t="shared" si="32"/>
        <v>0</v>
      </c>
      <c r="GD30" s="42">
        <f t="shared" si="32"/>
        <v>0</v>
      </c>
      <c r="GE30" s="42">
        <f t="shared" si="32"/>
        <v>0</v>
      </c>
      <c r="GF30" s="42">
        <f t="shared" si="32"/>
        <v>0</v>
      </c>
      <c r="GG30" s="42">
        <f t="shared" si="32"/>
        <v>0</v>
      </c>
      <c r="GH30" s="42">
        <f t="shared" si="32"/>
        <v>0</v>
      </c>
    </row>
    <row r="31" spans="2:190" ht="14.5" thickBot="1">
      <c r="B31" s="43" t="s">
        <v>236</v>
      </c>
      <c r="C31" s="31">
        <v>44175</v>
      </c>
      <c r="D31" s="31">
        <v>47827</v>
      </c>
      <c r="E31" s="32">
        <v>1.5</v>
      </c>
      <c r="F31" s="33" t="s">
        <v>24</v>
      </c>
      <c r="G31" s="34">
        <v>86.47</v>
      </c>
      <c r="H31" s="34">
        <v>2632</v>
      </c>
      <c r="I31" s="32">
        <v>4.0430000000000001</v>
      </c>
      <c r="J31" s="35">
        <v>8468.36</v>
      </c>
      <c r="K31" s="44" cm="1">
        <f t="array" ref="K31">_xlfn.LET(
    _xlpm.settle,$B$3,
    _xlpm.mat,$D31,
    _xlpm.coupon,10000*$E31/200,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44.26229508196721</v>
      </c>
      <c r="L31" s="37">
        <f t="shared" si="3"/>
        <v>8512.6222950819683</v>
      </c>
      <c r="M31" s="120">
        <v>0.75313577584262281</v>
      </c>
      <c r="N31" s="45">
        <f t="shared" si="4"/>
        <v>3.931651227011241E-2</v>
      </c>
      <c r="O31" s="99">
        <f t="shared" si="5"/>
        <v>8512.6214841040764</v>
      </c>
      <c r="P31" s="39">
        <f t="shared" si="6"/>
        <v>-8.1097789188788738E-4</v>
      </c>
      <c r="R31" s="41">
        <f t="shared" si="10"/>
        <v>86</v>
      </c>
      <c r="S31" s="42">
        <f t="shared" si="25"/>
        <v>75</v>
      </c>
      <c r="T31" s="42">
        <f t="shared" si="30"/>
        <v>0</v>
      </c>
      <c r="U31" s="42">
        <f t="shared" si="30"/>
        <v>75</v>
      </c>
      <c r="V31" s="42">
        <f t="shared" si="30"/>
        <v>0</v>
      </c>
      <c r="W31" s="42">
        <f t="shared" si="30"/>
        <v>75</v>
      </c>
      <c r="X31" s="42">
        <f t="shared" si="30"/>
        <v>0</v>
      </c>
      <c r="Y31" s="42">
        <f t="shared" si="30"/>
        <v>75</v>
      </c>
      <c r="Z31" s="42">
        <f t="shared" si="30"/>
        <v>0</v>
      </c>
      <c r="AA31" s="42">
        <f t="shared" si="30"/>
        <v>75</v>
      </c>
      <c r="AB31" s="42">
        <f t="shared" si="30"/>
        <v>0</v>
      </c>
      <c r="AC31" s="42">
        <f t="shared" si="30"/>
        <v>75</v>
      </c>
      <c r="AD31" s="42">
        <f t="shared" si="30"/>
        <v>0</v>
      </c>
      <c r="AE31" s="42">
        <f t="shared" si="30"/>
        <v>75</v>
      </c>
      <c r="AF31" s="42">
        <f t="shared" si="30"/>
        <v>0</v>
      </c>
      <c r="AG31" s="42">
        <f t="shared" si="30"/>
        <v>75</v>
      </c>
      <c r="AH31" s="42">
        <f t="shared" si="30"/>
        <v>0</v>
      </c>
      <c r="AI31" s="42">
        <f t="shared" si="30"/>
        <v>75</v>
      </c>
      <c r="AJ31" s="42">
        <f t="shared" si="30"/>
        <v>0</v>
      </c>
      <c r="AK31" s="42">
        <f t="shared" si="30"/>
        <v>75</v>
      </c>
      <c r="AL31" s="42">
        <f t="shared" si="30"/>
        <v>0</v>
      </c>
      <c r="AM31" s="42">
        <f t="shared" si="30"/>
        <v>75</v>
      </c>
      <c r="AN31" s="42">
        <f t="shared" si="30"/>
        <v>0</v>
      </c>
      <c r="AO31" s="42">
        <f t="shared" si="30"/>
        <v>75</v>
      </c>
      <c r="AP31" s="42">
        <f t="shared" si="30"/>
        <v>0</v>
      </c>
      <c r="AQ31" s="42">
        <f t="shared" si="30"/>
        <v>75</v>
      </c>
      <c r="AR31" s="42">
        <f t="shared" si="30"/>
        <v>0</v>
      </c>
      <c r="AS31" s="42">
        <f t="shared" si="30"/>
        <v>75</v>
      </c>
      <c r="AT31" s="42">
        <f t="shared" si="30"/>
        <v>0</v>
      </c>
      <c r="AU31" s="42">
        <f t="shared" si="30"/>
        <v>10075</v>
      </c>
      <c r="AV31" s="42">
        <f t="shared" si="30"/>
        <v>0</v>
      </c>
      <c r="AW31" s="42">
        <f t="shared" si="30"/>
        <v>0</v>
      </c>
      <c r="AX31" s="42">
        <f t="shared" si="30"/>
        <v>0</v>
      </c>
      <c r="AY31" s="42">
        <f t="shared" si="30"/>
        <v>0</v>
      </c>
      <c r="AZ31" s="42">
        <f t="shared" si="30"/>
        <v>0</v>
      </c>
      <c r="BA31" s="42">
        <f t="shared" si="30"/>
        <v>0</v>
      </c>
      <c r="BB31" s="42">
        <f t="shared" si="30"/>
        <v>0</v>
      </c>
      <c r="BC31" s="42">
        <f t="shared" si="30"/>
        <v>0</v>
      </c>
      <c r="BD31" s="42">
        <f t="shared" si="30"/>
        <v>0</v>
      </c>
      <c r="BE31" s="42">
        <f t="shared" si="30"/>
        <v>0</v>
      </c>
      <c r="BF31" s="42">
        <f t="shared" si="30"/>
        <v>0</v>
      </c>
      <c r="BG31" s="42">
        <f t="shared" si="30"/>
        <v>0</v>
      </c>
      <c r="BH31" s="42">
        <f t="shared" si="30"/>
        <v>0</v>
      </c>
      <c r="BI31" s="42">
        <f t="shared" si="30"/>
        <v>0</v>
      </c>
      <c r="BJ31" s="42">
        <f t="shared" si="30"/>
        <v>0</v>
      </c>
      <c r="BK31" s="42">
        <f t="shared" si="30"/>
        <v>0</v>
      </c>
      <c r="BL31" s="42">
        <f t="shared" si="30"/>
        <v>0</v>
      </c>
      <c r="BM31" s="42">
        <f t="shared" si="30"/>
        <v>0</v>
      </c>
      <c r="BN31" s="42">
        <f t="shared" si="30"/>
        <v>0</v>
      </c>
      <c r="BO31" s="42">
        <f t="shared" si="30"/>
        <v>0</v>
      </c>
      <c r="BP31" s="42">
        <f t="shared" si="30"/>
        <v>0</v>
      </c>
      <c r="BQ31" s="42">
        <f t="shared" si="30"/>
        <v>0</v>
      </c>
      <c r="BR31" s="42">
        <f t="shared" si="30"/>
        <v>0</v>
      </c>
      <c r="BS31" s="42">
        <f t="shared" si="30"/>
        <v>0</v>
      </c>
      <c r="BT31" s="42">
        <f t="shared" si="30"/>
        <v>0</v>
      </c>
      <c r="BU31" s="42">
        <f t="shared" si="30"/>
        <v>0</v>
      </c>
      <c r="BV31" s="42">
        <f t="shared" si="30"/>
        <v>0</v>
      </c>
      <c r="BW31" s="42">
        <f t="shared" si="30"/>
        <v>0</v>
      </c>
      <c r="BX31" s="42">
        <f t="shared" si="30"/>
        <v>0</v>
      </c>
      <c r="BY31" s="42">
        <f t="shared" si="30"/>
        <v>0</v>
      </c>
      <c r="BZ31" s="42">
        <f t="shared" si="30"/>
        <v>0</v>
      </c>
      <c r="CA31" s="42">
        <f t="shared" si="30"/>
        <v>0</v>
      </c>
      <c r="CB31" s="42">
        <f t="shared" si="30"/>
        <v>0</v>
      </c>
      <c r="CC31" s="42">
        <f t="shared" si="30"/>
        <v>0</v>
      </c>
      <c r="CD31" s="42">
        <f t="shared" si="30"/>
        <v>0</v>
      </c>
      <c r="CE31" s="42">
        <f t="shared" ref="CE31:EP34" si="33">IF(
    CE$6=$R31,
    10000+10000*$E31/200,
    IF(
        AND(CE$6&lt;$R31,MOD($R31-CE$6,6)=0),
        10000*$E31/200,
        0
    )
)</f>
        <v>0</v>
      </c>
      <c r="CF31" s="42">
        <f t="shared" si="33"/>
        <v>0</v>
      </c>
      <c r="CG31" s="42">
        <f t="shared" si="33"/>
        <v>0</v>
      </c>
      <c r="CH31" s="42">
        <f t="shared" si="33"/>
        <v>0</v>
      </c>
      <c r="CI31" s="42">
        <f t="shared" si="33"/>
        <v>0</v>
      </c>
      <c r="CJ31" s="42">
        <f t="shared" si="33"/>
        <v>0</v>
      </c>
      <c r="CK31" s="42">
        <f t="shared" si="33"/>
        <v>0</v>
      </c>
      <c r="CL31" s="42">
        <f t="shared" si="33"/>
        <v>0</v>
      </c>
      <c r="CM31" s="42">
        <f t="shared" si="33"/>
        <v>0</v>
      </c>
      <c r="CN31" s="42">
        <f t="shared" si="33"/>
        <v>0</v>
      </c>
      <c r="CO31" s="42">
        <f t="shared" si="33"/>
        <v>0</v>
      </c>
      <c r="CP31" s="42">
        <f t="shared" si="33"/>
        <v>0</v>
      </c>
      <c r="CQ31" s="42">
        <f t="shared" si="33"/>
        <v>0</v>
      </c>
      <c r="CR31" s="42">
        <f t="shared" si="33"/>
        <v>0</v>
      </c>
      <c r="CS31" s="42">
        <f t="shared" si="33"/>
        <v>0</v>
      </c>
      <c r="CT31" s="42">
        <f t="shared" si="33"/>
        <v>0</v>
      </c>
      <c r="CU31" s="42">
        <f t="shared" si="33"/>
        <v>0</v>
      </c>
      <c r="CV31" s="42">
        <f t="shared" si="33"/>
        <v>0</v>
      </c>
      <c r="CW31" s="42">
        <f t="shared" si="33"/>
        <v>0</v>
      </c>
      <c r="CX31" s="42">
        <f t="shared" si="33"/>
        <v>0</v>
      </c>
      <c r="CY31" s="42">
        <f t="shared" si="33"/>
        <v>0</v>
      </c>
      <c r="CZ31" s="42">
        <f t="shared" si="33"/>
        <v>0</v>
      </c>
      <c r="DA31" s="42">
        <f t="shared" si="33"/>
        <v>0</v>
      </c>
      <c r="DB31" s="42">
        <f t="shared" si="33"/>
        <v>0</v>
      </c>
      <c r="DC31" s="42">
        <f t="shared" si="33"/>
        <v>0</v>
      </c>
      <c r="DD31" s="42">
        <f t="shared" si="33"/>
        <v>0</v>
      </c>
      <c r="DE31" s="42">
        <f t="shared" si="33"/>
        <v>0</v>
      </c>
      <c r="DF31" s="42">
        <f t="shared" si="33"/>
        <v>0</v>
      </c>
      <c r="DG31" s="42">
        <f t="shared" si="33"/>
        <v>0</v>
      </c>
      <c r="DH31" s="42">
        <f t="shared" si="33"/>
        <v>0</v>
      </c>
      <c r="DI31" s="42">
        <f t="shared" si="33"/>
        <v>0</v>
      </c>
      <c r="DJ31" s="42">
        <f t="shared" si="33"/>
        <v>0</v>
      </c>
      <c r="DK31" s="42">
        <f t="shared" si="33"/>
        <v>0</v>
      </c>
      <c r="DL31" s="42">
        <f t="shared" si="33"/>
        <v>0</v>
      </c>
      <c r="DM31" s="42">
        <f t="shared" si="33"/>
        <v>0</v>
      </c>
      <c r="DN31" s="42">
        <f t="shared" si="33"/>
        <v>0</v>
      </c>
      <c r="DO31" s="42">
        <f t="shared" si="33"/>
        <v>0</v>
      </c>
      <c r="DP31" s="42">
        <f t="shared" si="33"/>
        <v>0</v>
      </c>
      <c r="DQ31" s="42">
        <f t="shared" si="33"/>
        <v>0</v>
      </c>
      <c r="DR31" s="42">
        <f t="shared" si="33"/>
        <v>0</v>
      </c>
      <c r="DS31" s="42">
        <f t="shared" si="33"/>
        <v>0</v>
      </c>
      <c r="DT31" s="42">
        <f t="shared" si="33"/>
        <v>0</v>
      </c>
      <c r="DU31" s="42">
        <f t="shared" si="33"/>
        <v>0</v>
      </c>
      <c r="DV31" s="42">
        <f t="shared" si="33"/>
        <v>0</v>
      </c>
      <c r="DW31" s="42">
        <f t="shared" si="33"/>
        <v>0</v>
      </c>
      <c r="DX31" s="42">
        <f t="shared" si="33"/>
        <v>0</v>
      </c>
      <c r="DY31" s="42">
        <f t="shared" si="33"/>
        <v>0</v>
      </c>
      <c r="DZ31" s="42">
        <f t="shared" si="33"/>
        <v>0</v>
      </c>
      <c r="EA31" s="42">
        <f t="shared" si="33"/>
        <v>0</v>
      </c>
      <c r="EB31" s="42">
        <f t="shared" si="33"/>
        <v>0</v>
      </c>
      <c r="EC31" s="42">
        <f t="shared" si="33"/>
        <v>0</v>
      </c>
      <c r="ED31" s="42">
        <f t="shared" si="33"/>
        <v>0</v>
      </c>
      <c r="EE31" s="42">
        <f t="shared" si="33"/>
        <v>0</v>
      </c>
      <c r="EF31" s="42">
        <f t="shared" si="33"/>
        <v>0</v>
      </c>
      <c r="EG31" s="42">
        <f t="shared" si="33"/>
        <v>0</v>
      </c>
      <c r="EH31" s="42">
        <f t="shared" si="33"/>
        <v>0</v>
      </c>
      <c r="EI31" s="42">
        <f t="shared" si="33"/>
        <v>0</v>
      </c>
      <c r="EJ31" s="42">
        <f t="shared" si="33"/>
        <v>0</v>
      </c>
      <c r="EK31" s="42">
        <f t="shared" si="33"/>
        <v>0</v>
      </c>
      <c r="EL31" s="42">
        <f t="shared" si="33"/>
        <v>0</v>
      </c>
      <c r="EM31" s="42">
        <f t="shared" si="33"/>
        <v>0</v>
      </c>
      <c r="EN31" s="42">
        <f t="shared" si="33"/>
        <v>0</v>
      </c>
      <c r="EO31" s="42">
        <f t="shared" si="33"/>
        <v>0</v>
      </c>
      <c r="EP31" s="42">
        <f t="shared" si="33"/>
        <v>0</v>
      </c>
      <c r="EQ31" s="42">
        <f t="shared" si="28"/>
        <v>0</v>
      </c>
      <c r="ER31" s="42">
        <f t="shared" si="27"/>
        <v>0</v>
      </c>
      <c r="ES31" s="42">
        <f t="shared" si="27"/>
        <v>0</v>
      </c>
      <c r="ET31" s="42">
        <f t="shared" si="32"/>
        <v>0</v>
      </c>
      <c r="EU31" s="42">
        <f t="shared" si="32"/>
        <v>0</v>
      </c>
      <c r="EV31" s="42">
        <f t="shared" si="32"/>
        <v>0</v>
      </c>
      <c r="EW31" s="42">
        <f t="shared" si="32"/>
        <v>0</v>
      </c>
      <c r="EX31" s="42">
        <f t="shared" si="32"/>
        <v>0</v>
      </c>
      <c r="EY31" s="42">
        <f t="shared" si="32"/>
        <v>0</v>
      </c>
      <c r="EZ31" s="42">
        <f t="shared" si="32"/>
        <v>0</v>
      </c>
      <c r="FA31" s="42">
        <f t="shared" si="32"/>
        <v>0</v>
      </c>
      <c r="FB31" s="42">
        <f t="shared" si="32"/>
        <v>0</v>
      </c>
      <c r="FC31" s="42">
        <f t="shared" si="32"/>
        <v>0</v>
      </c>
      <c r="FD31" s="42">
        <f t="shared" si="32"/>
        <v>0</v>
      </c>
      <c r="FE31" s="42">
        <f t="shared" si="32"/>
        <v>0</v>
      </c>
      <c r="FF31" s="42">
        <f t="shared" si="32"/>
        <v>0</v>
      </c>
      <c r="FG31" s="42">
        <f t="shared" si="32"/>
        <v>0</v>
      </c>
      <c r="FH31" s="42">
        <f t="shared" si="32"/>
        <v>0</v>
      </c>
      <c r="FI31" s="42">
        <f t="shared" si="32"/>
        <v>0</v>
      </c>
      <c r="FJ31" s="42">
        <f t="shared" si="32"/>
        <v>0</v>
      </c>
      <c r="FK31" s="42">
        <f t="shared" si="32"/>
        <v>0</v>
      </c>
      <c r="FL31" s="42">
        <f t="shared" si="32"/>
        <v>0</v>
      </c>
      <c r="FM31" s="42">
        <f t="shared" si="32"/>
        <v>0</v>
      </c>
      <c r="FN31" s="42">
        <f t="shared" si="32"/>
        <v>0</v>
      </c>
      <c r="FO31" s="42">
        <f t="shared" si="32"/>
        <v>0</v>
      </c>
      <c r="FP31" s="42">
        <f t="shared" si="32"/>
        <v>0</v>
      </c>
      <c r="FQ31" s="42">
        <f t="shared" si="32"/>
        <v>0</v>
      </c>
      <c r="FR31" s="42">
        <f t="shared" si="32"/>
        <v>0</v>
      </c>
      <c r="FS31" s="42">
        <f t="shared" si="32"/>
        <v>0</v>
      </c>
      <c r="FT31" s="42">
        <f t="shared" si="32"/>
        <v>0</v>
      </c>
      <c r="FU31" s="42">
        <f t="shared" si="32"/>
        <v>0</v>
      </c>
      <c r="FV31" s="42">
        <f t="shared" si="32"/>
        <v>0</v>
      </c>
      <c r="FW31" s="42">
        <f t="shared" si="32"/>
        <v>0</v>
      </c>
      <c r="FX31" s="42">
        <f t="shared" si="32"/>
        <v>0</v>
      </c>
      <c r="FY31" s="42">
        <f t="shared" si="32"/>
        <v>0</v>
      </c>
      <c r="FZ31" s="42">
        <f t="shared" si="32"/>
        <v>0</v>
      </c>
      <c r="GA31" s="42">
        <f t="shared" si="32"/>
        <v>0</v>
      </c>
      <c r="GB31" s="42">
        <f t="shared" si="32"/>
        <v>0</v>
      </c>
      <c r="GC31" s="42">
        <f t="shared" si="32"/>
        <v>0</v>
      </c>
      <c r="GD31" s="42">
        <f t="shared" si="32"/>
        <v>0</v>
      </c>
      <c r="GE31" s="42">
        <f t="shared" si="32"/>
        <v>0</v>
      </c>
      <c r="GF31" s="42">
        <f t="shared" si="32"/>
        <v>0</v>
      </c>
      <c r="GG31" s="42">
        <f t="shared" si="32"/>
        <v>0</v>
      </c>
      <c r="GH31" s="42">
        <f t="shared" si="32"/>
        <v>0</v>
      </c>
    </row>
    <row r="32" spans="2:190" ht="14.5" thickBot="1">
      <c r="B32" s="43" t="s">
        <v>237</v>
      </c>
      <c r="C32" s="31">
        <v>44357</v>
      </c>
      <c r="D32" s="31">
        <v>48009</v>
      </c>
      <c r="E32" s="32">
        <v>2</v>
      </c>
      <c r="F32" s="33" t="s">
        <v>25</v>
      </c>
      <c r="G32" s="34">
        <v>92.47</v>
      </c>
      <c r="H32" s="34">
        <v>2813</v>
      </c>
      <c r="I32" s="32">
        <v>4.0510000000000002</v>
      </c>
      <c r="J32" s="35">
        <v>8713.44</v>
      </c>
      <c r="K32" s="44" cm="1">
        <f t="array" ref="K32">_xlfn.LET(
    _xlpm.settle,$B$3,
    _xlpm.mat,$D32,
    _xlpm.coupon,10000*$E32/200,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59.016393442622949</v>
      </c>
      <c r="L32" s="37">
        <f t="shared" si="3"/>
        <v>8772.4563934426242</v>
      </c>
      <c r="M32" s="120">
        <v>0.73902015754874384</v>
      </c>
      <c r="N32" s="45">
        <f t="shared" si="4"/>
        <v>3.9241727617972608E-2</v>
      </c>
      <c r="O32" s="99">
        <f t="shared" si="5"/>
        <v>8772.4552254794435</v>
      </c>
      <c r="P32" s="39">
        <f t="shared" si="6"/>
        <v>-1.1679631807055557E-3</v>
      </c>
      <c r="R32" s="41">
        <f t="shared" si="10"/>
        <v>92</v>
      </c>
      <c r="S32" s="42">
        <f t="shared" si="25"/>
        <v>100</v>
      </c>
      <c r="T32" s="42">
        <f t="shared" ref="T32:CE35" si="34">IF(
    T$6=$R32,
    10000+10000*$E32/200,
    IF(
        AND(T$6&lt;$R32,MOD($R32-T$6,6)=0),
        10000*$E32/200,
        0
    )
)</f>
        <v>0</v>
      </c>
      <c r="U32" s="42">
        <f t="shared" si="34"/>
        <v>100</v>
      </c>
      <c r="V32" s="42">
        <f t="shared" si="34"/>
        <v>0</v>
      </c>
      <c r="W32" s="42">
        <f t="shared" si="34"/>
        <v>100</v>
      </c>
      <c r="X32" s="42">
        <f t="shared" si="34"/>
        <v>0</v>
      </c>
      <c r="Y32" s="42">
        <f t="shared" si="34"/>
        <v>100</v>
      </c>
      <c r="Z32" s="42">
        <f t="shared" si="34"/>
        <v>0</v>
      </c>
      <c r="AA32" s="42">
        <f t="shared" si="34"/>
        <v>100</v>
      </c>
      <c r="AB32" s="42">
        <f t="shared" si="34"/>
        <v>0</v>
      </c>
      <c r="AC32" s="42">
        <f t="shared" si="34"/>
        <v>100</v>
      </c>
      <c r="AD32" s="42">
        <f t="shared" si="34"/>
        <v>0</v>
      </c>
      <c r="AE32" s="42">
        <f t="shared" si="34"/>
        <v>100</v>
      </c>
      <c r="AF32" s="42">
        <f t="shared" si="34"/>
        <v>0</v>
      </c>
      <c r="AG32" s="42">
        <f t="shared" si="34"/>
        <v>100</v>
      </c>
      <c r="AH32" s="42">
        <f t="shared" si="34"/>
        <v>0</v>
      </c>
      <c r="AI32" s="42">
        <f t="shared" si="34"/>
        <v>100</v>
      </c>
      <c r="AJ32" s="42">
        <f t="shared" si="34"/>
        <v>0</v>
      </c>
      <c r="AK32" s="42">
        <f t="shared" si="34"/>
        <v>100</v>
      </c>
      <c r="AL32" s="42">
        <f t="shared" si="34"/>
        <v>0</v>
      </c>
      <c r="AM32" s="42">
        <f t="shared" si="34"/>
        <v>100</v>
      </c>
      <c r="AN32" s="42">
        <f t="shared" si="34"/>
        <v>0</v>
      </c>
      <c r="AO32" s="42">
        <f t="shared" si="34"/>
        <v>100</v>
      </c>
      <c r="AP32" s="42">
        <f t="shared" si="34"/>
        <v>0</v>
      </c>
      <c r="AQ32" s="42">
        <f t="shared" si="34"/>
        <v>100</v>
      </c>
      <c r="AR32" s="42">
        <f t="shared" si="34"/>
        <v>0</v>
      </c>
      <c r="AS32" s="42">
        <f t="shared" si="34"/>
        <v>100</v>
      </c>
      <c r="AT32" s="42">
        <f t="shared" si="34"/>
        <v>0</v>
      </c>
      <c r="AU32" s="42">
        <f t="shared" si="34"/>
        <v>100</v>
      </c>
      <c r="AV32" s="42">
        <f t="shared" si="34"/>
        <v>0</v>
      </c>
      <c r="AW32" s="42">
        <f t="shared" si="34"/>
        <v>10100</v>
      </c>
      <c r="AX32" s="42">
        <f t="shared" si="34"/>
        <v>0</v>
      </c>
      <c r="AY32" s="42">
        <f t="shared" si="34"/>
        <v>0</v>
      </c>
      <c r="AZ32" s="42">
        <f t="shared" si="34"/>
        <v>0</v>
      </c>
      <c r="BA32" s="42">
        <f t="shared" si="34"/>
        <v>0</v>
      </c>
      <c r="BB32" s="42">
        <f t="shared" si="34"/>
        <v>0</v>
      </c>
      <c r="BC32" s="42">
        <f t="shared" si="34"/>
        <v>0</v>
      </c>
      <c r="BD32" s="42">
        <f t="shared" si="34"/>
        <v>0</v>
      </c>
      <c r="BE32" s="42">
        <f t="shared" si="34"/>
        <v>0</v>
      </c>
      <c r="BF32" s="42">
        <f t="shared" si="34"/>
        <v>0</v>
      </c>
      <c r="BG32" s="42">
        <f t="shared" si="34"/>
        <v>0</v>
      </c>
      <c r="BH32" s="42">
        <f t="shared" si="34"/>
        <v>0</v>
      </c>
      <c r="BI32" s="42">
        <f t="shared" si="34"/>
        <v>0</v>
      </c>
      <c r="BJ32" s="42">
        <f t="shared" si="34"/>
        <v>0</v>
      </c>
      <c r="BK32" s="42">
        <f t="shared" si="34"/>
        <v>0</v>
      </c>
      <c r="BL32" s="42">
        <f t="shared" si="34"/>
        <v>0</v>
      </c>
      <c r="BM32" s="42">
        <f t="shared" si="34"/>
        <v>0</v>
      </c>
      <c r="BN32" s="42">
        <f t="shared" si="34"/>
        <v>0</v>
      </c>
      <c r="BO32" s="42">
        <f t="shared" si="34"/>
        <v>0</v>
      </c>
      <c r="BP32" s="42">
        <f t="shared" si="34"/>
        <v>0</v>
      </c>
      <c r="BQ32" s="42">
        <f t="shared" si="34"/>
        <v>0</v>
      </c>
      <c r="BR32" s="42">
        <f t="shared" si="34"/>
        <v>0</v>
      </c>
      <c r="BS32" s="42">
        <f t="shared" si="34"/>
        <v>0</v>
      </c>
      <c r="BT32" s="42">
        <f t="shared" si="34"/>
        <v>0</v>
      </c>
      <c r="BU32" s="42">
        <f t="shared" si="34"/>
        <v>0</v>
      </c>
      <c r="BV32" s="42">
        <f t="shared" si="34"/>
        <v>0</v>
      </c>
      <c r="BW32" s="42">
        <f t="shared" si="34"/>
        <v>0</v>
      </c>
      <c r="BX32" s="42">
        <f t="shared" si="34"/>
        <v>0</v>
      </c>
      <c r="BY32" s="42">
        <f t="shared" si="34"/>
        <v>0</v>
      </c>
      <c r="BZ32" s="42">
        <f t="shared" si="34"/>
        <v>0</v>
      </c>
      <c r="CA32" s="42">
        <f t="shared" si="34"/>
        <v>0</v>
      </c>
      <c r="CB32" s="42">
        <f t="shared" si="34"/>
        <v>0</v>
      </c>
      <c r="CC32" s="42">
        <f t="shared" si="34"/>
        <v>0</v>
      </c>
      <c r="CD32" s="42">
        <f t="shared" si="34"/>
        <v>0</v>
      </c>
      <c r="CE32" s="42">
        <f t="shared" si="34"/>
        <v>0</v>
      </c>
      <c r="CF32" s="42">
        <f t="shared" si="33"/>
        <v>0</v>
      </c>
      <c r="CG32" s="42">
        <f t="shared" si="33"/>
        <v>0</v>
      </c>
      <c r="CH32" s="42">
        <f t="shared" si="33"/>
        <v>0</v>
      </c>
      <c r="CI32" s="42">
        <f t="shared" si="33"/>
        <v>0</v>
      </c>
      <c r="CJ32" s="42">
        <f t="shared" si="33"/>
        <v>0</v>
      </c>
      <c r="CK32" s="42">
        <f t="shared" si="33"/>
        <v>0</v>
      </c>
      <c r="CL32" s="42">
        <f t="shared" si="33"/>
        <v>0</v>
      </c>
      <c r="CM32" s="42">
        <f t="shared" si="33"/>
        <v>0</v>
      </c>
      <c r="CN32" s="42">
        <f t="shared" si="33"/>
        <v>0</v>
      </c>
      <c r="CO32" s="42">
        <f t="shared" si="33"/>
        <v>0</v>
      </c>
      <c r="CP32" s="42">
        <f t="shared" si="33"/>
        <v>0</v>
      </c>
      <c r="CQ32" s="42">
        <f t="shared" si="33"/>
        <v>0</v>
      </c>
      <c r="CR32" s="42">
        <f t="shared" si="33"/>
        <v>0</v>
      </c>
      <c r="CS32" s="42">
        <f t="shared" si="33"/>
        <v>0</v>
      </c>
      <c r="CT32" s="42">
        <f t="shared" si="33"/>
        <v>0</v>
      </c>
      <c r="CU32" s="42">
        <f t="shared" si="33"/>
        <v>0</v>
      </c>
      <c r="CV32" s="42">
        <f t="shared" si="33"/>
        <v>0</v>
      </c>
      <c r="CW32" s="42">
        <f t="shared" si="33"/>
        <v>0</v>
      </c>
      <c r="CX32" s="42">
        <f t="shared" si="33"/>
        <v>0</v>
      </c>
      <c r="CY32" s="42">
        <f t="shared" si="33"/>
        <v>0</v>
      </c>
      <c r="CZ32" s="42">
        <f t="shared" si="33"/>
        <v>0</v>
      </c>
      <c r="DA32" s="42">
        <f t="shared" si="33"/>
        <v>0</v>
      </c>
      <c r="DB32" s="42">
        <f t="shared" si="33"/>
        <v>0</v>
      </c>
      <c r="DC32" s="42">
        <f t="shared" si="33"/>
        <v>0</v>
      </c>
      <c r="DD32" s="42">
        <f t="shared" si="33"/>
        <v>0</v>
      </c>
      <c r="DE32" s="42">
        <f t="shared" si="33"/>
        <v>0</v>
      </c>
      <c r="DF32" s="42">
        <f t="shared" si="33"/>
        <v>0</v>
      </c>
      <c r="DG32" s="42">
        <f t="shared" si="33"/>
        <v>0</v>
      </c>
      <c r="DH32" s="42">
        <f t="shared" si="33"/>
        <v>0</v>
      </c>
      <c r="DI32" s="42">
        <f t="shared" si="33"/>
        <v>0</v>
      </c>
      <c r="DJ32" s="42">
        <f t="shared" si="33"/>
        <v>0</v>
      </c>
      <c r="DK32" s="42">
        <f t="shared" si="33"/>
        <v>0</v>
      </c>
      <c r="DL32" s="42">
        <f t="shared" si="33"/>
        <v>0</v>
      </c>
      <c r="DM32" s="42">
        <f t="shared" si="33"/>
        <v>0</v>
      </c>
      <c r="DN32" s="42">
        <f t="shared" si="33"/>
        <v>0</v>
      </c>
      <c r="DO32" s="42">
        <f t="shared" si="33"/>
        <v>0</v>
      </c>
      <c r="DP32" s="42">
        <f t="shared" si="33"/>
        <v>0</v>
      </c>
      <c r="DQ32" s="42">
        <f t="shared" si="33"/>
        <v>0</v>
      </c>
      <c r="DR32" s="42">
        <f t="shared" si="33"/>
        <v>0</v>
      </c>
      <c r="DS32" s="42">
        <f t="shared" si="33"/>
        <v>0</v>
      </c>
      <c r="DT32" s="42">
        <f t="shared" si="33"/>
        <v>0</v>
      </c>
      <c r="DU32" s="42">
        <f t="shared" si="33"/>
        <v>0</v>
      </c>
      <c r="DV32" s="42">
        <f t="shared" si="33"/>
        <v>0</v>
      </c>
      <c r="DW32" s="42">
        <f t="shared" si="33"/>
        <v>0</v>
      </c>
      <c r="DX32" s="42">
        <f t="shared" si="33"/>
        <v>0</v>
      </c>
      <c r="DY32" s="42">
        <f t="shared" si="33"/>
        <v>0</v>
      </c>
      <c r="DZ32" s="42">
        <f t="shared" si="33"/>
        <v>0</v>
      </c>
      <c r="EA32" s="42">
        <f t="shared" si="33"/>
        <v>0</v>
      </c>
      <c r="EB32" s="42">
        <f t="shared" si="33"/>
        <v>0</v>
      </c>
      <c r="EC32" s="42">
        <f t="shared" si="33"/>
        <v>0</v>
      </c>
      <c r="ED32" s="42">
        <f t="shared" si="33"/>
        <v>0</v>
      </c>
      <c r="EE32" s="42">
        <f t="shared" si="33"/>
        <v>0</v>
      </c>
      <c r="EF32" s="42">
        <f t="shared" si="33"/>
        <v>0</v>
      </c>
      <c r="EG32" s="42">
        <f t="shared" si="33"/>
        <v>0</v>
      </c>
      <c r="EH32" s="42">
        <f t="shared" si="33"/>
        <v>0</v>
      </c>
      <c r="EI32" s="42">
        <f t="shared" si="33"/>
        <v>0</v>
      </c>
      <c r="EJ32" s="42">
        <f t="shared" si="33"/>
        <v>0</v>
      </c>
      <c r="EK32" s="42">
        <f t="shared" si="33"/>
        <v>0</v>
      </c>
      <c r="EL32" s="42">
        <f t="shared" si="33"/>
        <v>0</v>
      </c>
      <c r="EM32" s="42">
        <f t="shared" si="33"/>
        <v>0</v>
      </c>
      <c r="EN32" s="42">
        <f t="shared" si="33"/>
        <v>0</v>
      </c>
      <c r="EO32" s="42">
        <f t="shared" si="33"/>
        <v>0</v>
      </c>
      <c r="EP32" s="42">
        <f t="shared" si="33"/>
        <v>0</v>
      </c>
      <c r="EQ32" s="42">
        <f t="shared" si="28"/>
        <v>0</v>
      </c>
      <c r="ER32" s="42">
        <f t="shared" si="27"/>
        <v>0</v>
      </c>
      <c r="ES32" s="42">
        <f t="shared" si="27"/>
        <v>0</v>
      </c>
      <c r="ET32" s="42">
        <f t="shared" si="32"/>
        <v>0</v>
      </c>
      <c r="EU32" s="42">
        <f t="shared" si="32"/>
        <v>0</v>
      </c>
      <c r="EV32" s="42">
        <f t="shared" si="32"/>
        <v>0</v>
      </c>
      <c r="EW32" s="42">
        <f t="shared" si="32"/>
        <v>0</v>
      </c>
      <c r="EX32" s="42">
        <f t="shared" si="32"/>
        <v>0</v>
      </c>
      <c r="EY32" s="42">
        <f t="shared" si="32"/>
        <v>0</v>
      </c>
      <c r="EZ32" s="42">
        <f t="shared" si="32"/>
        <v>0</v>
      </c>
      <c r="FA32" s="42">
        <f t="shared" si="32"/>
        <v>0</v>
      </c>
      <c r="FB32" s="42">
        <f t="shared" si="32"/>
        <v>0</v>
      </c>
      <c r="FC32" s="42">
        <f t="shared" si="32"/>
        <v>0</v>
      </c>
      <c r="FD32" s="42">
        <f t="shared" si="32"/>
        <v>0</v>
      </c>
      <c r="FE32" s="42">
        <f t="shared" si="32"/>
        <v>0</v>
      </c>
      <c r="FF32" s="42">
        <f t="shared" si="32"/>
        <v>0</v>
      </c>
      <c r="FG32" s="42">
        <f t="shared" si="32"/>
        <v>0</v>
      </c>
      <c r="FH32" s="42">
        <f t="shared" si="32"/>
        <v>0</v>
      </c>
      <c r="FI32" s="42">
        <f t="shared" si="32"/>
        <v>0</v>
      </c>
      <c r="FJ32" s="42">
        <f t="shared" si="32"/>
        <v>0</v>
      </c>
      <c r="FK32" s="42">
        <f t="shared" si="32"/>
        <v>0</v>
      </c>
      <c r="FL32" s="42">
        <f t="shared" si="32"/>
        <v>0</v>
      </c>
      <c r="FM32" s="42">
        <f t="shared" si="32"/>
        <v>0</v>
      </c>
      <c r="FN32" s="42">
        <f t="shared" si="32"/>
        <v>0</v>
      </c>
      <c r="FO32" s="42">
        <f t="shared" si="32"/>
        <v>0</v>
      </c>
      <c r="FP32" s="42">
        <f t="shared" si="32"/>
        <v>0</v>
      </c>
      <c r="FQ32" s="42">
        <f t="shared" si="32"/>
        <v>0</v>
      </c>
      <c r="FR32" s="42">
        <f t="shared" si="32"/>
        <v>0</v>
      </c>
      <c r="FS32" s="42">
        <f t="shared" si="32"/>
        <v>0</v>
      </c>
      <c r="FT32" s="42">
        <f t="shared" si="32"/>
        <v>0</v>
      </c>
      <c r="FU32" s="42">
        <f t="shared" si="32"/>
        <v>0</v>
      </c>
      <c r="FV32" s="42">
        <f t="shared" si="32"/>
        <v>0</v>
      </c>
      <c r="FW32" s="42">
        <f t="shared" si="32"/>
        <v>0</v>
      </c>
      <c r="FX32" s="42">
        <f t="shared" si="32"/>
        <v>0</v>
      </c>
      <c r="FY32" s="42">
        <f t="shared" si="32"/>
        <v>0</v>
      </c>
      <c r="FZ32" s="42">
        <f t="shared" si="32"/>
        <v>0</v>
      </c>
      <c r="GA32" s="42">
        <f t="shared" si="32"/>
        <v>0</v>
      </c>
      <c r="GB32" s="42">
        <f t="shared" si="32"/>
        <v>0</v>
      </c>
      <c r="GC32" s="42">
        <f t="shared" si="32"/>
        <v>0</v>
      </c>
      <c r="GD32" s="42">
        <f t="shared" si="32"/>
        <v>0</v>
      </c>
      <c r="GE32" s="42">
        <f t="shared" si="32"/>
        <v>0</v>
      </c>
      <c r="GF32" s="42">
        <f t="shared" si="32"/>
        <v>0</v>
      </c>
      <c r="GG32" s="42">
        <f t="shared" si="32"/>
        <v>0</v>
      </c>
      <c r="GH32" s="42">
        <f t="shared" si="32"/>
        <v>0</v>
      </c>
    </row>
    <row r="33" spans="2:190" ht="14.5" thickBot="1">
      <c r="B33" s="43" t="s">
        <v>238</v>
      </c>
      <c r="C33" s="31">
        <v>44540</v>
      </c>
      <c r="D33" s="31">
        <v>48192</v>
      </c>
      <c r="E33" s="32">
        <v>2.375</v>
      </c>
      <c r="F33" s="33" t="s">
        <v>26</v>
      </c>
      <c r="G33" s="34">
        <v>98.47</v>
      </c>
      <c r="H33" s="34">
        <v>2997</v>
      </c>
      <c r="I33" s="32">
        <v>4.0609999999999999</v>
      </c>
      <c r="J33" s="35">
        <v>8903.6299999999992</v>
      </c>
      <c r="K33" s="44" cm="1">
        <f t="array" ref="K33">_xlfn.LET(
    _xlpm.settle,$B$3,
    _xlpm.mat,$D33,
    _xlpm.coupon,10000*$E33/200,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70.081967213114751</v>
      </c>
      <c r="L33" s="37">
        <f t="shared" si="3"/>
        <v>8973.7119672131139</v>
      </c>
      <c r="M33" s="120">
        <v>0.72462352524320184</v>
      </c>
      <c r="N33" s="45">
        <f t="shared" si="4"/>
        <v>3.9228430964755638E-2</v>
      </c>
      <c r="O33" s="99">
        <f t="shared" si="5"/>
        <v>8973.7105054201547</v>
      </c>
      <c r="P33" s="39">
        <f t="shared" si="6"/>
        <v>-1.4617929591622669E-3</v>
      </c>
      <c r="R33" s="41">
        <f t="shared" si="10"/>
        <v>98</v>
      </c>
      <c r="S33" s="42">
        <f t="shared" si="25"/>
        <v>118.75</v>
      </c>
      <c r="T33" s="42">
        <f t="shared" si="34"/>
        <v>0</v>
      </c>
      <c r="U33" s="42">
        <f t="shared" si="34"/>
        <v>118.75</v>
      </c>
      <c r="V33" s="42">
        <f t="shared" si="34"/>
        <v>0</v>
      </c>
      <c r="W33" s="42">
        <f t="shared" si="34"/>
        <v>118.75</v>
      </c>
      <c r="X33" s="42">
        <f t="shared" si="34"/>
        <v>0</v>
      </c>
      <c r="Y33" s="42">
        <f t="shared" si="34"/>
        <v>118.75</v>
      </c>
      <c r="Z33" s="42">
        <f t="shared" si="34"/>
        <v>0</v>
      </c>
      <c r="AA33" s="42">
        <f t="shared" si="34"/>
        <v>118.75</v>
      </c>
      <c r="AB33" s="42">
        <f t="shared" si="34"/>
        <v>0</v>
      </c>
      <c r="AC33" s="42">
        <f t="shared" si="34"/>
        <v>118.75</v>
      </c>
      <c r="AD33" s="42">
        <f t="shared" si="34"/>
        <v>0</v>
      </c>
      <c r="AE33" s="42">
        <f t="shared" si="34"/>
        <v>118.75</v>
      </c>
      <c r="AF33" s="42">
        <f t="shared" si="34"/>
        <v>0</v>
      </c>
      <c r="AG33" s="42">
        <f t="shared" si="34"/>
        <v>118.75</v>
      </c>
      <c r="AH33" s="42">
        <f t="shared" si="34"/>
        <v>0</v>
      </c>
      <c r="AI33" s="42">
        <f t="shared" si="34"/>
        <v>118.75</v>
      </c>
      <c r="AJ33" s="42">
        <f t="shared" si="34"/>
        <v>0</v>
      </c>
      <c r="AK33" s="42">
        <f t="shared" si="34"/>
        <v>118.75</v>
      </c>
      <c r="AL33" s="42">
        <f t="shared" si="34"/>
        <v>0</v>
      </c>
      <c r="AM33" s="42">
        <f t="shared" si="34"/>
        <v>118.75</v>
      </c>
      <c r="AN33" s="42">
        <f t="shared" si="34"/>
        <v>0</v>
      </c>
      <c r="AO33" s="42">
        <f t="shared" si="34"/>
        <v>118.75</v>
      </c>
      <c r="AP33" s="42">
        <f t="shared" si="34"/>
        <v>0</v>
      </c>
      <c r="AQ33" s="42">
        <f t="shared" si="34"/>
        <v>118.75</v>
      </c>
      <c r="AR33" s="42">
        <f t="shared" si="34"/>
        <v>0</v>
      </c>
      <c r="AS33" s="42">
        <f t="shared" si="34"/>
        <v>118.75</v>
      </c>
      <c r="AT33" s="42">
        <f t="shared" si="34"/>
        <v>0</v>
      </c>
      <c r="AU33" s="42">
        <f t="shared" si="34"/>
        <v>118.75</v>
      </c>
      <c r="AV33" s="42">
        <f t="shared" si="34"/>
        <v>0</v>
      </c>
      <c r="AW33" s="42">
        <f t="shared" si="34"/>
        <v>118.75</v>
      </c>
      <c r="AX33" s="42">
        <f t="shared" si="34"/>
        <v>0</v>
      </c>
      <c r="AY33" s="42">
        <f t="shared" si="34"/>
        <v>10118.75</v>
      </c>
      <c r="AZ33" s="42">
        <f t="shared" si="34"/>
        <v>0</v>
      </c>
      <c r="BA33" s="42">
        <f t="shared" si="34"/>
        <v>0</v>
      </c>
      <c r="BB33" s="42">
        <f t="shared" si="34"/>
        <v>0</v>
      </c>
      <c r="BC33" s="42">
        <f t="shared" si="34"/>
        <v>0</v>
      </c>
      <c r="BD33" s="42">
        <f t="shared" si="34"/>
        <v>0</v>
      </c>
      <c r="BE33" s="42">
        <f t="shared" si="34"/>
        <v>0</v>
      </c>
      <c r="BF33" s="42">
        <f t="shared" si="34"/>
        <v>0</v>
      </c>
      <c r="BG33" s="42">
        <f t="shared" si="34"/>
        <v>0</v>
      </c>
      <c r="BH33" s="42">
        <f t="shared" si="34"/>
        <v>0</v>
      </c>
      <c r="BI33" s="42">
        <f t="shared" si="34"/>
        <v>0</v>
      </c>
      <c r="BJ33" s="42">
        <f t="shared" si="34"/>
        <v>0</v>
      </c>
      <c r="BK33" s="42">
        <f t="shared" si="34"/>
        <v>0</v>
      </c>
      <c r="BL33" s="42">
        <f t="shared" si="34"/>
        <v>0</v>
      </c>
      <c r="BM33" s="42">
        <f t="shared" si="34"/>
        <v>0</v>
      </c>
      <c r="BN33" s="42">
        <f t="shared" si="34"/>
        <v>0</v>
      </c>
      <c r="BO33" s="42">
        <f t="shared" si="34"/>
        <v>0</v>
      </c>
      <c r="BP33" s="42">
        <f t="shared" si="34"/>
        <v>0</v>
      </c>
      <c r="BQ33" s="42">
        <f t="shared" si="34"/>
        <v>0</v>
      </c>
      <c r="BR33" s="42">
        <f t="shared" si="34"/>
        <v>0</v>
      </c>
      <c r="BS33" s="42">
        <f t="shared" si="34"/>
        <v>0</v>
      </c>
      <c r="BT33" s="42">
        <f t="shared" si="34"/>
        <v>0</v>
      </c>
      <c r="BU33" s="42">
        <f t="shared" si="34"/>
        <v>0</v>
      </c>
      <c r="BV33" s="42">
        <f t="shared" si="34"/>
        <v>0</v>
      </c>
      <c r="BW33" s="42">
        <f t="shared" si="34"/>
        <v>0</v>
      </c>
      <c r="BX33" s="42">
        <f t="shared" si="34"/>
        <v>0</v>
      </c>
      <c r="BY33" s="42">
        <f t="shared" si="34"/>
        <v>0</v>
      </c>
      <c r="BZ33" s="42">
        <f t="shared" si="34"/>
        <v>0</v>
      </c>
      <c r="CA33" s="42">
        <f t="shared" si="34"/>
        <v>0</v>
      </c>
      <c r="CB33" s="42">
        <f t="shared" si="34"/>
        <v>0</v>
      </c>
      <c r="CC33" s="42">
        <f t="shared" si="34"/>
        <v>0</v>
      </c>
      <c r="CD33" s="42">
        <f t="shared" si="34"/>
        <v>0</v>
      </c>
      <c r="CE33" s="42">
        <f t="shared" si="34"/>
        <v>0</v>
      </c>
      <c r="CF33" s="42">
        <f t="shared" si="33"/>
        <v>0</v>
      </c>
      <c r="CG33" s="42">
        <f t="shared" si="33"/>
        <v>0</v>
      </c>
      <c r="CH33" s="42">
        <f t="shared" si="33"/>
        <v>0</v>
      </c>
      <c r="CI33" s="42">
        <f t="shared" si="33"/>
        <v>0</v>
      </c>
      <c r="CJ33" s="42">
        <f t="shared" si="33"/>
        <v>0</v>
      </c>
      <c r="CK33" s="42">
        <f t="shared" si="33"/>
        <v>0</v>
      </c>
      <c r="CL33" s="42">
        <f t="shared" si="33"/>
        <v>0</v>
      </c>
      <c r="CM33" s="42">
        <f t="shared" si="33"/>
        <v>0</v>
      </c>
      <c r="CN33" s="42">
        <f t="shared" si="33"/>
        <v>0</v>
      </c>
      <c r="CO33" s="42">
        <f t="shared" si="33"/>
        <v>0</v>
      </c>
      <c r="CP33" s="42">
        <f t="shared" si="33"/>
        <v>0</v>
      </c>
      <c r="CQ33" s="42">
        <f t="shared" si="33"/>
        <v>0</v>
      </c>
      <c r="CR33" s="42">
        <f t="shared" si="33"/>
        <v>0</v>
      </c>
      <c r="CS33" s="42">
        <f t="shared" si="33"/>
        <v>0</v>
      </c>
      <c r="CT33" s="42">
        <f t="shared" si="33"/>
        <v>0</v>
      </c>
      <c r="CU33" s="42">
        <f t="shared" si="33"/>
        <v>0</v>
      </c>
      <c r="CV33" s="42">
        <f t="shared" si="33"/>
        <v>0</v>
      </c>
      <c r="CW33" s="42">
        <f t="shared" si="33"/>
        <v>0</v>
      </c>
      <c r="CX33" s="42">
        <f t="shared" si="33"/>
        <v>0</v>
      </c>
      <c r="CY33" s="42">
        <f t="shared" si="33"/>
        <v>0</v>
      </c>
      <c r="CZ33" s="42">
        <f t="shared" si="33"/>
        <v>0</v>
      </c>
      <c r="DA33" s="42">
        <f t="shared" si="33"/>
        <v>0</v>
      </c>
      <c r="DB33" s="42">
        <f t="shared" si="33"/>
        <v>0</v>
      </c>
      <c r="DC33" s="42">
        <f t="shared" si="33"/>
        <v>0</v>
      </c>
      <c r="DD33" s="42">
        <f t="shared" si="33"/>
        <v>0</v>
      </c>
      <c r="DE33" s="42">
        <f t="shared" si="33"/>
        <v>0</v>
      </c>
      <c r="DF33" s="42">
        <f t="shared" si="33"/>
        <v>0</v>
      </c>
      <c r="DG33" s="42">
        <f t="shared" si="33"/>
        <v>0</v>
      </c>
      <c r="DH33" s="42">
        <f t="shared" si="33"/>
        <v>0</v>
      </c>
      <c r="DI33" s="42">
        <f t="shared" si="33"/>
        <v>0</v>
      </c>
      <c r="DJ33" s="42">
        <f t="shared" si="33"/>
        <v>0</v>
      </c>
      <c r="DK33" s="42">
        <f t="shared" si="33"/>
        <v>0</v>
      </c>
      <c r="DL33" s="42">
        <f t="shared" si="33"/>
        <v>0</v>
      </c>
      <c r="DM33" s="42">
        <f t="shared" si="33"/>
        <v>0</v>
      </c>
      <c r="DN33" s="42">
        <f t="shared" si="33"/>
        <v>0</v>
      </c>
      <c r="DO33" s="42">
        <f t="shared" si="33"/>
        <v>0</v>
      </c>
      <c r="DP33" s="42">
        <f t="shared" si="33"/>
        <v>0</v>
      </c>
      <c r="DQ33" s="42">
        <f t="shared" si="33"/>
        <v>0</v>
      </c>
      <c r="DR33" s="42">
        <f t="shared" si="33"/>
        <v>0</v>
      </c>
      <c r="DS33" s="42">
        <f t="shared" si="33"/>
        <v>0</v>
      </c>
      <c r="DT33" s="42">
        <f t="shared" si="33"/>
        <v>0</v>
      </c>
      <c r="DU33" s="42">
        <f t="shared" si="33"/>
        <v>0</v>
      </c>
      <c r="DV33" s="42">
        <f t="shared" si="33"/>
        <v>0</v>
      </c>
      <c r="DW33" s="42">
        <f t="shared" si="33"/>
        <v>0</v>
      </c>
      <c r="DX33" s="42">
        <f t="shared" si="33"/>
        <v>0</v>
      </c>
      <c r="DY33" s="42">
        <f t="shared" si="33"/>
        <v>0</v>
      </c>
      <c r="DZ33" s="42">
        <f t="shared" si="33"/>
        <v>0</v>
      </c>
      <c r="EA33" s="42">
        <f t="shared" si="33"/>
        <v>0</v>
      </c>
      <c r="EB33" s="42">
        <f t="shared" si="33"/>
        <v>0</v>
      </c>
      <c r="EC33" s="42">
        <f t="shared" si="33"/>
        <v>0</v>
      </c>
      <c r="ED33" s="42">
        <f t="shared" si="33"/>
        <v>0</v>
      </c>
      <c r="EE33" s="42">
        <f t="shared" si="33"/>
        <v>0</v>
      </c>
      <c r="EF33" s="42">
        <f t="shared" si="33"/>
        <v>0</v>
      </c>
      <c r="EG33" s="42">
        <f t="shared" si="33"/>
        <v>0</v>
      </c>
      <c r="EH33" s="42">
        <f t="shared" si="33"/>
        <v>0</v>
      </c>
      <c r="EI33" s="42">
        <f t="shared" si="33"/>
        <v>0</v>
      </c>
      <c r="EJ33" s="42">
        <f t="shared" si="33"/>
        <v>0</v>
      </c>
      <c r="EK33" s="42">
        <f t="shared" si="33"/>
        <v>0</v>
      </c>
      <c r="EL33" s="42">
        <f t="shared" si="33"/>
        <v>0</v>
      </c>
      <c r="EM33" s="42">
        <f t="shared" si="33"/>
        <v>0</v>
      </c>
      <c r="EN33" s="42">
        <f t="shared" si="33"/>
        <v>0</v>
      </c>
      <c r="EO33" s="42">
        <f t="shared" si="33"/>
        <v>0</v>
      </c>
      <c r="EP33" s="42">
        <f t="shared" si="33"/>
        <v>0</v>
      </c>
      <c r="EQ33" s="42">
        <f t="shared" si="28"/>
        <v>0</v>
      </c>
      <c r="ER33" s="42">
        <f t="shared" si="27"/>
        <v>0</v>
      </c>
      <c r="ES33" s="42">
        <f t="shared" si="27"/>
        <v>0</v>
      </c>
      <c r="ET33" s="42">
        <f t="shared" si="32"/>
        <v>0</v>
      </c>
      <c r="EU33" s="42">
        <f t="shared" si="32"/>
        <v>0</v>
      </c>
      <c r="EV33" s="42">
        <f t="shared" si="32"/>
        <v>0</v>
      </c>
      <c r="EW33" s="42">
        <f t="shared" si="32"/>
        <v>0</v>
      </c>
      <c r="EX33" s="42">
        <f t="shared" si="32"/>
        <v>0</v>
      </c>
      <c r="EY33" s="42">
        <f t="shared" si="32"/>
        <v>0</v>
      </c>
      <c r="EZ33" s="42">
        <f t="shared" si="32"/>
        <v>0</v>
      </c>
      <c r="FA33" s="42">
        <f t="shared" si="32"/>
        <v>0</v>
      </c>
      <c r="FB33" s="42">
        <f t="shared" si="32"/>
        <v>0</v>
      </c>
      <c r="FC33" s="42">
        <f t="shared" si="32"/>
        <v>0</v>
      </c>
      <c r="FD33" s="42">
        <f t="shared" si="32"/>
        <v>0</v>
      </c>
      <c r="FE33" s="42">
        <f t="shared" si="32"/>
        <v>0</v>
      </c>
      <c r="FF33" s="42">
        <f t="shared" si="32"/>
        <v>0</v>
      </c>
      <c r="FG33" s="42">
        <f t="shared" si="32"/>
        <v>0</v>
      </c>
      <c r="FH33" s="42">
        <f t="shared" si="32"/>
        <v>0</v>
      </c>
      <c r="FI33" s="42">
        <f t="shared" si="32"/>
        <v>0</v>
      </c>
      <c r="FJ33" s="42">
        <f t="shared" si="32"/>
        <v>0</v>
      </c>
      <c r="FK33" s="42">
        <f t="shared" si="32"/>
        <v>0</v>
      </c>
      <c r="FL33" s="42">
        <f t="shared" si="32"/>
        <v>0</v>
      </c>
      <c r="FM33" s="42">
        <f t="shared" si="32"/>
        <v>0</v>
      </c>
      <c r="FN33" s="42">
        <f t="shared" si="32"/>
        <v>0</v>
      </c>
      <c r="FO33" s="42">
        <f t="shared" si="32"/>
        <v>0</v>
      </c>
      <c r="FP33" s="42">
        <f t="shared" si="32"/>
        <v>0</v>
      </c>
      <c r="FQ33" s="42">
        <f t="shared" si="32"/>
        <v>0</v>
      </c>
      <c r="FR33" s="42">
        <f t="shared" si="32"/>
        <v>0</v>
      </c>
      <c r="FS33" s="42">
        <f t="shared" si="32"/>
        <v>0</v>
      </c>
      <c r="FT33" s="42">
        <f t="shared" si="32"/>
        <v>0</v>
      </c>
      <c r="FU33" s="42">
        <f t="shared" si="32"/>
        <v>0</v>
      </c>
      <c r="FV33" s="42">
        <f t="shared" si="32"/>
        <v>0</v>
      </c>
      <c r="FW33" s="42">
        <f t="shared" si="32"/>
        <v>0</v>
      </c>
      <c r="FX33" s="42">
        <f t="shared" si="32"/>
        <v>0</v>
      </c>
      <c r="FY33" s="42">
        <f t="shared" si="32"/>
        <v>0</v>
      </c>
      <c r="FZ33" s="42">
        <f t="shared" si="32"/>
        <v>0</v>
      </c>
      <c r="GA33" s="42">
        <f t="shared" si="32"/>
        <v>0</v>
      </c>
      <c r="GB33" s="42">
        <f t="shared" si="32"/>
        <v>0</v>
      </c>
      <c r="GC33" s="42">
        <f t="shared" si="32"/>
        <v>0</v>
      </c>
      <c r="GD33" s="42">
        <f t="shared" si="32"/>
        <v>0</v>
      </c>
      <c r="GE33" s="42">
        <f t="shared" si="32"/>
        <v>0</v>
      </c>
      <c r="GF33" s="42">
        <f t="shared" si="32"/>
        <v>0</v>
      </c>
      <c r="GG33" s="42">
        <f t="shared" si="32"/>
        <v>0</v>
      </c>
      <c r="GH33" s="42">
        <f t="shared" si="32"/>
        <v>0</v>
      </c>
    </row>
    <row r="34" spans="2:190" ht="14.5" thickBot="1">
      <c r="B34" s="43" t="s">
        <v>239</v>
      </c>
      <c r="C34" s="31">
        <v>44722</v>
      </c>
      <c r="D34" s="31">
        <v>48375</v>
      </c>
      <c r="E34" s="32">
        <v>3.375</v>
      </c>
      <c r="F34" s="33" t="s">
        <v>27</v>
      </c>
      <c r="G34" s="34">
        <v>104.47</v>
      </c>
      <c r="H34" s="34">
        <v>3179</v>
      </c>
      <c r="I34" s="32">
        <v>4.0650000000000004</v>
      </c>
      <c r="J34" s="35">
        <v>9598.1299999999992</v>
      </c>
      <c r="K34" s="44" cm="1">
        <f t="array" ref="K34">_xlfn.LET(
    _xlpm.settle,$B$3,
    _xlpm.mat,$D34,
    _xlpm.coupon,10000*$E34/200,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99.590163934426229</v>
      </c>
      <c r="L34" s="37">
        <f t="shared" si="3"/>
        <v>9697.7201639344257</v>
      </c>
      <c r="M34" s="120">
        <v>0.7122689271676732</v>
      </c>
      <c r="N34" s="45">
        <f t="shared" si="4"/>
        <v>3.8957031219984659E-2</v>
      </c>
      <c r="O34" s="99">
        <f t="shared" si="5"/>
        <v>9697.7179073825755</v>
      </c>
      <c r="P34" s="39">
        <f t="shared" si="6"/>
        <v>-2.2565518502233317E-3</v>
      </c>
      <c r="R34" s="41">
        <f t="shared" si="10"/>
        <v>104</v>
      </c>
      <c r="S34" s="42">
        <f t="shared" si="25"/>
        <v>168.75</v>
      </c>
      <c r="T34" s="42">
        <f t="shared" si="34"/>
        <v>0</v>
      </c>
      <c r="U34" s="42">
        <f t="shared" si="34"/>
        <v>168.75</v>
      </c>
      <c r="V34" s="42">
        <f t="shared" si="34"/>
        <v>0</v>
      </c>
      <c r="W34" s="42">
        <f t="shared" si="34"/>
        <v>168.75</v>
      </c>
      <c r="X34" s="42">
        <f t="shared" si="34"/>
        <v>0</v>
      </c>
      <c r="Y34" s="42">
        <f t="shared" si="34"/>
        <v>168.75</v>
      </c>
      <c r="Z34" s="42">
        <f t="shared" si="34"/>
        <v>0</v>
      </c>
      <c r="AA34" s="42">
        <f t="shared" si="34"/>
        <v>168.75</v>
      </c>
      <c r="AB34" s="42">
        <f t="shared" si="34"/>
        <v>0</v>
      </c>
      <c r="AC34" s="42">
        <f t="shared" si="34"/>
        <v>168.75</v>
      </c>
      <c r="AD34" s="42">
        <f t="shared" si="34"/>
        <v>0</v>
      </c>
      <c r="AE34" s="42">
        <f t="shared" si="34"/>
        <v>168.75</v>
      </c>
      <c r="AF34" s="42">
        <f t="shared" si="34"/>
        <v>0</v>
      </c>
      <c r="AG34" s="42">
        <f t="shared" si="34"/>
        <v>168.75</v>
      </c>
      <c r="AH34" s="42">
        <f t="shared" si="34"/>
        <v>0</v>
      </c>
      <c r="AI34" s="42">
        <f t="shared" si="34"/>
        <v>168.75</v>
      </c>
      <c r="AJ34" s="42">
        <f t="shared" si="34"/>
        <v>0</v>
      </c>
      <c r="AK34" s="42">
        <f t="shared" si="34"/>
        <v>168.75</v>
      </c>
      <c r="AL34" s="42">
        <f t="shared" si="34"/>
        <v>0</v>
      </c>
      <c r="AM34" s="42">
        <f t="shared" si="34"/>
        <v>168.75</v>
      </c>
      <c r="AN34" s="42">
        <f t="shared" si="34"/>
        <v>0</v>
      </c>
      <c r="AO34" s="42">
        <f t="shared" si="34"/>
        <v>168.75</v>
      </c>
      <c r="AP34" s="42">
        <f t="shared" si="34"/>
        <v>0</v>
      </c>
      <c r="AQ34" s="42">
        <f t="shared" si="34"/>
        <v>168.75</v>
      </c>
      <c r="AR34" s="42">
        <f t="shared" si="34"/>
        <v>0</v>
      </c>
      <c r="AS34" s="42">
        <f t="shared" si="34"/>
        <v>168.75</v>
      </c>
      <c r="AT34" s="42">
        <f t="shared" si="34"/>
        <v>0</v>
      </c>
      <c r="AU34" s="42">
        <f t="shared" si="34"/>
        <v>168.75</v>
      </c>
      <c r="AV34" s="42">
        <f t="shared" si="34"/>
        <v>0</v>
      </c>
      <c r="AW34" s="42">
        <f t="shared" si="34"/>
        <v>168.75</v>
      </c>
      <c r="AX34" s="42">
        <f t="shared" si="34"/>
        <v>0</v>
      </c>
      <c r="AY34" s="42">
        <f t="shared" si="34"/>
        <v>168.75</v>
      </c>
      <c r="AZ34" s="42">
        <f t="shared" si="34"/>
        <v>0</v>
      </c>
      <c r="BA34" s="42">
        <f t="shared" si="34"/>
        <v>10168.75</v>
      </c>
      <c r="BB34" s="42">
        <f t="shared" si="34"/>
        <v>0</v>
      </c>
      <c r="BC34" s="42">
        <f t="shared" si="34"/>
        <v>0</v>
      </c>
      <c r="BD34" s="42">
        <f t="shared" si="34"/>
        <v>0</v>
      </c>
      <c r="BE34" s="42">
        <f t="shared" si="34"/>
        <v>0</v>
      </c>
      <c r="BF34" s="42">
        <f t="shared" si="34"/>
        <v>0</v>
      </c>
      <c r="BG34" s="42">
        <f t="shared" si="34"/>
        <v>0</v>
      </c>
      <c r="BH34" s="42">
        <f t="shared" si="34"/>
        <v>0</v>
      </c>
      <c r="BI34" s="42">
        <f t="shared" si="34"/>
        <v>0</v>
      </c>
      <c r="BJ34" s="42">
        <f t="shared" si="34"/>
        <v>0</v>
      </c>
      <c r="BK34" s="42">
        <f t="shared" si="34"/>
        <v>0</v>
      </c>
      <c r="BL34" s="42">
        <f t="shared" si="34"/>
        <v>0</v>
      </c>
      <c r="BM34" s="42">
        <f t="shared" si="34"/>
        <v>0</v>
      </c>
      <c r="BN34" s="42">
        <f t="shared" si="34"/>
        <v>0</v>
      </c>
      <c r="BO34" s="42">
        <f t="shared" si="34"/>
        <v>0</v>
      </c>
      <c r="BP34" s="42">
        <f t="shared" si="34"/>
        <v>0</v>
      </c>
      <c r="BQ34" s="42">
        <f t="shared" si="34"/>
        <v>0</v>
      </c>
      <c r="BR34" s="42">
        <f t="shared" si="34"/>
        <v>0</v>
      </c>
      <c r="BS34" s="42">
        <f t="shared" si="34"/>
        <v>0</v>
      </c>
      <c r="BT34" s="42">
        <f t="shared" si="34"/>
        <v>0</v>
      </c>
      <c r="BU34" s="42">
        <f t="shared" si="34"/>
        <v>0</v>
      </c>
      <c r="BV34" s="42">
        <f t="shared" si="34"/>
        <v>0</v>
      </c>
      <c r="BW34" s="42">
        <f t="shared" si="34"/>
        <v>0</v>
      </c>
      <c r="BX34" s="42">
        <f t="shared" si="34"/>
        <v>0</v>
      </c>
      <c r="BY34" s="42">
        <f t="shared" si="34"/>
        <v>0</v>
      </c>
      <c r="BZ34" s="42">
        <f t="shared" si="34"/>
        <v>0</v>
      </c>
      <c r="CA34" s="42">
        <f t="shared" si="34"/>
        <v>0</v>
      </c>
      <c r="CB34" s="42">
        <f t="shared" si="34"/>
        <v>0</v>
      </c>
      <c r="CC34" s="42">
        <f t="shared" si="34"/>
        <v>0</v>
      </c>
      <c r="CD34" s="42">
        <f t="shared" si="34"/>
        <v>0</v>
      </c>
      <c r="CE34" s="42">
        <f t="shared" si="34"/>
        <v>0</v>
      </c>
      <c r="CF34" s="42">
        <f t="shared" si="33"/>
        <v>0</v>
      </c>
      <c r="CG34" s="42">
        <f t="shared" si="33"/>
        <v>0</v>
      </c>
      <c r="CH34" s="42">
        <f t="shared" si="33"/>
        <v>0</v>
      </c>
      <c r="CI34" s="42">
        <f t="shared" si="33"/>
        <v>0</v>
      </c>
      <c r="CJ34" s="42">
        <f t="shared" si="33"/>
        <v>0</v>
      </c>
      <c r="CK34" s="42">
        <f t="shared" si="33"/>
        <v>0</v>
      </c>
      <c r="CL34" s="42">
        <f t="shared" si="33"/>
        <v>0</v>
      </c>
      <c r="CM34" s="42">
        <f t="shared" si="33"/>
        <v>0</v>
      </c>
      <c r="CN34" s="42">
        <f t="shared" si="33"/>
        <v>0</v>
      </c>
      <c r="CO34" s="42">
        <f t="shared" si="33"/>
        <v>0</v>
      </c>
      <c r="CP34" s="42">
        <f t="shared" si="33"/>
        <v>0</v>
      </c>
      <c r="CQ34" s="42">
        <f t="shared" si="33"/>
        <v>0</v>
      </c>
      <c r="CR34" s="42">
        <f t="shared" si="33"/>
        <v>0</v>
      </c>
      <c r="CS34" s="42">
        <f t="shared" si="33"/>
        <v>0</v>
      </c>
      <c r="CT34" s="42">
        <f t="shared" si="33"/>
        <v>0</v>
      </c>
      <c r="CU34" s="42">
        <f t="shared" si="33"/>
        <v>0</v>
      </c>
      <c r="CV34" s="42">
        <f t="shared" si="33"/>
        <v>0</v>
      </c>
      <c r="CW34" s="42">
        <f t="shared" si="33"/>
        <v>0</v>
      </c>
      <c r="CX34" s="42">
        <f t="shared" si="33"/>
        <v>0</v>
      </c>
      <c r="CY34" s="42">
        <f t="shared" si="33"/>
        <v>0</v>
      </c>
      <c r="CZ34" s="42">
        <f t="shared" si="33"/>
        <v>0</v>
      </c>
      <c r="DA34" s="42">
        <f t="shared" si="33"/>
        <v>0</v>
      </c>
      <c r="DB34" s="42">
        <f t="shared" si="33"/>
        <v>0</v>
      </c>
      <c r="DC34" s="42">
        <f t="shared" si="33"/>
        <v>0</v>
      </c>
      <c r="DD34" s="42">
        <f t="shared" si="33"/>
        <v>0</v>
      </c>
      <c r="DE34" s="42">
        <f t="shared" si="33"/>
        <v>0</v>
      </c>
      <c r="DF34" s="42">
        <f t="shared" si="33"/>
        <v>0</v>
      </c>
      <c r="DG34" s="42">
        <f t="shared" si="33"/>
        <v>0</v>
      </c>
      <c r="DH34" s="42">
        <f t="shared" si="33"/>
        <v>0</v>
      </c>
      <c r="DI34" s="42">
        <f t="shared" si="33"/>
        <v>0</v>
      </c>
      <c r="DJ34" s="42">
        <f t="shared" si="33"/>
        <v>0</v>
      </c>
      <c r="DK34" s="42">
        <f t="shared" si="33"/>
        <v>0</v>
      </c>
      <c r="DL34" s="42">
        <f t="shared" si="33"/>
        <v>0</v>
      </c>
      <c r="DM34" s="42">
        <f t="shared" si="33"/>
        <v>0</v>
      </c>
      <c r="DN34" s="42">
        <f t="shared" si="33"/>
        <v>0</v>
      </c>
      <c r="DO34" s="42">
        <f t="shared" si="33"/>
        <v>0</v>
      </c>
      <c r="DP34" s="42">
        <f t="shared" si="33"/>
        <v>0</v>
      </c>
      <c r="DQ34" s="42">
        <f t="shared" si="33"/>
        <v>0</v>
      </c>
      <c r="DR34" s="42">
        <f t="shared" si="33"/>
        <v>0</v>
      </c>
      <c r="DS34" s="42">
        <f t="shared" si="33"/>
        <v>0</v>
      </c>
      <c r="DT34" s="42">
        <f t="shared" si="33"/>
        <v>0</v>
      </c>
      <c r="DU34" s="42">
        <f t="shared" si="33"/>
        <v>0</v>
      </c>
      <c r="DV34" s="42">
        <f t="shared" si="33"/>
        <v>0</v>
      </c>
      <c r="DW34" s="42">
        <f t="shared" si="33"/>
        <v>0</v>
      </c>
      <c r="DX34" s="42">
        <f t="shared" si="33"/>
        <v>0</v>
      </c>
      <c r="DY34" s="42">
        <f t="shared" si="33"/>
        <v>0</v>
      </c>
      <c r="DZ34" s="42">
        <f t="shared" si="33"/>
        <v>0</v>
      </c>
      <c r="EA34" s="42">
        <f t="shared" si="33"/>
        <v>0</v>
      </c>
      <c r="EB34" s="42">
        <f t="shared" si="33"/>
        <v>0</v>
      </c>
      <c r="EC34" s="42">
        <f t="shared" si="33"/>
        <v>0</v>
      </c>
      <c r="ED34" s="42">
        <f t="shared" si="33"/>
        <v>0</v>
      </c>
      <c r="EE34" s="42">
        <f t="shared" si="33"/>
        <v>0</v>
      </c>
      <c r="EF34" s="42">
        <f t="shared" si="33"/>
        <v>0</v>
      </c>
      <c r="EG34" s="42">
        <f t="shared" si="33"/>
        <v>0</v>
      </c>
      <c r="EH34" s="42">
        <f t="shared" si="33"/>
        <v>0</v>
      </c>
      <c r="EI34" s="42">
        <f t="shared" si="33"/>
        <v>0</v>
      </c>
      <c r="EJ34" s="42">
        <f t="shared" si="33"/>
        <v>0</v>
      </c>
      <c r="EK34" s="42">
        <f t="shared" si="33"/>
        <v>0</v>
      </c>
      <c r="EL34" s="42">
        <f t="shared" si="33"/>
        <v>0</v>
      </c>
      <c r="EM34" s="42">
        <f t="shared" si="33"/>
        <v>0</v>
      </c>
      <c r="EN34" s="42">
        <f t="shared" si="33"/>
        <v>0</v>
      </c>
      <c r="EO34" s="42">
        <f t="shared" si="33"/>
        <v>0</v>
      </c>
      <c r="EP34" s="42">
        <f t="shared" si="33"/>
        <v>0</v>
      </c>
      <c r="EQ34" s="42">
        <f t="shared" si="28"/>
        <v>0</v>
      </c>
      <c r="ER34" s="42">
        <f t="shared" si="27"/>
        <v>0</v>
      </c>
      <c r="ES34" s="42">
        <f t="shared" si="27"/>
        <v>0</v>
      </c>
      <c r="ET34" s="42">
        <f t="shared" si="32"/>
        <v>0</v>
      </c>
      <c r="EU34" s="42">
        <f t="shared" si="32"/>
        <v>0</v>
      </c>
      <c r="EV34" s="42">
        <f t="shared" si="32"/>
        <v>0</v>
      </c>
      <c r="EW34" s="42">
        <f t="shared" si="32"/>
        <v>0</v>
      </c>
      <c r="EX34" s="42">
        <f t="shared" si="32"/>
        <v>0</v>
      </c>
      <c r="EY34" s="42">
        <f t="shared" si="32"/>
        <v>0</v>
      </c>
      <c r="EZ34" s="42">
        <f t="shared" si="32"/>
        <v>0</v>
      </c>
      <c r="FA34" s="42">
        <f t="shared" si="32"/>
        <v>0</v>
      </c>
      <c r="FB34" s="42">
        <f t="shared" si="32"/>
        <v>0</v>
      </c>
      <c r="FC34" s="42">
        <f t="shared" si="32"/>
        <v>0</v>
      </c>
      <c r="FD34" s="42">
        <f t="shared" si="32"/>
        <v>0</v>
      </c>
      <c r="FE34" s="42">
        <f t="shared" si="32"/>
        <v>0</v>
      </c>
      <c r="FF34" s="42">
        <f t="shared" si="32"/>
        <v>0</v>
      </c>
      <c r="FG34" s="42">
        <f t="shared" si="32"/>
        <v>0</v>
      </c>
      <c r="FH34" s="42">
        <f t="shared" si="32"/>
        <v>0</v>
      </c>
      <c r="FI34" s="42">
        <f t="shared" si="32"/>
        <v>0</v>
      </c>
      <c r="FJ34" s="42">
        <f t="shared" si="32"/>
        <v>0</v>
      </c>
      <c r="FK34" s="42">
        <f t="shared" si="32"/>
        <v>0</v>
      </c>
      <c r="FL34" s="42">
        <f t="shared" si="32"/>
        <v>0</v>
      </c>
      <c r="FM34" s="42">
        <f t="shared" si="32"/>
        <v>0</v>
      </c>
      <c r="FN34" s="42">
        <f t="shared" si="32"/>
        <v>0</v>
      </c>
      <c r="FO34" s="42">
        <f t="shared" si="32"/>
        <v>0</v>
      </c>
      <c r="FP34" s="42">
        <f t="shared" si="32"/>
        <v>0</v>
      </c>
      <c r="FQ34" s="42">
        <f t="shared" si="32"/>
        <v>0</v>
      </c>
      <c r="FR34" s="42">
        <f t="shared" si="32"/>
        <v>0</v>
      </c>
      <c r="FS34" s="42">
        <f t="shared" si="32"/>
        <v>0</v>
      </c>
      <c r="FT34" s="42">
        <f t="shared" si="32"/>
        <v>0</v>
      </c>
      <c r="FU34" s="42">
        <f t="shared" si="32"/>
        <v>0</v>
      </c>
      <c r="FV34" s="42">
        <f t="shared" si="32"/>
        <v>0</v>
      </c>
      <c r="FW34" s="42">
        <f t="shared" si="32"/>
        <v>0</v>
      </c>
      <c r="FX34" s="42">
        <f t="shared" si="32"/>
        <v>0</v>
      </c>
      <c r="FY34" s="42">
        <f t="shared" si="32"/>
        <v>0</v>
      </c>
      <c r="FZ34" s="42">
        <f t="shared" si="32"/>
        <v>0</v>
      </c>
      <c r="GA34" s="42">
        <f t="shared" si="32"/>
        <v>0</v>
      </c>
      <c r="GB34" s="42">
        <f t="shared" si="32"/>
        <v>0</v>
      </c>
      <c r="GC34" s="42">
        <f t="shared" si="32"/>
        <v>0</v>
      </c>
      <c r="GD34" s="42">
        <f t="shared" si="32"/>
        <v>0</v>
      </c>
      <c r="GE34" s="42">
        <f t="shared" si="32"/>
        <v>0</v>
      </c>
      <c r="GF34" s="42">
        <f t="shared" si="32"/>
        <v>0</v>
      </c>
      <c r="GG34" s="42">
        <f t="shared" si="32"/>
        <v>0</v>
      </c>
      <c r="GH34" s="42">
        <f t="shared" si="32"/>
        <v>0</v>
      </c>
    </row>
    <row r="35" spans="2:190" ht="14.5" thickBot="1">
      <c r="B35" s="43" t="s">
        <v>240</v>
      </c>
      <c r="C35" s="31">
        <v>44905</v>
      </c>
      <c r="D35" s="31">
        <v>48558</v>
      </c>
      <c r="E35" s="32">
        <v>4.25</v>
      </c>
      <c r="F35" s="33" t="s">
        <v>28</v>
      </c>
      <c r="G35" s="34">
        <v>110.47</v>
      </c>
      <c r="H35" s="34">
        <v>3363</v>
      </c>
      <c r="I35" s="32">
        <v>4.0629999999999997</v>
      </c>
      <c r="J35" s="35">
        <v>10267.549999999999</v>
      </c>
      <c r="K35" s="44" cm="1">
        <f t="array" ref="K35">_xlfn.LET(
    _xlpm.settle,$B$3,
    _xlpm.mat,$D35,
    _xlpm.coupon,10000*$E35/200,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125.40983606557377</v>
      </c>
      <c r="L35" s="37">
        <f t="shared" si="3"/>
        <v>10392.959836065573</v>
      </c>
      <c r="M35" s="120">
        <v>0.70015453485183166</v>
      </c>
      <c r="N35" s="45">
        <f t="shared" si="4"/>
        <v>3.8687417348725439E-2</v>
      </c>
      <c r="O35" s="99">
        <f t="shared" si="5"/>
        <v>10392.956839544653</v>
      </c>
      <c r="P35" s="39">
        <f t="shared" si="6"/>
        <v>-2.9965209196234355E-3</v>
      </c>
      <c r="R35" s="41">
        <f t="shared" si="10"/>
        <v>110</v>
      </c>
      <c r="S35" s="42">
        <f t="shared" si="25"/>
        <v>212.5</v>
      </c>
      <c r="T35" s="42">
        <f t="shared" si="34"/>
        <v>0</v>
      </c>
      <c r="U35" s="42">
        <f t="shared" si="34"/>
        <v>212.5</v>
      </c>
      <c r="V35" s="42">
        <f t="shared" si="34"/>
        <v>0</v>
      </c>
      <c r="W35" s="42">
        <f t="shared" si="34"/>
        <v>212.5</v>
      </c>
      <c r="X35" s="42">
        <f t="shared" si="34"/>
        <v>0</v>
      </c>
      <c r="Y35" s="42">
        <f t="shared" si="34"/>
        <v>212.5</v>
      </c>
      <c r="Z35" s="42">
        <f t="shared" si="34"/>
        <v>0</v>
      </c>
      <c r="AA35" s="42">
        <f t="shared" si="34"/>
        <v>212.5</v>
      </c>
      <c r="AB35" s="42">
        <f t="shared" si="34"/>
        <v>0</v>
      </c>
      <c r="AC35" s="42">
        <f t="shared" si="34"/>
        <v>212.5</v>
      </c>
      <c r="AD35" s="42">
        <f t="shared" si="34"/>
        <v>0</v>
      </c>
      <c r="AE35" s="42">
        <f t="shared" si="34"/>
        <v>212.5</v>
      </c>
      <c r="AF35" s="42">
        <f t="shared" si="34"/>
        <v>0</v>
      </c>
      <c r="AG35" s="42">
        <f t="shared" si="34"/>
        <v>212.5</v>
      </c>
      <c r="AH35" s="42">
        <f t="shared" si="34"/>
        <v>0</v>
      </c>
      <c r="AI35" s="42">
        <f t="shared" si="34"/>
        <v>212.5</v>
      </c>
      <c r="AJ35" s="42">
        <f t="shared" si="34"/>
        <v>0</v>
      </c>
      <c r="AK35" s="42">
        <f t="shared" si="34"/>
        <v>212.5</v>
      </c>
      <c r="AL35" s="42">
        <f t="shared" si="34"/>
        <v>0</v>
      </c>
      <c r="AM35" s="42">
        <f t="shared" si="34"/>
        <v>212.5</v>
      </c>
      <c r="AN35" s="42">
        <f t="shared" si="34"/>
        <v>0</v>
      </c>
      <c r="AO35" s="42">
        <f t="shared" si="34"/>
        <v>212.5</v>
      </c>
      <c r="AP35" s="42">
        <f t="shared" si="34"/>
        <v>0</v>
      </c>
      <c r="AQ35" s="42">
        <f t="shared" si="34"/>
        <v>212.5</v>
      </c>
      <c r="AR35" s="42">
        <f t="shared" si="34"/>
        <v>0</v>
      </c>
      <c r="AS35" s="42">
        <f t="shared" si="34"/>
        <v>212.5</v>
      </c>
      <c r="AT35" s="42">
        <f t="shared" si="34"/>
        <v>0</v>
      </c>
      <c r="AU35" s="42">
        <f t="shared" si="34"/>
        <v>212.5</v>
      </c>
      <c r="AV35" s="42">
        <f t="shared" si="34"/>
        <v>0</v>
      </c>
      <c r="AW35" s="42">
        <f t="shared" si="34"/>
        <v>212.5</v>
      </c>
      <c r="AX35" s="42">
        <f t="shared" si="34"/>
        <v>0</v>
      </c>
      <c r="AY35" s="42">
        <f t="shared" si="34"/>
        <v>212.5</v>
      </c>
      <c r="AZ35" s="42">
        <f t="shared" si="34"/>
        <v>0</v>
      </c>
      <c r="BA35" s="42">
        <f t="shared" si="34"/>
        <v>212.5</v>
      </c>
      <c r="BB35" s="42">
        <f t="shared" si="34"/>
        <v>0</v>
      </c>
      <c r="BC35" s="42">
        <f t="shared" si="34"/>
        <v>10212.5</v>
      </c>
      <c r="BD35" s="42">
        <f t="shared" si="34"/>
        <v>0</v>
      </c>
      <c r="BE35" s="42">
        <f t="shared" si="34"/>
        <v>0</v>
      </c>
      <c r="BF35" s="42">
        <f t="shared" si="34"/>
        <v>0</v>
      </c>
      <c r="BG35" s="42">
        <f t="shared" si="34"/>
        <v>0</v>
      </c>
      <c r="BH35" s="42">
        <f t="shared" si="34"/>
        <v>0</v>
      </c>
      <c r="BI35" s="42">
        <f t="shared" si="34"/>
        <v>0</v>
      </c>
      <c r="BJ35" s="42">
        <f t="shared" si="34"/>
        <v>0</v>
      </c>
      <c r="BK35" s="42">
        <f t="shared" si="34"/>
        <v>0</v>
      </c>
      <c r="BL35" s="42">
        <f t="shared" si="34"/>
        <v>0</v>
      </c>
      <c r="BM35" s="42">
        <f t="shared" si="34"/>
        <v>0</v>
      </c>
      <c r="BN35" s="42">
        <f t="shared" si="34"/>
        <v>0</v>
      </c>
      <c r="BO35" s="42">
        <f t="shared" si="34"/>
        <v>0</v>
      </c>
      <c r="BP35" s="42">
        <f t="shared" si="34"/>
        <v>0</v>
      </c>
      <c r="BQ35" s="42">
        <f t="shared" si="34"/>
        <v>0</v>
      </c>
      <c r="BR35" s="42">
        <f t="shared" si="34"/>
        <v>0</v>
      </c>
      <c r="BS35" s="42">
        <f t="shared" si="34"/>
        <v>0</v>
      </c>
      <c r="BT35" s="42">
        <f t="shared" si="34"/>
        <v>0</v>
      </c>
      <c r="BU35" s="42">
        <f t="shared" si="34"/>
        <v>0</v>
      </c>
      <c r="BV35" s="42">
        <f t="shared" si="34"/>
        <v>0</v>
      </c>
      <c r="BW35" s="42">
        <f t="shared" si="34"/>
        <v>0</v>
      </c>
      <c r="BX35" s="42">
        <f t="shared" si="34"/>
        <v>0</v>
      </c>
      <c r="BY35" s="42">
        <f t="shared" si="34"/>
        <v>0</v>
      </c>
      <c r="BZ35" s="42">
        <f t="shared" si="34"/>
        <v>0</v>
      </c>
      <c r="CA35" s="42">
        <f t="shared" si="34"/>
        <v>0</v>
      </c>
      <c r="CB35" s="42">
        <f t="shared" si="34"/>
        <v>0</v>
      </c>
      <c r="CC35" s="42">
        <f t="shared" si="34"/>
        <v>0</v>
      </c>
      <c r="CD35" s="42">
        <f t="shared" si="34"/>
        <v>0</v>
      </c>
      <c r="CE35" s="42">
        <f t="shared" ref="CE35:EP38" si="35">IF(
    CE$6=$R35,
    10000+10000*$E35/200,
    IF(
        AND(CE$6&lt;$R35,MOD($R35-CE$6,6)=0),
        10000*$E35/200,
        0
    )
)</f>
        <v>0</v>
      </c>
      <c r="CF35" s="42">
        <f t="shared" si="35"/>
        <v>0</v>
      </c>
      <c r="CG35" s="42">
        <f t="shared" si="35"/>
        <v>0</v>
      </c>
      <c r="CH35" s="42">
        <f t="shared" si="35"/>
        <v>0</v>
      </c>
      <c r="CI35" s="42">
        <f t="shared" si="35"/>
        <v>0</v>
      </c>
      <c r="CJ35" s="42">
        <f t="shared" si="35"/>
        <v>0</v>
      </c>
      <c r="CK35" s="42">
        <f t="shared" si="35"/>
        <v>0</v>
      </c>
      <c r="CL35" s="42">
        <f t="shared" si="35"/>
        <v>0</v>
      </c>
      <c r="CM35" s="42">
        <f t="shared" si="35"/>
        <v>0</v>
      </c>
      <c r="CN35" s="42">
        <f t="shared" si="35"/>
        <v>0</v>
      </c>
      <c r="CO35" s="42">
        <f t="shared" si="35"/>
        <v>0</v>
      </c>
      <c r="CP35" s="42">
        <f t="shared" si="35"/>
        <v>0</v>
      </c>
      <c r="CQ35" s="42">
        <f t="shared" si="35"/>
        <v>0</v>
      </c>
      <c r="CR35" s="42">
        <f t="shared" si="35"/>
        <v>0</v>
      </c>
      <c r="CS35" s="42">
        <f t="shared" si="35"/>
        <v>0</v>
      </c>
      <c r="CT35" s="42">
        <f t="shared" si="35"/>
        <v>0</v>
      </c>
      <c r="CU35" s="42">
        <f t="shared" si="35"/>
        <v>0</v>
      </c>
      <c r="CV35" s="42">
        <f t="shared" si="35"/>
        <v>0</v>
      </c>
      <c r="CW35" s="42">
        <f t="shared" si="35"/>
        <v>0</v>
      </c>
      <c r="CX35" s="42">
        <f t="shared" si="35"/>
        <v>0</v>
      </c>
      <c r="CY35" s="42">
        <f t="shared" si="35"/>
        <v>0</v>
      </c>
      <c r="CZ35" s="42">
        <f t="shared" si="35"/>
        <v>0</v>
      </c>
      <c r="DA35" s="42">
        <f t="shared" si="35"/>
        <v>0</v>
      </c>
      <c r="DB35" s="42">
        <f t="shared" si="35"/>
        <v>0</v>
      </c>
      <c r="DC35" s="42">
        <f t="shared" si="35"/>
        <v>0</v>
      </c>
      <c r="DD35" s="42">
        <f t="shared" si="35"/>
        <v>0</v>
      </c>
      <c r="DE35" s="42">
        <f t="shared" si="35"/>
        <v>0</v>
      </c>
      <c r="DF35" s="42">
        <f t="shared" si="35"/>
        <v>0</v>
      </c>
      <c r="DG35" s="42">
        <f t="shared" si="35"/>
        <v>0</v>
      </c>
      <c r="DH35" s="42">
        <f t="shared" si="35"/>
        <v>0</v>
      </c>
      <c r="DI35" s="42">
        <f t="shared" si="35"/>
        <v>0</v>
      </c>
      <c r="DJ35" s="42">
        <f t="shared" si="35"/>
        <v>0</v>
      </c>
      <c r="DK35" s="42">
        <f t="shared" si="35"/>
        <v>0</v>
      </c>
      <c r="DL35" s="42">
        <f t="shared" si="35"/>
        <v>0</v>
      </c>
      <c r="DM35" s="42">
        <f t="shared" si="35"/>
        <v>0</v>
      </c>
      <c r="DN35" s="42">
        <f t="shared" si="35"/>
        <v>0</v>
      </c>
      <c r="DO35" s="42">
        <f t="shared" si="35"/>
        <v>0</v>
      </c>
      <c r="DP35" s="42">
        <f t="shared" si="35"/>
        <v>0</v>
      </c>
      <c r="DQ35" s="42">
        <f t="shared" si="35"/>
        <v>0</v>
      </c>
      <c r="DR35" s="42">
        <f t="shared" si="35"/>
        <v>0</v>
      </c>
      <c r="DS35" s="42">
        <f t="shared" si="35"/>
        <v>0</v>
      </c>
      <c r="DT35" s="42">
        <f t="shared" si="35"/>
        <v>0</v>
      </c>
      <c r="DU35" s="42">
        <f t="shared" si="35"/>
        <v>0</v>
      </c>
      <c r="DV35" s="42">
        <f t="shared" si="35"/>
        <v>0</v>
      </c>
      <c r="DW35" s="42">
        <f t="shared" si="35"/>
        <v>0</v>
      </c>
      <c r="DX35" s="42">
        <f t="shared" si="35"/>
        <v>0</v>
      </c>
      <c r="DY35" s="42">
        <f t="shared" si="35"/>
        <v>0</v>
      </c>
      <c r="DZ35" s="42">
        <f t="shared" si="35"/>
        <v>0</v>
      </c>
      <c r="EA35" s="42">
        <f t="shared" si="35"/>
        <v>0</v>
      </c>
      <c r="EB35" s="42">
        <f t="shared" si="35"/>
        <v>0</v>
      </c>
      <c r="EC35" s="42">
        <f t="shared" si="35"/>
        <v>0</v>
      </c>
      <c r="ED35" s="42">
        <f t="shared" si="35"/>
        <v>0</v>
      </c>
      <c r="EE35" s="42">
        <f t="shared" si="35"/>
        <v>0</v>
      </c>
      <c r="EF35" s="42">
        <f t="shared" si="35"/>
        <v>0</v>
      </c>
      <c r="EG35" s="42">
        <f t="shared" si="35"/>
        <v>0</v>
      </c>
      <c r="EH35" s="42">
        <f t="shared" si="35"/>
        <v>0</v>
      </c>
      <c r="EI35" s="42">
        <f t="shared" si="35"/>
        <v>0</v>
      </c>
      <c r="EJ35" s="42">
        <f t="shared" si="35"/>
        <v>0</v>
      </c>
      <c r="EK35" s="42">
        <f t="shared" si="35"/>
        <v>0</v>
      </c>
      <c r="EL35" s="42">
        <f t="shared" si="35"/>
        <v>0</v>
      </c>
      <c r="EM35" s="42">
        <f t="shared" si="35"/>
        <v>0</v>
      </c>
      <c r="EN35" s="42">
        <f t="shared" si="35"/>
        <v>0</v>
      </c>
      <c r="EO35" s="42">
        <f t="shared" si="35"/>
        <v>0</v>
      </c>
      <c r="EP35" s="42">
        <f t="shared" si="35"/>
        <v>0</v>
      </c>
      <c r="EQ35" s="42">
        <f t="shared" si="28"/>
        <v>0</v>
      </c>
      <c r="ER35" s="42">
        <f t="shared" si="27"/>
        <v>0</v>
      </c>
      <c r="ES35" s="42">
        <f t="shared" si="27"/>
        <v>0</v>
      </c>
      <c r="ET35" s="42">
        <f t="shared" si="32"/>
        <v>0</v>
      </c>
      <c r="EU35" s="42">
        <f t="shared" si="32"/>
        <v>0</v>
      </c>
      <c r="EV35" s="42">
        <f t="shared" si="32"/>
        <v>0</v>
      </c>
      <c r="EW35" s="42">
        <f t="shared" si="32"/>
        <v>0</v>
      </c>
      <c r="EX35" s="42">
        <f t="shared" si="32"/>
        <v>0</v>
      </c>
      <c r="EY35" s="42">
        <f t="shared" si="32"/>
        <v>0</v>
      </c>
      <c r="EZ35" s="42">
        <f t="shared" si="32"/>
        <v>0</v>
      </c>
      <c r="FA35" s="42">
        <f t="shared" si="32"/>
        <v>0</v>
      </c>
      <c r="FB35" s="42">
        <f t="shared" si="32"/>
        <v>0</v>
      </c>
      <c r="FC35" s="42">
        <f t="shared" ref="FC35:GH35" si="36">IF(
    FC$6=$R35,
    10000+10000*$E35/200,
    IF(
        AND(FC$6&lt;$R35,MOD($R35-FC$6,6)=0),
        10000*$E35/200,
        0
    )
)</f>
        <v>0</v>
      </c>
      <c r="FD35" s="42">
        <f t="shared" si="36"/>
        <v>0</v>
      </c>
      <c r="FE35" s="42">
        <f t="shared" si="36"/>
        <v>0</v>
      </c>
      <c r="FF35" s="42">
        <f t="shared" si="36"/>
        <v>0</v>
      </c>
      <c r="FG35" s="42">
        <f t="shared" si="36"/>
        <v>0</v>
      </c>
      <c r="FH35" s="42">
        <f t="shared" si="36"/>
        <v>0</v>
      </c>
      <c r="FI35" s="42">
        <f t="shared" si="36"/>
        <v>0</v>
      </c>
      <c r="FJ35" s="42">
        <f t="shared" si="36"/>
        <v>0</v>
      </c>
      <c r="FK35" s="42">
        <f t="shared" si="36"/>
        <v>0</v>
      </c>
      <c r="FL35" s="42">
        <f t="shared" si="36"/>
        <v>0</v>
      </c>
      <c r="FM35" s="42">
        <f t="shared" si="36"/>
        <v>0</v>
      </c>
      <c r="FN35" s="42">
        <f t="shared" si="36"/>
        <v>0</v>
      </c>
      <c r="FO35" s="42">
        <f t="shared" si="36"/>
        <v>0</v>
      </c>
      <c r="FP35" s="42">
        <f t="shared" si="36"/>
        <v>0</v>
      </c>
      <c r="FQ35" s="42">
        <f t="shared" si="36"/>
        <v>0</v>
      </c>
      <c r="FR35" s="42">
        <f t="shared" si="36"/>
        <v>0</v>
      </c>
      <c r="FS35" s="42">
        <f t="shared" si="36"/>
        <v>0</v>
      </c>
      <c r="FT35" s="42">
        <f t="shared" si="36"/>
        <v>0</v>
      </c>
      <c r="FU35" s="42">
        <f t="shared" si="36"/>
        <v>0</v>
      </c>
      <c r="FV35" s="42">
        <f t="shared" si="36"/>
        <v>0</v>
      </c>
      <c r="FW35" s="42">
        <f t="shared" si="36"/>
        <v>0</v>
      </c>
      <c r="FX35" s="42">
        <f t="shared" si="36"/>
        <v>0</v>
      </c>
      <c r="FY35" s="42">
        <f t="shared" si="36"/>
        <v>0</v>
      </c>
      <c r="FZ35" s="42">
        <f t="shared" si="36"/>
        <v>0</v>
      </c>
      <c r="GA35" s="42">
        <f t="shared" si="36"/>
        <v>0</v>
      </c>
      <c r="GB35" s="42">
        <f t="shared" si="36"/>
        <v>0</v>
      </c>
      <c r="GC35" s="42">
        <f t="shared" si="36"/>
        <v>0</v>
      </c>
      <c r="GD35" s="42">
        <f t="shared" si="36"/>
        <v>0</v>
      </c>
      <c r="GE35" s="42">
        <f t="shared" si="36"/>
        <v>0</v>
      </c>
      <c r="GF35" s="42">
        <f t="shared" si="36"/>
        <v>0</v>
      </c>
      <c r="GG35" s="42">
        <f t="shared" si="36"/>
        <v>0</v>
      </c>
      <c r="GH35" s="42">
        <f t="shared" si="36"/>
        <v>0</v>
      </c>
    </row>
    <row r="36" spans="2:190" ht="14.5" thickBot="1">
      <c r="B36" s="43" t="s">
        <v>241</v>
      </c>
      <c r="C36" s="31">
        <v>45087</v>
      </c>
      <c r="D36" s="31">
        <v>48740</v>
      </c>
      <c r="E36" s="32">
        <v>3.25</v>
      </c>
      <c r="F36" s="33" t="s">
        <v>29</v>
      </c>
      <c r="G36" s="34">
        <v>116.47</v>
      </c>
      <c r="H36" s="34">
        <v>3544</v>
      </c>
      <c r="I36" s="32">
        <v>4.0549999999999997</v>
      </c>
      <c r="J36" s="35">
        <v>9455.1200000000008</v>
      </c>
      <c r="K36" s="44" cm="1">
        <f t="array" ref="K36">_xlfn.LET(
    _xlpm.settle,$B$3,
    _xlpm.mat,$D36,
    _xlpm.coupon,10000*$E36/200,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95.901639344262293</v>
      </c>
      <c r="L36" s="37">
        <f t="shared" si="3"/>
        <v>9551.0216393442624</v>
      </c>
      <c r="M36" s="120">
        <v>0.68463342998992105</v>
      </c>
      <c r="N36" s="45">
        <f t="shared" si="4"/>
        <v>3.9020366470197507E-2</v>
      </c>
      <c r="O36" s="99">
        <f t="shared" si="5"/>
        <v>9551.0195489397702</v>
      </c>
      <c r="P36" s="39">
        <f t="shared" si="6"/>
        <v>-2.0904044922644971E-3</v>
      </c>
      <c r="R36" s="41">
        <f t="shared" si="10"/>
        <v>116</v>
      </c>
      <c r="S36" s="42">
        <f t="shared" si="25"/>
        <v>162.5</v>
      </c>
      <c r="T36" s="42">
        <f t="shared" ref="T36:CE39" si="37">IF(
    T$6=$R36,
    10000+10000*$E36/200,
    IF(
        AND(T$6&lt;$R36,MOD($R36-T$6,6)=0),
        10000*$E36/200,
        0
    )
)</f>
        <v>0</v>
      </c>
      <c r="U36" s="42">
        <f t="shared" si="37"/>
        <v>162.5</v>
      </c>
      <c r="V36" s="42">
        <f t="shared" si="37"/>
        <v>0</v>
      </c>
      <c r="W36" s="42">
        <f t="shared" si="37"/>
        <v>162.5</v>
      </c>
      <c r="X36" s="42">
        <f t="shared" si="37"/>
        <v>0</v>
      </c>
      <c r="Y36" s="42">
        <f t="shared" si="37"/>
        <v>162.5</v>
      </c>
      <c r="Z36" s="42">
        <f t="shared" si="37"/>
        <v>0</v>
      </c>
      <c r="AA36" s="42">
        <f t="shared" si="37"/>
        <v>162.5</v>
      </c>
      <c r="AB36" s="42">
        <f t="shared" si="37"/>
        <v>0</v>
      </c>
      <c r="AC36" s="42">
        <f t="shared" si="37"/>
        <v>162.5</v>
      </c>
      <c r="AD36" s="42">
        <f t="shared" si="37"/>
        <v>0</v>
      </c>
      <c r="AE36" s="42">
        <f t="shared" si="37"/>
        <v>162.5</v>
      </c>
      <c r="AF36" s="42">
        <f t="shared" si="37"/>
        <v>0</v>
      </c>
      <c r="AG36" s="42">
        <f t="shared" si="37"/>
        <v>162.5</v>
      </c>
      <c r="AH36" s="42">
        <f t="shared" si="37"/>
        <v>0</v>
      </c>
      <c r="AI36" s="42">
        <f t="shared" si="37"/>
        <v>162.5</v>
      </c>
      <c r="AJ36" s="42">
        <f t="shared" si="37"/>
        <v>0</v>
      </c>
      <c r="AK36" s="42">
        <f t="shared" si="37"/>
        <v>162.5</v>
      </c>
      <c r="AL36" s="42">
        <f t="shared" si="37"/>
        <v>0</v>
      </c>
      <c r="AM36" s="42">
        <f t="shared" si="37"/>
        <v>162.5</v>
      </c>
      <c r="AN36" s="42">
        <f t="shared" si="37"/>
        <v>0</v>
      </c>
      <c r="AO36" s="42">
        <f t="shared" si="37"/>
        <v>162.5</v>
      </c>
      <c r="AP36" s="42">
        <f t="shared" si="37"/>
        <v>0</v>
      </c>
      <c r="AQ36" s="42">
        <f t="shared" si="37"/>
        <v>162.5</v>
      </c>
      <c r="AR36" s="42">
        <f t="shared" si="37"/>
        <v>0</v>
      </c>
      <c r="AS36" s="42">
        <f t="shared" si="37"/>
        <v>162.5</v>
      </c>
      <c r="AT36" s="42">
        <f t="shared" si="37"/>
        <v>0</v>
      </c>
      <c r="AU36" s="42">
        <f t="shared" si="37"/>
        <v>162.5</v>
      </c>
      <c r="AV36" s="42">
        <f t="shared" si="37"/>
        <v>0</v>
      </c>
      <c r="AW36" s="42">
        <f t="shared" si="37"/>
        <v>162.5</v>
      </c>
      <c r="AX36" s="42">
        <f t="shared" si="37"/>
        <v>0</v>
      </c>
      <c r="AY36" s="42">
        <f t="shared" si="37"/>
        <v>162.5</v>
      </c>
      <c r="AZ36" s="42">
        <f t="shared" si="37"/>
        <v>0</v>
      </c>
      <c r="BA36" s="42">
        <f t="shared" si="37"/>
        <v>162.5</v>
      </c>
      <c r="BB36" s="42">
        <f t="shared" si="37"/>
        <v>0</v>
      </c>
      <c r="BC36" s="42">
        <f t="shared" si="37"/>
        <v>162.5</v>
      </c>
      <c r="BD36" s="42">
        <f t="shared" si="37"/>
        <v>0</v>
      </c>
      <c r="BE36" s="42">
        <f t="shared" si="37"/>
        <v>10162.5</v>
      </c>
      <c r="BF36" s="42">
        <f t="shared" si="37"/>
        <v>0</v>
      </c>
      <c r="BG36" s="42">
        <f t="shared" si="37"/>
        <v>0</v>
      </c>
      <c r="BH36" s="42">
        <f t="shared" si="37"/>
        <v>0</v>
      </c>
      <c r="BI36" s="42">
        <f t="shared" si="37"/>
        <v>0</v>
      </c>
      <c r="BJ36" s="42">
        <f t="shared" si="37"/>
        <v>0</v>
      </c>
      <c r="BK36" s="42">
        <f t="shared" si="37"/>
        <v>0</v>
      </c>
      <c r="BL36" s="42">
        <f t="shared" si="37"/>
        <v>0</v>
      </c>
      <c r="BM36" s="42">
        <f t="shared" si="37"/>
        <v>0</v>
      </c>
      <c r="BN36" s="42">
        <f t="shared" si="37"/>
        <v>0</v>
      </c>
      <c r="BO36" s="42">
        <f t="shared" si="37"/>
        <v>0</v>
      </c>
      <c r="BP36" s="42">
        <f t="shared" si="37"/>
        <v>0</v>
      </c>
      <c r="BQ36" s="42">
        <f t="shared" si="37"/>
        <v>0</v>
      </c>
      <c r="BR36" s="42">
        <f t="shared" si="37"/>
        <v>0</v>
      </c>
      <c r="BS36" s="42">
        <f t="shared" si="37"/>
        <v>0</v>
      </c>
      <c r="BT36" s="42">
        <f t="shared" si="37"/>
        <v>0</v>
      </c>
      <c r="BU36" s="42">
        <f t="shared" si="37"/>
        <v>0</v>
      </c>
      <c r="BV36" s="42">
        <f t="shared" si="37"/>
        <v>0</v>
      </c>
      <c r="BW36" s="42">
        <f t="shared" si="37"/>
        <v>0</v>
      </c>
      <c r="BX36" s="42">
        <f t="shared" si="37"/>
        <v>0</v>
      </c>
      <c r="BY36" s="42">
        <f t="shared" si="37"/>
        <v>0</v>
      </c>
      <c r="BZ36" s="42">
        <f t="shared" si="37"/>
        <v>0</v>
      </c>
      <c r="CA36" s="42">
        <f t="shared" si="37"/>
        <v>0</v>
      </c>
      <c r="CB36" s="42">
        <f t="shared" si="37"/>
        <v>0</v>
      </c>
      <c r="CC36" s="42">
        <f t="shared" si="37"/>
        <v>0</v>
      </c>
      <c r="CD36" s="42">
        <f t="shared" si="37"/>
        <v>0</v>
      </c>
      <c r="CE36" s="42">
        <f t="shared" si="37"/>
        <v>0</v>
      </c>
      <c r="CF36" s="42">
        <f t="shared" si="35"/>
        <v>0</v>
      </c>
      <c r="CG36" s="42">
        <f t="shared" si="35"/>
        <v>0</v>
      </c>
      <c r="CH36" s="42">
        <f t="shared" si="35"/>
        <v>0</v>
      </c>
      <c r="CI36" s="42">
        <f t="shared" si="35"/>
        <v>0</v>
      </c>
      <c r="CJ36" s="42">
        <f t="shared" si="35"/>
        <v>0</v>
      </c>
      <c r="CK36" s="42">
        <f t="shared" si="35"/>
        <v>0</v>
      </c>
      <c r="CL36" s="42">
        <f t="shared" si="35"/>
        <v>0</v>
      </c>
      <c r="CM36" s="42">
        <f t="shared" si="35"/>
        <v>0</v>
      </c>
      <c r="CN36" s="42">
        <f t="shared" si="35"/>
        <v>0</v>
      </c>
      <c r="CO36" s="42">
        <f t="shared" si="35"/>
        <v>0</v>
      </c>
      <c r="CP36" s="42">
        <f t="shared" si="35"/>
        <v>0</v>
      </c>
      <c r="CQ36" s="42">
        <f t="shared" si="35"/>
        <v>0</v>
      </c>
      <c r="CR36" s="42">
        <f t="shared" si="35"/>
        <v>0</v>
      </c>
      <c r="CS36" s="42">
        <f t="shared" si="35"/>
        <v>0</v>
      </c>
      <c r="CT36" s="42">
        <f t="shared" si="35"/>
        <v>0</v>
      </c>
      <c r="CU36" s="42">
        <f t="shared" si="35"/>
        <v>0</v>
      </c>
      <c r="CV36" s="42">
        <f t="shared" si="35"/>
        <v>0</v>
      </c>
      <c r="CW36" s="42">
        <f t="shared" si="35"/>
        <v>0</v>
      </c>
      <c r="CX36" s="42">
        <f t="shared" si="35"/>
        <v>0</v>
      </c>
      <c r="CY36" s="42">
        <f t="shared" si="35"/>
        <v>0</v>
      </c>
      <c r="CZ36" s="42">
        <f t="shared" si="35"/>
        <v>0</v>
      </c>
      <c r="DA36" s="42">
        <f t="shared" si="35"/>
        <v>0</v>
      </c>
      <c r="DB36" s="42">
        <f t="shared" si="35"/>
        <v>0</v>
      </c>
      <c r="DC36" s="42">
        <f t="shared" si="35"/>
        <v>0</v>
      </c>
      <c r="DD36" s="42">
        <f t="shared" si="35"/>
        <v>0</v>
      </c>
      <c r="DE36" s="42">
        <f t="shared" si="35"/>
        <v>0</v>
      </c>
      <c r="DF36" s="42">
        <f t="shared" si="35"/>
        <v>0</v>
      </c>
      <c r="DG36" s="42">
        <f t="shared" si="35"/>
        <v>0</v>
      </c>
      <c r="DH36" s="42">
        <f t="shared" si="35"/>
        <v>0</v>
      </c>
      <c r="DI36" s="42">
        <f t="shared" si="35"/>
        <v>0</v>
      </c>
      <c r="DJ36" s="42">
        <f t="shared" si="35"/>
        <v>0</v>
      </c>
      <c r="DK36" s="42">
        <f t="shared" si="35"/>
        <v>0</v>
      </c>
      <c r="DL36" s="42">
        <f t="shared" si="35"/>
        <v>0</v>
      </c>
      <c r="DM36" s="42">
        <f t="shared" si="35"/>
        <v>0</v>
      </c>
      <c r="DN36" s="42">
        <f t="shared" si="35"/>
        <v>0</v>
      </c>
      <c r="DO36" s="42">
        <f t="shared" si="35"/>
        <v>0</v>
      </c>
      <c r="DP36" s="42">
        <f t="shared" si="35"/>
        <v>0</v>
      </c>
      <c r="DQ36" s="42">
        <f t="shared" si="35"/>
        <v>0</v>
      </c>
      <c r="DR36" s="42">
        <f t="shared" si="35"/>
        <v>0</v>
      </c>
      <c r="DS36" s="42">
        <f t="shared" si="35"/>
        <v>0</v>
      </c>
      <c r="DT36" s="42">
        <f t="shared" si="35"/>
        <v>0</v>
      </c>
      <c r="DU36" s="42">
        <f t="shared" si="35"/>
        <v>0</v>
      </c>
      <c r="DV36" s="42">
        <f t="shared" si="35"/>
        <v>0</v>
      </c>
      <c r="DW36" s="42">
        <f t="shared" si="35"/>
        <v>0</v>
      </c>
      <c r="DX36" s="42">
        <f t="shared" si="35"/>
        <v>0</v>
      </c>
      <c r="DY36" s="42">
        <f t="shared" si="35"/>
        <v>0</v>
      </c>
      <c r="DZ36" s="42">
        <f t="shared" si="35"/>
        <v>0</v>
      </c>
      <c r="EA36" s="42">
        <f t="shared" si="35"/>
        <v>0</v>
      </c>
      <c r="EB36" s="42">
        <f t="shared" si="35"/>
        <v>0</v>
      </c>
      <c r="EC36" s="42">
        <f t="shared" si="35"/>
        <v>0</v>
      </c>
      <c r="ED36" s="42">
        <f t="shared" si="35"/>
        <v>0</v>
      </c>
      <c r="EE36" s="42">
        <f t="shared" si="35"/>
        <v>0</v>
      </c>
      <c r="EF36" s="42">
        <f t="shared" si="35"/>
        <v>0</v>
      </c>
      <c r="EG36" s="42">
        <f t="shared" si="35"/>
        <v>0</v>
      </c>
      <c r="EH36" s="42">
        <f t="shared" si="35"/>
        <v>0</v>
      </c>
      <c r="EI36" s="42">
        <f t="shared" si="35"/>
        <v>0</v>
      </c>
      <c r="EJ36" s="42">
        <f t="shared" si="35"/>
        <v>0</v>
      </c>
      <c r="EK36" s="42">
        <f t="shared" si="35"/>
        <v>0</v>
      </c>
      <c r="EL36" s="42">
        <f t="shared" si="35"/>
        <v>0</v>
      </c>
      <c r="EM36" s="42">
        <f t="shared" si="35"/>
        <v>0</v>
      </c>
      <c r="EN36" s="42">
        <f t="shared" si="35"/>
        <v>0</v>
      </c>
      <c r="EO36" s="42">
        <f t="shared" si="35"/>
        <v>0</v>
      </c>
      <c r="EP36" s="42">
        <f t="shared" si="35"/>
        <v>0</v>
      </c>
      <c r="EQ36" s="42">
        <f t="shared" si="28"/>
        <v>0</v>
      </c>
      <c r="ER36" s="42">
        <f t="shared" si="27"/>
        <v>0</v>
      </c>
      <c r="ES36" s="42">
        <f t="shared" si="27"/>
        <v>0</v>
      </c>
      <c r="ET36" s="42">
        <f t="shared" ref="ET36:GH39" si="38">IF(
    ET$6=$R36,
    10000+10000*$E36/200,
    IF(
        AND(ET$6&lt;$R36,MOD($R36-ET$6,6)=0),
        10000*$E36/200,
        0
    )
)</f>
        <v>0</v>
      </c>
      <c r="EU36" s="42">
        <f t="shared" si="38"/>
        <v>0</v>
      </c>
      <c r="EV36" s="42">
        <f t="shared" si="38"/>
        <v>0</v>
      </c>
      <c r="EW36" s="42">
        <f t="shared" si="38"/>
        <v>0</v>
      </c>
      <c r="EX36" s="42">
        <f t="shared" si="38"/>
        <v>0</v>
      </c>
      <c r="EY36" s="42">
        <f t="shared" si="38"/>
        <v>0</v>
      </c>
      <c r="EZ36" s="42">
        <f t="shared" si="38"/>
        <v>0</v>
      </c>
      <c r="FA36" s="42">
        <f t="shared" si="38"/>
        <v>0</v>
      </c>
      <c r="FB36" s="42">
        <f t="shared" si="38"/>
        <v>0</v>
      </c>
      <c r="FC36" s="42">
        <f t="shared" si="38"/>
        <v>0</v>
      </c>
      <c r="FD36" s="42">
        <f t="shared" si="38"/>
        <v>0</v>
      </c>
      <c r="FE36" s="42">
        <f t="shared" si="38"/>
        <v>0</v>
      </c>
      <c r="FF36" s="42">
        <f t="shared" si="38"/>
        <v>0</v>
      </c>
      <c r="FG36" s="42">
        <f t="shared" si="38"/>
        <v>0</v>
      </c>
      <c r="FH36" s="42">
        <f t="shared" si="38"/>
        <v>0</v>
      </c>
      <c r="FI36" s="42">
        <f t="shared" si="38"/>
        <v>0</v>
      </c>
      <c r="FJ36" s="42">
        <f t="shared" si="38"/>
        <v>0</v>
      </c>
      <c r="FK36" s="42">
        <f t="shared" si="38"/>
        <v>0</v>
      </c>
      <c r="FL36" s="42">
        <f t="shared" si="38"/>
        <v>0</v>
      </c>
      <c r="FM36" s="42">
        <f t="shared" si="38"/>
        <v>0</v>
      </c>
      <c r="FN36" s="42">
        <f t="shared" si="38"/>
        <v>0</v>
      </c>
      <c r="FO36" s="42">
        <f t="shared" si="38"/>
        <v>0</v>
      </c>
      <c r="FP36" s="42">
        <f t="shared" si="38"/>
        <v>0</v>
      </c>
      <c r="FQ36" s="42">
        <f t="shared" si="38"/>
        <v>0</v>
      </c>
      <c r="FR36" s="42">
        <f t="shared" si="38"/>
        <v>0</v>
      </c>
      <c r="FS36" s="42">
        <f t="shared" si="38"/>
        <v>0</v>
      </c>
      <c r="FT36" s="42">
        <f t="shared" si="38"/>
        <v>0</v>
      </c>
      <c r="FU36" s="42">
        <f t="shared" si="38"/>
        <v>0</v>
      </c>
      <c r="FV36" s="42">
        <f t="shared" si="38"/>
        <v>0</v>
      </c>
      <c r="FW36" s="42">
        <f t="shared" si="38"/>
        <v>0</v>
      </c>
      <c r="FX36" s="42">
        <f t="shared" si="38"/>
        <v>0</v>
      </c>
      <c r="FY36" s="42">
        <f t="shared" si="38"/>
        <v>0</v>
      </c>
      <c r="FZ36" s="42">
        <f t="shared" si="38"/>
        <v>0</v>
      </c>
      <c r="GA36" s="42">
        <f t="shared" si="38"/>
        <v>0</v>
      </c>
      <c r="GB36" s="42">
        <f t="shared" si="38"/>
        <v>0</v>
      </c>
      <c r="GC36" s="42">
        <f t="shared" si="38"/>
        <v>0</v>
      </c>
      <c r="GD36" s="42">
        <f t="shared" si="38"/>
        <v>0</v>
      </c>
      <c r="GE36" s="42">
        <f t="shared" si="38"/>
        <v>0</v>
      </c>
      <c r="GF36" s="42">
        <f t="shared" si="38"/>
        <v>0</v>
      </c>
      <c r="GG36" s="42">
        <f t="shared" si="38"/>
        <v>0</v>
      </c>
      <c r="GH36" s="42">
        <f t="shared" si="38"/>
        <v>0</v>
      </c>
    </row>
    <row r="37" spans="2:190" ht="14.5" thickBot="1">
      <c r="B37" s="43" t="s">
        <v>242</v>
      </c>
      <c r="C37" s="31">
        <v>41618</v>
      </c>
      <c r="D37" s="31">
        <v>48923</v>
      </c>
      <c r="E37" s="32">
        <v>3.75</v>
      </c>
      <c r="F37" s="33" t="s">
        <v>30</v>
      </c>
      <c r="G37" s="34">
        <v>122.47</v>
      </c>
      <c r="H37" s="34">
        <v>3728</v>
      </c>
      <c r="I37" s="32">
        <v>4.0590000000000002</v>
      </c>
      <c r="J37" s="35">
        <v>9854.7000000000007</v>
      </c>
      <c r="K37" s="44" cm="1">
        <f t="array" ref="K37">_xlfn.LET(
    _xlpm.settle,$B$3,
    _xlpm.mat,$D37,
    _xlpm.coupon,10000*$E37/200,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110.65573770491804</v>
      </c>
      <c r="L37" s="37">
        <f t="shared" si="3"/>
        <v>9965.3557377049183</v>
      </c>
      <c r="M37" s="120">
        <v>0.67185890871369025</v>
      </c>
      <c r="N37" s="45">
        <f t="shared" si="4"/>
        <v>3.8938579664070348E-2</v>
      </c>
      <c r="O37" s="99">
        <f t="shared" si="5"/>
        <v>9965.353304490598</v>
      </c>
      <c r="P37" s="39">
        <f t="shared" si="6"/>
        <v>-2.4332143202627776E-3</v>
      </c>
      <c r="R37" s="41">
        <f t="shared" si="10"/>
        <v>122</v>
      </c>
      <c r="S37" s="42">
        <f t="shared" si="25"/>
        <v>187.5</v>
      </c>
      <c r="T37" s="42">
        <f t="shared" si="37"/>
        <v>0</v>
      </c>
      <c r="U37" s="42">
        <f t="shared" si="37"/>
        <v>187.5</v>
      </c>
      <c r="V37" s="42">
        <f t="shared" si="37"/>
        <v>0</v>
      </c>
      <c r="W37" s="42">
        <f t="shared" si="37"/>
        <v>187.5</v>
      </c>
      <c r="X37" s="42">
        <f t="shared" si="37"/>
        <v>0</v>
      </c>
      <c r="Y37" s="42">
        <f t="shared" si="37"/>
        <v>187.5</v>
      </c>
      <c r="Z37" s="42">
        <f t="shared" si="37"/>
        <v>0</v>
      </c>
      <c r="AA37" s="42">
        <f t="shared" si="37"/>
        <v>187.5</v>
      </c>
      <c r="AB37" s="42">
        <f t="shared" si="37"/>
        <v>0</v>
      </c>
      <c r="AC37" s="42">
        <f t="shared" si="37"/>
        <v>187.5</v>
      </c>
      <c r="AD37" s="42">
        <f t="shared" si="37"/>
        <v>0</v>
      </c>
      <c r="AE37" s="42">
        <f t="shared" si="37"/>
        <v>187.5</v>
      </c>
      <c r="AF37" s="42">
        <f t="shared" si="37"/>
        <v>0</v>
      </c>
      <c r="AG37" s="42">
        <f t="shared" si="37"/>
        <v>187.5</v>
      </c>
      <c r="AH37" s="42">
        <f t="shared" si="37"/>
        <v>0</v>
      </c>
      <c r="AI37" s="42">
        <f t="shared" si="37"/>
        <v>187.5</v>
      </c>
      <c r="AJ37" s="42">
        <f t="shared" si="37"/>
        <v>0</v>
      </c>
      <c r="AK37" s="42">
        <f t="shared" si="37"/>
        <v>187.5</v>
      </c>
      <c r="AL37" s="42">
        <f t="shared" si="37"/>
        <v>0</v>
      </c>
      <c r="AM37" s="42">
        <f t="shared" si="37"/>
        <v>187.5</v>
      </c>
      <c r="AN37" s="42">
        <f t="shared" si="37"/>
        <v>0</v>
      </c>
      <c r="AO37" s="42">
        <f t="shared" si="37"/>
        <v>187.5</v>
      </c>
      <c r="AP37" s="42">
        <f t="shared" si="37"/>
        <v>0</v>
      </c>
      <c r="AQ37" s="42">
        <f t="shared" si="37"/>
        <v>187.5</v>
      </c>
      <c r="AR37" s="42">
        <f t="shared" si="37"/>
        <v>0</v>
      </c>
      <c r="AS37" s="42">
        <f t="shared" si="37"/>
        <v>187.5</v>
      </c>
      <c r="AT37" s="42">
        <f t="shared" si="37"/>
        <v>0</v>
      </c>
      <c r="AU37" s="42">
        <f t="shared" si="37"/>
        <v>187.5</v>
      </c>
      <c r="AV37" s="42">
        <f t="shared" si="37"/>
        <v>0</v>
      </c>
      <c r="AW37" s="42">
        <f t="shared" si="37"/>
        <v>187.5</v>
      </c>
      <c r="AX37" s="42">
        <f t="shared" si="37"/>
        <v>0</v>
      </c>
      <c r="AY37" s="42">
        <f t="shared" si="37"/>
        <v>187.5</v>
      </c>
      <c r="AZ37" s="42">
        <f t="shared" si="37"/>
        <v>0</v>
      </c>
      <c r="BA37" s="42">
        <f t="shared" si="37"/>
        <v>187.5</v>
      </c>
      <c r="BB37" s="42">
        <f t="shared" si="37"/>
        <v>0</v>
      </c>
      <c r="BC37" s="42">
        <f t="shared" si="37"/>
        <v>187.5</v>
      </c>
      <c r="BD37" s="42">
        <f t="shared" si="37"/>
        <v>0</v>
      </c>
      <c r="BE37" s="42">
        <f t="shared" si="37"/>
        <v>187.5</v>
      </c>
      <c r="BF37" s="42">
        <f t="shared" si="37"/>
        <v>0</v>
      </c>
      <c r="BG37" s="42">
        <f t="shared" si="37"/>
        <v>10187.5</v>
      </c>
      <c r="BH37" s="42">
        <f t="shared" si="37"/>
        <v>0</v>
      </c>
      <c r="BI37" s="42">
        <f t="shared" si="37"/>
        <v>0</v>
      </c>
      <c r="BJ37" s="42">
        <f t="shared" si="37"/>
        <v>0</v>
      </c>
      <c r="BK37" s="42">
        <f t="shared" si="37"/>
        <v>0</v>
      </c>
      <c r="BL37" s="42">
        <f t="shared" si="37"/>
        <v>0</v>
      </c>
      <c r="BM37" s="42">
        <f t="shared" si="37"/>
        <v>0</v>
      </c>
      <c r="BN37" s="42">
        <f t="shared" si="37"/>
        <v>0</v>
      </c>
      <c r="BO37" s="42">
        <f t="shared" si="37"/>
        <v>0</v>
      </c>
      <c r="BP37" s="42">
        <f t="shared" si="37"/>
        <v>0</v>
      </c>
      <c r="BQ37" s="42">
        <f t="shared" si="37"/>
        <v>0</v>
      </c>
      <c r="BR37" s="42">
        <f t="shared" si="37"/>
        <v>0</v>
      </c>
      <c r="BS37" s="42">
        <f t="shared" si="37"/>
        <v>0</v>
      </c>
      <c r="BT37" s="42">
        <f t="shared" si="37"/>
        <v>0</v>
      </c>
      <c r="BU37" s="42">
        <f t="shared" si="37"/>
        <v>0</v>
      </c>
      <c r="BV37" s="42">
        <f t="shared" si="37"/>
        <v>0</v>
      </c>
      <c r="BW37" s="42">
        <f t="shared" si="37"/>
        <v>0</v>
      </c>
      <c r="BX37" s="42">
        <f t="shared" si="37"/>
        <v>0</v>
      </c>
      <c r="BY37" s="42">
        <f t="shared" si="37"/>
        <v>0</v>
      </c>
      <c r="BZ37" s="42">
        <f t="shared" si="37"/>
        <v>0</v>
      </c>
      <c r="CA37" s="42">
        <f t="shared" si="37"/>
        <v>0</v>
      </c>
      <c r="CB37" s="42">
        <f t="shared" si="37"/>
        <v>0</v>
      </c>
      <c r="CC37" s="42">
        <f t="shared" si="37"/>
        <v>0</v>
      </c>
      <c r="CD37" s="42">
        <f t="shared" si="37"/>
        <v>0</v>
      </c>
      <c r="CE37" s="42">
        <f t="shared" si="37"/>
        <v>0</v>
      </c>
      <c r="CF37" s="42">
        <f t="shared" si="35"/>
        <v>0</v>
      </c>
      <c r="CG37" s="42">
        <f t="shared" si="35"/>
        <v>0</v>
      </c>
      <c r="CH37" s="42">
        <f t="shared" si="35"/>
        <v>0</v>
      </c>
      <c r="CI37" s="42">
        <f t="shared" si="35"/>
        <v>0</v>
      </c>
      <c r="CJ37" s="42">
        <f t="shared" si="35"/>
        <v>0</v>
      </c>
      <c r="CK37" s="42">
        <f t="shared" si="35"/>
        <v>0</v>
      </c>
      <c r="CL37" s="42">
        <f t="shared" si="35"/>
        <v>0</v>
      </c>
      <c r="CM37" s="42">
        <f t="shared" si="35"/>
        <v>0</v>
      </c>
      <c r="CN37" s="42">
        <f t="shared" si="35"/>
        <v>0</v>
      </c>
      <c r="CO37" s="42">
        <f t="shared" si="35"/>
        <v>0</v>
      </c>
      <c r="CP37" s="42">
        <f t="shared" si="35"/>
        <v>0</v>
      </c>
      <c r="CQ37" s="42">
        <f t="shared" si="35"/>
        <v>0</v>
      </c>
      <c r="CR37" s="42">
        <f t="shared" si="35"/>
        <v>0</v>
      </c>
      <c r="CS37" s="42">
        <f t="shared" si="35"/>
        <v>0</v>
      </c>
      <c r="CT37" s="42">
        <f t="shared" si="35"/>
        <v>0</v>
      </c>
      <c r="CU37" s="42">
        <f t="shared" si="35"/>
        <v>0</v>
      </c>
      <c r="CV37" s="42">
        <f t="shared" si="35"/>
        <v>0</v>
      </c>
      <c r="CW37" s="42">
        <f t="shared" si="35"/>
        <v>0</v>
      </c>
      <c r="CX37" s="42">
        <f t="shared" si="35"/>
        <v>0</v>
      </c>
      <c r="CY37" s="42">
        <f t="shared" si="35"/>
        <v>0</v>
      </c>
      <c r="CZ37" s="42">
        <f t="shared" si="35"/>
        <v>0</v>
      </c>
      <c r="DA37" s="42">
        <f t="shared" si="35"/>
        <v>0</v>
      </c>
      <c r="DB37" s="42">
        <f t="shared" si="35"/>
        <v>0</v>
      </c>
      <c r="DC37" s="42">
        <f t="shared" si="35"/>
        <v>0</v>
      </c>
      <c r="DD37" s="42">
        <f t="shared" si="35"/>
        <v>0</v>
      </c>
      <c r="DE37" s="42">
        <f t="shared" si="35"/>
        <v>0</v>
      </c>
      <c r="DF37" s="42">
        <f t="shared" si="35"/>
        <v>0</v>
      </c>
      <c r="DG37" s="42">
        <f t="shared" si="35"/>
        <v>0</v>
      </c>
      <c r="DH37" s="42">
        <f t="shared" si="35"/>
        <v>0</v>
      </c>
      <c r="DI37" s="42">
        <f t="shared" si="35"/>
        <v>0</v>
      </c>
      <c r="DJ37" s="42">
        <f t="shared" si="35"/>
        <v>0</v>
      </c>
      <c r="DK37" s="42">
        <f t="shared" si="35"/>
        <v>0</v>
      </c>
      <c r="DL37" s="42">
        <f t="shared" si="35"/>
        <v>0</v>
      </c>
      <c r="DM37" s="42">
        <f t="shared" si="35"/>
        <v>0</v>
      </c>
      <c r="DN37" s="42">
        <f t="shared" si="35"/>
        <v>0</v>
      </c>
      <c r="DO37" s="42">
        <f t="shared" si="35"/>
        <v>0</v>
      </c>
      <c r="DP37" s="42">
        <f t="shared" si="35"/>
        <v>0</v>
      </c>
      <c r="DQ37" s="42">
        <f t="shared" si="35"/>
        <v>0</v>
      </c>
      <c r="DR37" s="42">
        <f t="shared" si="35"/>
        <v>0</v>
      </c>
      <c r="DS37" s="42">
        <f t="shared" si="35"/>
        <v>0</v>
      </c>
      <c r="DT37" s="42">
        <f t="shared" si="35"/>
        <v>0</v>
      </c>
      <c r="DU37" s="42">
        <f t="shared" si="35"/>
        <v>0</v>
      </c>
      <c r="DV37" s="42">
        <f t="shared" si="35"/>
        <v>0</v>
      </c>
      <c r="DW37" s="42">
        <f t="shared" si="35"/>
        <v>0</v>
      </c>
      <c r="DX37" s="42">
        <f t="shared" si="35"/>
        <v>0</v>
      </c>
      <c r="DY37" s="42">
        <f t="shared" si="35"/>
        <v>0</v>
      </c>
      <c r="DZ37" s="42">
        <f t="shared" si="35"/>
        <v>0</v>
      </c>
      <c r="EA37" s="42">
        <f t="shared" si="35"/>
        <v>0</v>
      </c>
      <c r="EB37" s="42">
        <f t="shared" si="35"/>
        <v>0</v>
      </c>
      <c r="EC37" s="42">
        <f t="shared" si="35"/>
        <v>0</v>
      </c>
      <c r="ED37" s="42">
        <f t="shared" si="35"/>
        <v>0</v>
      </c>
      <c r="EE37" s="42">
        <f t="shared" si="35"/>
        <v>0</v>
      </c>
      <c r="EF37" s="42">
        <f t="shared" si="35"/>
        <v>0</v>
      </c>
      <c r="EG37" s="42">
        <f t="shared" si="35"/>
        <v>0</v>
      </c>
      <c r="EH37" s="42">
        <f t="shared" si="35"/>
        <v>0</v>
      </c>
      <c r="EI37" s="42">
        <f t="shared" si="35"/>
        <v>0</v>
      </c>
      <c r="EJ37" s="42">
        <f t="shared" si="35"/>
        <v>0</v>
      </c>
      <c r="EK37" s="42">
        <f t="shared" si="35"/>
        <v>0</v>
      </c>
      <c r="EL37" s="42">
        <f t="shared" si="35"/>
        <v>0</v>
      </c>
      <c r="EM37" s="42">
        <f t="shared" si="35"/>
        <v>0</v>
      </c>
      <c r="EN37" s="42">
        <f t="shared" si="35"/>
        <v>0</v>
      </c>
      <c r="EO37" s="42">
        <f t="shared" si="35"/>
        <v>0</v>
      </c>
      <c r="EP37" s="42">
        <f t="shared" si="35"/>
        <v>0</v>
      </c>
      <c r="EQ37" s="42">
        <f t="shared" si="28"/>
        <v>0</v>
      </c>
      <c r="ER37" s="42">
        <f t="shared" si="27"/>
        <v>0</v>
      </c>
      <c r="ES37" s="42">
        <f t="shared" si="27"/>
        <v>0</v>
      </c>
      <c r="ET37" s="42">
        <f t="shared" si="38"/>
        <v>0</v>
      </c>
      <c r="EU37" s="42">
        <f t="shared" si="38"/>
        <v>0</v>
      </c>
      <c r="EV37" s="42">
        <f t="shared" si="38"/>
        <v>0</v>
      </c>
      <c r="EW37" s="42">
        <f t="shared" si="38"/>
        <v>0</v>
      </c>
      <c r="EX37" s="42">
        <f t="shared" si="38"/>
        <v>0</v>
      </c>
      <c r="EY37" s="42">
        <f t="shared" si="38"/>
        <v>0</v>
      </c>
      <c r="EZ37" s="42">
        <f t="shared" si="38"/>
        <v>0</v>
      </c>
      <c r="FA37" s="42">
        <f t="shared" si="38"/>
        <v>0</v>
      </c>
      <c r="FB37" s="42">
        <f t="shared" si="38"/>
        <v>0</v>
      </c>
      <c r="FC37" s="42">
        <f t="shared" si="38"/>
        <v>0</v>
      </c>
      <c r="FD37" s="42">
        <f t="shared" si="38"/>
        <v>0</v>
      </c>
      <c r="FE37" s="42">
        <f t="shared" si="38"/>
        <v>0</v>
      </c>
      <c r="FF37" s="42">
        <f t="shared" si="38"/>
        <v>0</v>
      </c>
      <c r="FG37" s="42">
        <f t="shared" si="38"/>
        <v>0</v>
      </c>
      <c r="FH37" s="42">
        <f t="shared" si="38"/>
        <v>0</v>
      </c>
      <c r="FI37" s="42">
        <f t="shared" si="38"/>
        <v>0</v>
      </c>
      <c r="FJ37" s="42">
        <f t="shared" si="38"/>
        <v>0</v>
      </c>
      <c r="FK37" s="42">
        <f t="shared" si="38"/>
        <v>0</v>
      </c>
      <c r="FL37" s="42">
        <f t="shared" si="38"/>
        <v>0</v>
      </c>
      <c r="FM37" s="42">
        <f t="shared" si="38"/>
        <v>0</v>
      </c>
      <c r="FN37" s="42">
        <f t="shared" si="38"/>
        <v>0</v>
      </c>
      <c r="FO37" s="42">
        <f t="shared" si="38"/>
        <v>0</v>
      </c>
      <c r="FP37" s="42">
        <f t="shared" si="38"/>
        <v>0</v>
      </c>
      <c r="FQ37" s="42">
        <f t="shared" si="38"/>
        <v>0</v>
      </c>
      <c r="FR37" s="42">
        <f t="shared" si="38"/>
        <v>0</v>
      </c>
      <c r="FS37" s="42">
        <f t="shared" si="38"/>
        <v>0</v>
      </c>
      <c r="FT37" s="42">
        <f t="shared" si="38"/>
        <v>0</v>
      </c>
      <c r="FU37" s="42">
        <f t="shared" si="38"/>
        <v>0</v>
      </c>
      <c r="FV37" s="42">
        <f t="shared" si="38"/>
        <v>0</v>
      </c>
      <c r="FW37" s="42">
        <f t="shared" si="38"/>
        <v>0</v>
      </c>
      <c r="FX37" s="42">
        <f t="shared" si="38"/>
        <v>0</v>
      </c>
      <c r="FY37" s="42">
        <f t="shared" si="38"/>
        <v>0</v>
      </c>
      <c r="FZ37" s="42">
        <f t="shared" si="38"/>
        <v>0</v>
      </c>
      <c r="GA37" s="42">
        <f t="shared" si="38"/>
        <v>0</v>
      </c>
      <c r="GB37" s="42">
        <f t="shared" si="38"/>
        <v>0</v>
      </c>
      <c r="GC37" s="42">
        <f t="shared" si="38"/>
        <v>0</v>
      </c>
      <c r="GD37" s="42">
        <f t="shared" si="38"/>
        <v>0</v>
      </c>
      <c r="GE37" s="42">
        <f t="shared" si="38"/>
        <v>0</v>
      </c>
      <c r="GF37" s="42">
        <f t="shared" si="38"/>
        <v>0</v>
      </c>
      <c r="GG37" s="42">
        <f t="shared" si="38"/>
        <v>0</v>
      </c>
      <c r="GH37" s="42">
        <f t="shared" si="38"/>
        <v>0</v>
      </c>
    </row>
    <row r="38" spans="2:190" ht="14.5" thickBot="1">
      <c r="B38" s="43" t="s">
        <v>243</v>
      </c>
      <c r="C38" s="31">
        <v>42257</v>
      </c>
      <c r="D38" s="31">
        <v>49562</v>
      </c>
      <c r="E38" s="32">
        <v>2.625</v>
      </c>
      <c r="F38" s="33" t="s">
        <v>31</v>
      </c>
      <c r="G38" s="34">
        <v>143.47</v>
      </c>
      <c r="H38" s="34">
        <v>4366</v>
      </c>
      <c r="I38" s="32">
        <v>4.0380000000000003</v>
      </c>
      <c r="J38" s="35">
        <v>8682</v>
      </c>
      <c r="K38" s="44" cm="1">
        <f t="array" ref="K38">_xlfn.LET(
    _xlpm.settle,$B$3,
    _xlpm.mat,$D38,
    _xlpm.coupon,10000*$E38/200,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11.538461538461538</v>
      </c>
      <c r="L38" s="37">
        <f t="shared" si="3"/>
        <v>8693.538461538461</v>
      </c>
      <c r="M38" s="120">
        <v>0.61988501664387219</v>
      </c>
      <c r="N38" s="45">
        <f t="shared" si="4"/>
        <v>3.9979561483377689E-2</v>
      </c>
      <c r="O38" s="99">
        <f t="shared" si="5"/>
        <v>8693.5391599308805</v>
      </c>
      <c r="P38" s="39">
        <f t="shared" si="6"/>
        <v>6.983924195083091E-4</v>
      </c>
      <c r="R38" s="41">
        <f t="shared" si="10"/>
        <v>143</v>
      </c>
      <c r="S38" s="42">
        <f t="shared" si="25"/>
        <v>0</v>
      </c>
      <c r="T38" s="42">
        <f t="shared" si="37"/>
        <v>131.25</v>
      </c>
      <c r="U38" s="42">
        <f t="shared" si="37"/>
        <v>0</v>
      </c>
      <c r="V38" s="42">
        <f t="shared" si="37"/>
        <v>131.25</v>
      </c>
      <c r="W38" s="42">
        <f t="shared" si="37"/>
        <v>0</v>
      </c>
      <c r="X38" s="42">
        <f t="shared" si="37"/>
        <v>131.25</v>
      </c>
      <c r="Y38" s="42">
        <f t="shared" si="37"/>
        <v>0</v>
      </c>
      <c r="Z38" s="42">
        <f t="shared" si="37"/>
        <v>131.25</v>
      </c>
      <c r="AA38" s="42">
        <f t="shared" si="37"/>
        <v>0</v>
      </c>
      <c r="AB38" s="42">
        <f t="shared" si="37"/>
        <v>131.25</v>
      </c>
      <c r="AC38" s="42">
        <f t="shared" si="37"/>
        <v>0</v>
      </c>
      <c r="AD38" s="42">
        <f t="shared" si="37"/>
        <v>131.25</v>
      </c>
      <c r="AE38" s="42">
        <f t="shared" si="37"/>
        <v>0</v>
      </c>
      <c r="AF38" s="42">
        <f t="shared" si="37"/>
        <v>131.25</v>
      </c>
      <c r="AG38" s="42">
        <f t="shared" si="37"/>
        <v>0</v>
      </c>
      <c r="AH38" s="42">
        <f t="shared" si="37"/>
        <v>131.25</v>
      </c>
      <c r="AI38" s="42">
        <f t="shared" si="37"/>
        <v>0</v>
      </c>
      <c r="AJ38" s="42">
        <f t="shared" si="37"/>
        <v>131.25</v>
      </c>
      <c r="AK38" s="42">
        <f t="shared" si="37"/>
        <v>0</v>
      </c>
      <c r="AL38" s="42">
        <f t="shared" si="37"/>
        <v>131.25</v>
      </c>
      <c r="AM38" s="42">
        <f t="shared" si="37"/>
        <v>0</v>
      </c>
      <c r="AN38" s="42">
        <f t="shared" si="37"/>
        <v>131.25</v>
      </c>
      <c r="AO38" s="42">
        <f t="shared" si="37"/>
        <v>0</v>
      </c>
      <c r="AP38" s="42">
        <f t="shared" si="37"/>
        <v>131.25</v>
      </c>
      <c r="AQ38" s="42">
        <f t="shared" si="37"/>
        <v>0</v>
      </c>
      <c r="AR38" s="42">
        <f t="shared" si="37"/>
        <v>131.25</v>
      </c>
      <c r="AS38" s="42">
        <f t="shared" si="37"/>
        <v>0</v>
      </c>
      <c r="AT38" s="42">
        <f t="shared" si="37"/>
        <v>131.25</v>
      </c>
      <c r="AU38" s="42">
        <f t="shared" si="37"/>
        <v>0</v>
      </c>
      <c r="AV38" s="42">
        <f t="shared" si="37"/>
        <v>131.25</v>
      </c>
      <c r="AW38" s="42">
        <f t="shared" si="37"/>
        <v>0</v>
      </c>
      <c r="AX38" s="42">
        <f t="shared" si="37"/>
        <v>131.25</v>
      </c>
      <c r="AY38" s="42">
        <f t="shared" si="37"/>
        <v>0</v>
      </c>
      <c r="AZ38" s="42">
        <f t="shared" si="37"/>
        <v>131.25</v>
      </c>
      <c r="BA38" s="42">
        <f t="shared" si="37"/>
        <v>0</v>
      </c>
      <c r="BB38" s="42">
        <f t="shared" si="37"/>
        <v>131.25</v>
      </c>
      <c r="BC38" s="42">
        <f t="shared" si="37"/>
        <v>0</v>
      </c>
      <c r="BD38" s="42">
        <f t="shared" si="37"/>
        <v>131.25</v>
      </c>
      <c r="BE38" s="42">
        <f t="shared" si="37"/>
        <v>0</v>
      </c>
      <c r="BF38" s="42">
        <f t="shared" si="37"/>
        <v>131.25</v>
      </c>
      <c r="BG38" s="42">
        <f t="shared" si="37"/>
        <v>0</v>
      </c>
      <c r="BH38" s="42">
        <f t="shared" si="37"/>
        <v>131.25</v>
      </c>
      <c r="BI38" s="42">
        <f t="shared" si="37"/>
        <v>0</v>
      </c>
      <c r="BJ38" s="42">
        <f t="shared" si="37"/>
        <v>131.25</v>
      </c>
      <c r="BK38" s="42">
        <f t="shared" si="37"/>
        <v>0</v>
      </c>
      <c r="BL38" s="42">
        <f t="shared" si="37"/>
        <v>131.25</v>
      </c>
      <c r="BM38" s="42">
        <f t="shared" si="37"/>
        <v>0</v>
      </c>
      <c r="BN38" s="42">
        <f t="shared" si="37"/>
        <v>10131.25</v>
      </c>
      <c r="BO38" s="42">
        <f t="shared" si="37"/>
        <v>0</v>
      </c>
      <c r="BP38" s="42">
        <f t="shared" si="37"/>
        <v>0</v>
      </c>
      <c r="BQ38" s="42">
        <f t="shared" si="37"/>
        <v>0</v>
      </c>
      <c r="BR38" s="42">
        <f t="shared" si="37"/>
        <v>0</v>
      </c>
      <c r="BS38" s="42">
        <f t="shared" si="37"/>
        <v>0</v>
      </c>
      <c r="BT38" s="42">
        <f t="shared" si="37"/>
        <v>0</v>
      </c>
      <c r="BU38" s="42">
        <f t="shared" si="37"/>
        <v>0</v>
      </c>
      <c r="BV38" s="42">
        <f t="shared" si="37"/>
        <v>0</v>
      </c>
      <c r="BW38" s="42">
        <f t="shared" si="37"/>
        <v>0</v>
      </c>
      <c r="BX38" s="42">
        <f t="shared" si="37"/>
        <v>0</v>
      </c>
      <c r="BY38" s="42">
        <f t="shared" si="37"/>
        <v>0</v>
      </c>
      <c r="BZ38" s="42">
        <f t="shared" si="37"/>
        <v>0</v>
      </c>
      <c r="CA38" s="42">
        <f t="shared" si="37"/>
        <v>0</v>
      </c>
      <c r="CB38" s="42">
        <f t="shared" si="37"/>
        <v>0</v>
      </c>
      <c r="CC38" s="42">
        <f t="shared" si="37"/>
        <v>0</v>
      </c>
      <c r="CD38" s="42">
        <f t="shared" si="37"/>
        <v>0</v>
      </c>
      <c r="CE38" s="42">
        <f t="shared" si="37"/>
        <v>0</v>
      </c>
      <c r="CF38" s="42">
        <f t="shared" si="35"/>
        <v>0</v>
      </c>
      <c r="CG38" s="42">
        <f t="shared" si="35"/>
        <v>0</v>
      </c>
      <c r="CH38" s="42">
        <f t="shared" si="35"/>
        <v>0</v>
      </c>
      <c r="CI38" s="42">
        <f t="shared" si="35"/>
        <v>0</v>
      </c>
      <c r="CJ38" s="42">
        <f t="shared" si="35"/>
        <v>0</v>
      </c>
      <c r="CK38" s="42">
        <f t="shared" si="35"/>
        <v>0</v>
      </c>
      <c r="CL38" s="42">
        <f t="shared" si="35"/>
        <v>0</v>
      </c>
      <c r="CM38" s="42">
        <f t="shared" si="35"/>
        <v>0</v>
      </c>
      <c r="CN38" s="42">
        <f t="shared" si="35"/>
        <v>0</v>
      </c>
      <c r="CO38" s="42">
        <f t="shared" si="35"/>
        <v>0</v>
      </c>
      <c r="CP38" s="42">
        <f t="shared" si="35"/>
        <v>0</v>
      </c>
      <c r="CQ38" s="42">
        <f t="shared" si="35"/>
        <v>0</v>
      </c>
      <c r="CR38" s="42">
        <f t="shared" si="35"/>
        <v>0</v>
      </c>
      <c r="CS38" s="42">
        <f t="shared" si="35"/>
        <v>0</v>
      </c>
      <c r="CT38" s="42">
        <f t="shared" si="35"/>
        <v>0</v>
      </c>
      <c r="CU38" s="42">
        <f t="shared" si="35"/>
        <v>0</v>
      </c>
      <c r="CV38" s="42">
        <f t="shared" si="35"/>
        <v>0</v>
      </c>
      <c r="CW38" s="42">
        <f t="shared" si="35"/>
        <v>0</v>
      </c>
      <c r="CX38" s="42">
        <f t="shared" si="35"/>
        <v>0</v>
      </c>
      <c r="CY38" s="42">
        <f t="shared" si="35"/>
        <v>0</v>
      </c>
      <c r="CZ38" s="42">
        <f t="shared" si="35"/>
        <v>0</v>
      </c>
      <c r="DA38" s="42">
        <f t="shared" si="35"/>
        <v>0</v>
      </c>
      <c r="DB38" s="42">
        <f t="shared" si="35"/>
        <v>0</v>
      </c>
      <c r="DC38" s="42">
        <f t="shared" si="35"/>
        <v>0</v>
      </c>
      <c r="DD38" s="42">
        <f t="shared" si="35"/>
        <v>0</v>
      </c>
      <c r="DE38" s="42">
        <f t="shared" si="35"/>
        <v>0</v>
      </c>
      <c r="DF38" s="42">
        <f t="shared" si="35"/>
        <v>0</v>
      </c>
      <c r="DG38" s="42">
        <f t="shared" si="35"/>
        <v>0</v>
      </c>
      <c r="DH38" s="42">
        <f t="shared" si="35"/>
        <v>0</v>
      </c>
      <c r="DI38" s="42">
        <f t="shared" si="35"/>
        <v>0</v>
      </c>
      <c r="DJ38" s="42">
        <f t="shared" si="35"/>
        <v>0</v>
      </c>
      <c r="DK38" s="42">
        <f t="shared" si="35"/>
        <v>0</v>
      </c>
      <c r="DL38" s="42">
        <f t="shared" si="35"/>
        <v>0</v>
      </c>
      <c r="DM38" s="42">
        <f t="shared" si="35"/>
        <v>0</v>
      </c>
      <c r="DN38" s="42">
        <f t="shared" si="35"/>
        <v>0</v>
      </c>
      <c r="DO38" s="42">
        <f t="shared" si="35"/>
        <v>0</v>
      </c>
      <c r="DP38" s="42">
        <f t="shared" si="35"/>
        <v>0</v>
      </c>
      <c r="DQ38" s="42">
        <f t="shared" si="35"/>
        <v>0</v>
      </c>
      <c r="DR38" s="42">
        <f t="shared" si="35"/>
        <v>0</v>
      </c>
      <c r="DS38" s="42">
        <f t="shared" si="35"/>
        <v>0</v>
      </c>
      <c r="DT38" s="42">
        <f t="shared" si="35"/>
        <v>0</v>
      </c>
      <c r="DU38" s="42">
        <f t="shared" si="35"/>
        <v>0</v>
      </c>
      <c r="DV38" s="42">
        <f t="shared" si="35"/>
        <v>0</v>
      </c>
      <c r="DW38" s="42">
        <f t="shared" si="35"/>
        <v>0</v>
      </c>
      <c r="DX38" s="42">
        <f t="shared" si="35"/>
        <v>0</v>
      </c>
      <c r="DY38" s="42">
        <f t="shared" si="35"/>
        <v>0</v>
      </c>
      <c r="DZ38" s="42">
        <f t="shared" si="35"/>
        <v>0</v>
      </c>
      <c r="EA38" s="42">
        <f t="shared" si="35"/>
        <v>0</v>
      </c>
      <c r="EB38" s="42">
        <f t="shared" si="35"/>
        <v>0</v>
      </c>
      <c r="EC38" s="42">
        <f t="shared" si="35"/>
        <v>0</v>
      </c>
      <c r="ED38" s="42">
        <f t="shared" si="35"/>
        <v>0</v>
      </c>
      <c r="EE38" s="42">
        <f t="shared" si="35"/>
        <v>0</v>
      </c>
      <c r="EF38" s="42">
        <f t="shared" si="35"/>
        <v>0</v>
      </c>
      <c r="EG38" s="42">
        <f t="shared" si="35"/>
        <v>0</v>
      </c>
      <c r="EH38" s="42">
        <f t="shared" si="35"/>
        <v>0</v>
      </c>
      <c r="EI38" s="42">
        <f t="shared" si="35"/>
        <v>0</v>
      </c>
      <c r="EJ38" s="42">
        <f t="shared" si="35"/>
        <v>0</v>
      </c>
      <c r="EK38" s="42">
        <f t="shared" si="35"/>
        <v>0</v>
      </c>
      <c r="EL38" s="42">
        <f t="shared" si="35"/>
        <v>0</v>
      </c>
      <c r="EM38" s="42">
        <f t="shared" si="35"/>
        <v>0</v>
      </c>
      <c r="EN38" s="42">
        <f t="shared" si="35"/>
        <v>0</v>
      </c>
      <c r="EO38" s="42">
        <f t="shared" si="35"/>
        <v>0</v>
      </c>
      <c r="EP38" s="42">
        <f t="shared" si="35"/>
        <v>0</v>
      </c>
      <c r="EQ38" s="42">
        <f t="shared" si="28"/>
        <v>0</v>
      </c>
      <c r="ER38" s="42">
        <f t="shared" si="27"/>
        <v>0</v>
      </c>
      <c r="ES38" s="42">
        <f t="shared" si="27"/>
        <v>0</v>
      </c>
      <c r="ET38" s="42">
        <f t="shared" si="38"/>
        <v>0</v>
      </c>
      <c r="EU38" s="42">
        <f t="shared" si="38"/>
        <v>0</v>
      </c>
      <c r="EV38" s="42">
        <f t="shared" si="38"/>
        <v>0</v>
      </c>
      <c r="EW38" s="42">
        <f t="shared" si="38"/>
        <v>0</v>
      </c>
      <c r="EX38" s="42">
        <f t="shared" si="38"/>
        <v>0</v>
      </c>
      <c r="EY38" s="42">
        <f t="shared" si="38"/>
        <v>0</v>
      </c>
      <c r="EZ38" s="42">
        <f t="shared" si="38"/>
        <v>0</v>
      </c>
      <c r="FA38" s="42">
        <f t="shared" si="38"/>
        <v>0</v>
      </c>
      <c r="FB38" s="42">
        <f t="shared" si="38"/>
        <v>0</v>
      </c>
      <c r="FC38" s="42">
        <f t="shared" si="38"/>
        <v>0</v>
      </c>
      <c r="FD38" s="42">
        <f t="shared" si="38"/>
        <v>0</v>
      </c>
      <c r="FE38" s="42">
        <f t="shared" si="38"/>
        <v>0</v>
      </c>
      <c r="FF38" s="42">
        <f t="shared" si="38"/>
        <v>0</v>
      </c>
      <c r="FG38" s="42">
        <f t="shared" si="38"/>
        <v>0</v>
      </c>
      <c r="FH38" s="42">
        <f t="shared" si="38"/>
        <v>0</v>
      </c>
      <c r="FI38" s="42">
        <f t="shared" si="38"/>
        <v>0</v>
      </c>
      <c r="FJ38" s="42">
        <f t="shared" si="38"/>
        <v>0</v>
      </c>
      <c r="FK38" s="42">
        <f t="shared" si="38"/>
        <v>0</v>
      </c>
      <c r="FL38" s="42">
        <f t="shared" si="38"/>
        <v>0</v>
      </c>
      <c r="FM38" s="42">
        <f t="shared" si="38"/>
        <v>0</v>
      </c>
      <c r="FN38" s="42">
        <f t="shared" si="38"/>
        <v>0</v>
      </c>
      <c r="FO38" s="42">
        <f t="shared" si="38"/>
        <v>0</v>
      </c>
      <c r="FP38" s="42">
        <f t="shared" si="38"/>
        <v>0</v>
      </c>
      <c r="FQ38" s="42">
        <f t="shared" si="38"/>
        <v>0</v>
      </c>
      <c r="FR38" s="42">
        <f t="shared" si="38"/>
        <v>0</v>
      </c>
      <c r="FS38" s="42">
        <f t="shared" si="38"/>
        <v>0</v>
      </c>
      <c r="FT38" s="42">
        <f t="shared" si="38"/>
        <v>0</v>
      </c>
      <c r="FU38" s="42">
        <f t="shared" si="38"/>
        <v>0</v>
      </c>
      <c r="FV38" s="42">
        <f t="shared" si="38"/>
        <v>0</v>
      </c>
      <c r="FW38" s="42">
        <f t="shared" si="38"/>
        <v>0</v>
      </c>
      <c r="FX38" s="42">
        <f t="shared" si="38"/>
        <v>0</v>
      </c>
      <c r="FY38" s="42">
        <f t="shared" si="38"/>
        <v>0</v>
      </c>
      <c r="FZ38" s="42">
        <f t="shared" si="38"/>
        <v>0</v>
      </c>
      <c r="GA38" s="42">
        <f t="shared" si="38"/>
        <v>0</v>
      </c>
      <c r="GB38" s="42">
        <f t="shared" si="38"/>
        <v>0</v>
      </c>
      <c r="GC38" s="42">
        <f t="shared" si="38"/>
        <v>0</v>
      </c>
      <c r="GD38" s="42">
        <f t="shared" si="38"/>
        <v>0</v>
      </c>
      <c r="GE38" s="42">
        <f t="shared" si="38"/>
        <v>0</v>
      </c>
      <c r="GF38" s="42">
        <f t="shared" si="38"/>
        <v>0</v>
      </c>
      <c r="GG38" s="42">
        <f t="shared" si="38"/>
        <v>0</v>
      </c>
      <c r="GH38" s="42">
        <f t="shared" si="38"/>
        <v>0</v>
      </c>
    </row>
    <row r="39" spans="2:190" ht="14.5" thickBot="1">
      <c r="B39" s="43" t="s">
        <v>244</v>
      </c>
      <c r="C39" s="31">
        <v>42623</v>
      </c>
      <c r="D39" s="31">
        <v>49928</v>
      </c>
      <c r="E39" s="32">
        <v>1.5</v>
      </c>
      <c r="F39" s="33" t="s">
        <v>32</v>
      </c>
      <c r="G39" s="34">
        <v>155.47</v>
      </c>
      <c r="H39" s="34">
        <v>4732</v>
      </c>
      <c r="I39" s="32">
        <v>4.0359999999999996</v>
      </c>
      <c r="J39" s="35">
        <v>7468.01</v>
      </c>
      <c r="K39" s="44" cm="1">
        <f t="array" ref="K39">_xlfn.LET(
    _xlpm.settle,$B$3,
    _xlpm.mat,$D39,
    _xlpm.coupon,10000*$E39/200,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6.5934065934065931</v>
      </c>
      <c r="L39" s="37">
        <f t="shared" ref="L39:L59" si="39">J39+K39</f>
        <v>7474.6034065934064</v>
      </c>
      <c r="M39" s="120">
        <v>0.5958794357769599</v>
      </c>
      <c r="N39" s="45">
        <f t="shared" ref="N39:N59" si="40">-LN(M39)/(H39/365)</f>
        <v>3.9933786198404285E-2</v>
      </c>
      <c r="O39" s="99">
        <f t="shared" ref="O39:O59" si="41">SUMPRODUCT($S$5:$GH$5,S39:GH39)</f>
        <v>7474.6041618304807</v>
      </c>
      <c r="P39" s="39">
        <f t="shared" ref="P39:P59" si="42">O39-L39</f>
        <v>7.5523707437241683E-4</v>
      </c>
      <c r="R39" s="41">
        <f t="shared" si="10"/>
        <v>155</v>
      </c>
      <c r="S39" s="42">
        <f t="shared" si="25"/>
        <v>0</v>
      </c>
      <c r="T39" s="42">
        <f t="shared" si="37"/>
        <v>75</v>
      </c>
      <c r="U39" s="42">
        <f t="shared" si="37"/>
        <v>0</v>
      </c>
      <c r="V39" s="42">
        <f t="shared" si="37"/>
        <v>75</v>
      </c>
      <c r="W39" s="42">
        <f t="shared" si="37"/>
        <v>0</v>
      </c>
      <c r="X39" s="42">
        <f t="shared" si="37"/>
        <v>75</v>
      </c>
      <c r="Y39" s="42">
        <f t="shared" si="37"/>
        <v>0</v>
      </c>
      <c r="Z39" s="42">
        <f t="shared" si="37"/>
        <v>75</v>
      </c>
      <c r="AA39" s="42">
        <f t="shared" si="37"/>
        <v>0</v>
      </c>
      <c r="AB39" s="42">
        <f t="shared" si="37"/>
        <v>75</v>
      </c>
      <c r="AC39" s="42">
        <f t="shared" si="37"/>
        <v>0</v>
      </c>
      <c r="AD39" s="42">
        <f t="shared" si="37"/>
        <v>75</v>
      </c>
      <c r="AE39" s="42">
        <f t="shared" si="37"/>
        <v>0</v>
      </c>
      <c r="AF39" s="42">
        <f t="shared" si="37"/>
        <v>75</v>
      </c>
      <c r="AG39" s="42">
        <f t="shared" si="37"/>
        <v>0</v>
      </c>
      <c r="AH39" s="42">
        <f t="shared" si="37"/>
        <v>75</v>
      </c>
      <c r="AI39" s="42">
        <f t="shared" si="37"/>
        <v>0</v>
      </c>
      <c r="AJ39" s="42">
        <f t="shared" si="37"/>
        <v>75</v>
      </c>
      <c r="AK39" s="42">
        <f t="shared" si="37"/>
        <v>0</v>
      </c>
      <c r="AL39" s="42">
        <f t="shared" si="37"/>
        <v>75</v>
      </c>
      <c r="AM39" s="42">
        <f t="shared" si="37"/>
        <v>0</v>
      </c>
      <c r="AN39" s="42">
        <f t="shared" si="37"/>
        <v>75</v>
      </c>
      <c r="AO39" s="42">
        <f t="shared" si="37"/>
        <v>0</v>
      </c>
      <c r="AP39" s="42">
        <f t="shared" si="37"/>
        <v>75</v>
      </c>
      <c r="AQ39" s="42">
        <f t="shared" si="37"/>
        <v>0</v>
      </c>
      <c r="AR39" s="42">
        <f t="shared" si="37"/>
        <v>75</v>
      </c>
      <c r="AS39" s="42">
        <f t="shared" si="37"/>
        <v>0</v>
      </c>
      <c r="AT39" s="42">
        <f t="shared" si="37"/>
        <v>75</v>
      </c>
      <c r="AU39" s="42">
        <f t="shared" si="37"/>
        <v>0</v>
      </c>
      <c r="AV39" s="42">
        <f t="shared" si="37"/>
        <v>75</v>
      </c>
      <c r="AW39" s="42">
        <f t="shared" si="37"/>
        <v>0</v>
      </c>
      <c r="AX39" s="42">
        <f t="shared" si="37"/>
        <v>75</v>
      </c>
      <c r="AY39" s="42">
        <f t="shared" si="37"/>
        <v>0</v>
      </c>
      <c r="AZ39" s="42">
        <f t="shared" si="37"/>
        <v>75</v>
      </c>
      <c r="BA39" s="42">
        <f t="shared" si="37"/>
        <v>0</v>
      </c>
      <c r="BB39" s="42">
        <f t="shared" si="37"/>
        <v>75</v>
      </c>
      <c r="BC39" s="42">
        <f t="shared" si="37"/>
        <v>0</v>
      </c>
      <c r="BD39" s="42">
        <f t="shared" si="37"/>
        <v>75</v>
      </c>
      <c r="BE39" s="42">
        <f t="shared" si="37"/>
        <v>0</v>
      </c>
      <c r="BF39" s="42">
        <f t="shared" si="37"/>
        <v>75</v>
      </c>
      <c r="BG39" s="42">
        <f t="shared" si="37"/>
        <v>0</v>
      </c>
      <c r="BH39" s="42">
        <f t="shared" si="37"/>
        <v>75</v>
      </c>
      <c r="BI39" s="42">
        <f t="shared" si="37"/>
        <v>0</v>
      </c>
      <c r="BJ39" s="42">
        <f t="shared" si="37"/>
        <v>75</v>
      </c>
      <c r="BK39" s="42">
        <f t="shared" si="37"/>
        <v>0</v>
      </c>
      <c r="BL39" s="42">
        <f t="shared" si="37"/>
        <v>75</v>
      </c>
      <c r="BM39" s="42">
        <f t="shared" si="37"/>
        <v>0</v>
      </c>
      <c r="BN39" s="42">
        <f t="shared" si="37"/>
        <v>75</v>
      </c>
      <c r="BO39" s="42">
        <f t="shared" si="37"/>
        <v>0</v>
      </c>
      <c r="BP39" s="42">
        <f t="shared" si="37"/>
        <v>75</v>
      </c>
      <c r="BQ39" s="42">
        <f t="shared" si="37"/>
        <v>0</v>
      </c>
      <c r="BR39" s="42">
        <f t="shared" si="37"/>
        <v>10075</v>
      </c>
      <c r="BS39" s="42">
        <f t="shared" si="37"/>
        <v>0</v>
      </c>
      <c r="BT39" s="42">
        <f t="shared" si="37"/>
        <v>0</v>
      </c>
      <c r="BU39" s="42">
        <f t="shared" si="37"/>
        <v>0</v>
      </c>
      <c r="BV39" s="42">
        <f t="shared" si="37"/>
        <v>0</v>
      </c>
      <c r="BW39" s="42">
        <f t="shared" si="37"/>
        <v>0</v>
      </c>
      <c r="BX39" s="42">
        <f t="shared" si="37"/>
        <v>0</v>
      </c>
      <c r="BY39" s="42">
        <f t="shared" si="37"/>
        <v>0</v>
      </c>
      <c r="BZ39" s="42">
        <f t="shared" si="37"/>
        <v>0</v>
      </c>
      <c r="CA39" s="42">
        <f t="shared" si="37"/>
        <v>0</v>
      </c>
      <c r="CB39" s="42">
        <f t="shared" si="37"/>
        <v>0</v>
      </c>
      <c r="CC39" s="42">
        <f t="shared" si="37"/>
        <v>0</v>
      </c>
      <c r="CD39" s="42">
        <f t="shared" si="37"/>
        <v>0</v>
      </c>
      <c r="CE39" s="42">
        <f t="shared" ref="CE39:EP42" si="43">IF(
    CE$6=$R39,
    10000+10000*$E39/200,
    IF(
        AND(CE$6&lt;$R39,MOD($R39-CE$6,6)=0),
        10000*$E39/200,
        0
    )
)</f>
        <v>0</v>
      </c>
      <c r="CF39" s="42">
        <f t="shared" si="43"/>
        <v>0</v>
      </c>
      <c r="CG39" s="42">
        <f t="shared" si="43"/>
        <v>0</v>
      </c>
      <c r="CH39" s="42">
        <f t="shared" si="43"/>
        <v>0</v>
      </c>
      <c r="CI39" s="42">
        <f t="shared" si="43"/>
        <v>0</v>
      </c>
      <c r="CJ39" s="42">
        <f t="shared" si="43"/>
        <v>0</v>
      </c>
      <c r="CK39" s="42">
        <f t="shared" si="43"/>
        <v>0</v>
      </c>
      <c r="CL39" s="42">
        <f t="shared" si="43"/>
        <v>0</v>
      </c>
      <c r="CM39" s="42">
        <f t="shared" si="43"/>
        <v>0</v>
      </c>
      <c r="CN39" s="42">
        <f t="shared" si="43"/>
        <v>0</v>
      </c>
      <c r="CO39" s="42">
        <f t="shared" si="43"/>
        <v>0</v>
      </c>
      <c r="CP39" s="42">
        <f t="shared" si="43"/>
        <v>0</v>
      </c>
      <c r="CQ39" s="42">
        <f t="shared" si="43"/>
        <v>0</v>
      </c>
      <c r="CR39" s="42">
        <f t="shared" si="43"/>
        <v>0</v>
      </c>
      <c r="CS39" s="42">
        <f t="shared" si="43"/>
        <v>0</v>
      </c>
      <c r="CT39" s="42">
        <f t="shared" si="43"/>
        <v>0</v>
      </c>
      <c r="CU39" s="42">
        <f t="shared" si="43"/>
        <v>0</v>
      </c>
      <c r="CV39" s="42">
        <f t="shared" si="43"/>
        <v>0</v>
      </c>
      <c r="CW39" s="42">
        <f t="shared" si="43"/>
        <v>0</v>
      </c>
      <c r="CX39" s="42">
        <f t="shared" si="43"/>
        <v>0</v>
      </c>
      <c r="CY39" s="42">
        <f t="shared" si="43"/>
        <v>0</v>
      </c>
      <c r="CZ39" s="42">
        <f t="shared" si="43"/>
        <v>0</v>
      </c>
      <c r="DA39" s="42">
        <f t="shared" si="43"/>
        <v>0</v>
      </c>
      <c r="DB39" s="42">
        <f t="shared" si="43"/>
        <v>0</v>
      </c>
      <c r="DC39" s="42">
        <f t="shared" si="43"/>
        <v>0</v>
      </c>
      <c r="DD39" s="42">
        <f t="shared" si="43"/>
        <v>0</v>
      </c>
      <c r="DE39" s="42">
        <f t="shared" si="43"/>
        <v>0</v>
      </c>
      <c r="DF39" s="42">
        <f t="shared" si="43"/>
        <v>0</v>
      </c>
      <c r="DG39" s="42">
        <f t="shared" si="43"/>
        <v>0</v>
      </c>
      <c r="DH39" s="42">
        <f t="shared" si="43"/>
        <v>0</v>
      </c>
      <c r="DI39" s="42">
        <f t="shared" si="43"/>
        <v>0</v>
      </c>
      <c r="DJ39" s="42">
        <f t="shared" si="43"/>
        <v>0</v>
      </c>
      <c r="DK39" s="42">
        <f t="shared" si="43"/>
        <v>0</v>
      </c>
      <c r="DL39" s="42">
        <f t="shared" si="43"/>
        <v>0</v>
      </c>
      <c r="DM39" s="42">
        <f t="shared" si="43"/>
        <v>0</v>
      </c>
      <c r="DN39" s="42">
        <f t="shared" si="43"/>
        <v>0</v>
      </c>
      <c r="DO39" s="42">
        <f t="shared" si="43"/>
        <v>0</v>
      </c>
      <c r="DP39" s="42">
        <f t="shared" si="43"/>
        <v>0</v>
      </c>
      <c r="DQ39" s="42">
        <f t="shared" si="43"/>
        <v>0</v>
      </c>
      <c r="DR39" s="42">
        <f t="shared" si="43"/>
        <v>0</v>
      </c>
      <c r="DS39" s="42">
        <f t="shared" si="43"/>
        <v>0</v>
      </c>
      <c r="DT39" s="42">
        <f t="shared" si="43"/>
        <v>0</v>
      </c>
      <c r="DU39" s="42">
        <f t="shared" si="43"/>
        <v>0</v>
      </c>
      <c r="DV39" s="42">
        <f t="shared" si="43"/>
        <v>0</v>
      </c>
      <c r="DW39" s="42">
        <f t="shared" si="43"/>
        <v>0</v>
      </c>
      <c r="DX39" s="42">
        <f t="shared" si="43"/>
        <v>0</v>
      </c>
      <c r="DY39" s="42">
        <f t="shared" si="43"/>
        <v>0</v>
      </c>
      <c r="DZ39" s="42">
        <f t="shared" si="43"/>
        <v>0</v>
      </c>
      <c r="EA39" s="42">
        <f t="shared" si="43"/>
        <v>0</v>
      </c>
      <c r="EB39" s="42">
        <f t="shared" si="43"/>
        <v>0</v>
      </c>
      <c r="EC39" s="42">
        <f t="shared" si="43"/>
        <v>0</v>
      </c>
      <c r="ED39" s="42">
        <f t="shared" si="43"/>
        <v>0</v>
      </c>
      <c r="EE39" s="42">
        <f t="shared" si="43"/>
        <v>0</v>
      </c>
      <c r="EF39" s="42">
        <f t="shared" si="43"/>
        <v>0</v>
      </c>
      <c r="EG39" s="42">
        <f t="shared" si="43"/>
        <v>0</v>
      </c>
      <c r="EH39" s="42">
        <f t="shared" si="43"/>
        <v>0</v>
      </c>
      <c r="EI39" s="42">
        <f t="shared" si="43"/>
        <v>0</v>
      </c>
      <c r="EJ39" s="42">
        <f t="shared" si="43"/>
        <v>0</v>
      </c>
      <c r="EK39" s="42">
        <f t="shared" si="43"/>
        <v>0</v>
      </c>
      <c r="EL39" s="42">
        <f t="shared" si="43"/>
        <v>0</v>
      </c>
      <c r="EM39" s="42">
        <f t="shared" si="43"/>
        <v>0</v>
      </c>
      <c r="EN39" s="42">
        <f t="shared" si="43"/>
        <v>0</v>
      </c>
      <c r="EO39" s="42">
        <f t="shared" si="43"/>
        <v>0</v>
      </c>
      <c r="EP39" s="42">
        <f t="shared" si="43"/>
        <v>0</v>
      </c>
      <c r="EQ39" s="42">
        <f t="shared" si="28"/>
        <v>0</v>
      </c>
      <c r="ER39" s="42">
        <f t="shared" si="27"/>
        <v>0</v>
      </c>
      <c r="ES39" s="42">
        <f t="shared" si="27"/>
        <v>0</v>
      </c>
      <c r="ET39" s="42">
        <f t="shared" si="38"/>
        <v>0</v>
      </c>
      <c r="EU39" s="42">
        <f t="shared" si="38"/>
        <v>0</v>
      </c>
      <c r="EV39" s="42">
        <f t="shared" si="38"/>
        <v>0</v>
      </c>
      <c r="EW39" s="42">
        <f t="shared" si="38"/>
        <v>0</v>
      </c>
      <c r="EX39" s="42">
        <f t="shared" si="38"/>
        <v>0</v>
      </c>
      <c r="EY39" s="42">
        <f t="shared" si="38"/>
        <v>0</v>
      </c>
      <c r="EZ39" s="42">
        <f t="shared" si="38"/>
        <v>0</v>
      </c>
      <c r="FA39" s="42">
        <f t="shared" si="38"/>
        <v>0</v>
      </c>
      <c r="FB39" s="42">
        <f t="shared" si="38"/>
        <v>0</v>
      </c>
      <c r="FC39" s="42">
        <f t="shared" si="38"/>
        <v>0</v>
      </c>
      <c r="FD39" s="42">
        <f t="shared" si="38"/>
        <v>0</v>
      </c>
      <c r="FE39" s="42">
        <f t="shared" si="38"/>
        <v>0</v>
      </c>
      <c r="FF39" s="42">
        <f t="shared" si="38"/>
        <v>0</v>
      </c>
      <c r="FG39" s="42">
        <f t="shared" si="38"/>
        <v>0</v>
      </c>
      <c r="FH39" s="42">
        <f t="shared" si="38"/>
        <v>0</v>
      </c>
      <c r="FI39" s="42">
        <f t="shared" si="38"/>
        <v>0</v>
      </c>
      <c r="FJ39" s="42">
        <f t="shared" si="38"/>
        <v>0</v>
      </c>
      <c r="FK39" s="42">
        <f t="shared" si="38"/>
        <v>0</v>
      </c>
      <c r="FL39" s="42">
        <f t="shared" si="38"/>
        <v>0</v>
      </c>
      <c r="FM39" s="42">
        <f t="shared" si="38"/>
        <v>0</v>
      </c>
      <c r="FN39" s="42">
        <f t="shared" si="38"/>
        <v>0</v>
      </c>
      <c r="FO39" s="42">
        <f t="shared" si="38"/>
        <v>0</v>
      </c>
      <c r="FP39" s="42">
        <f t="shared" si="38"/>
        <v>0</v>
      </c>
      <c r="FQ39" s="42">
        <f t="shared" si="38"/>
        <v>0</v>
      </c>
      <c r="FR39" s="42">
        <f t="shared" si="38"/>
        <v>0</v>
      </c>
      <c r="FS39" s="42">
        <f t="shared" si="38"/>
        <v>0</v>
      </c>
      <c r="FT39" s="42">
        <f t="shared" si="38"/>
        <v>0</v>
      </c>
      <c r="FU39" s="42">
        <f t="shared" si="38"/>
        <v>0</v>
      </c>
      <c r="FV39" s="42">
        <f t="shared" si="38"/>
        <v>0</v>
      </c>
      <c r="FW39" s="42">
        <f t="shared" si="38"/>
        <v>0</v>
      </c>
      <c r="FX39" s="42">
        <f t="shared" si="38"/>
        <v>0</v>
      </c>
      <c r="FY39" s="42">
        <f t="shared" si="38"/>
        <v>0</v>
      </c>
      <c r="FZ39" s="42">
        <f t="shared" si="38"/>
        <v>0</v>
      </c>
      <c r="GA39" s="42">
        <f t="shared" si="38"/>
        <v>0</v>
      </c>
      <c r="GB39" s="42">
        <f t="shared" si="38"/>
        <v>0</v>
      </c>
      <c r="GC39" s="42">
        <f t="shared" si="38"/>
        <v>0</v>
      </c>
      <c r="GD39" s="42">
        <f t="shared" si="38"/>
        <v>0</v>
      </c>
      <c r="GE39" s="42">
        <f t="shared" si="38"/>
        <v>0</v>
      </c>
      <c r="GF39" s="42">
        <f t="shared" si="38"/>
        <v>0</v>
      </c>
      <c r="GG39" s="42">
        <f t="shared" si="38"/>
        <v>0</v>
      </c>
      <c r="GH39" s="42">
        <f t="shared" si="38"/>
        <v>0</v>
      </c>
    </row>
    <row r="40" spans="2:190" ht="14.5" thickBot="1">
      <c r="B40" s="43" t="s">
        <v>245</v>
      </c>
      <c r="C40" s="31">
        <v>42988</v>
      </c>
      <c r="D40" s="31">
        <v>50293</v>
      </c>
      <c r="E40" s="32">
        <v>2.25</v>
      </c>
      <c r="F40" s="33" t="s">
        <v>33</v>
      </c>
      <c r="G40" s="34">
        <v>167.47</v>
      </c>
      <c r="H40" s="34">
        <v>5097</v>
      </c>
      <c r="I40" s="32">
        <v>4.0209999999999999</v>
      </c>
      <c r="J40" s="35">
        <v>8133.07</v>
      </c>
      <c r="K40" s="44" cm="1">
        <f t="array" ref="K40">_xlfn.LET(
    _xlpm.settle,$B$3,
    _xlpm.mat,$D40,
    _xlpm.coupon,10000*$E40/200,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9.8901098901098905</v>
      </c>
      <c r="L40" s="37">
        <f t="shared" si="39"/>
        <v>8142.9601098901094</v>
      </c>
      <c r="M40" s="120">
        <v>0.57388956319500328</v>
      </c>
      <c r="N40" s="45">
        <f t="shared" si="40"/>
        <v>3.9766760726469577E-2</v>
      </c>
      <c r="O40" s="99">
        <f t="shared" si="41"/>
        <v>8142.9607928640617</v>
      </c>
      <c r="P40" s="39">
        <f t="shared" si="42"/>
        <v>6.8297395228000823E-4</v>
      </c>
      <c r="R40" s="41">
        <f t="shared" ref="R40:R59" si="44">ROUND(G40,0)</f>
        <v>167</v>
      </c>
      <c r="S40" s="42">
        <f t="shared" si="25"/>
        <v>0</v>
      </c>
      <c r="T40" s="42">
        <f t="shared" ref="T40:CE43" si="45">IF(
    T$6=$R40,
    10000+10000*$E40/200,
    IF(
        AND(T$6&lt;$R40,MOD($R40-T$6,6)=0),
        10000*$E40/200,
        0
    )
)</f>
        <v>112.5</v>
      </c>
      <c r="U40" s="42">
        <f t="shared" si="45"/>
        <v>0</v>
      </c>
      <c r="V40" s="42">
        <f t="shared" si="45"/>
        <v>112.5</v>
      </c>
      <c r="W40" s="42">
        <f t="shared" si="45"/>
        <v>0</v>
      </c>
      <c r="X40" s="42">
        <f t="shared" si="45"/>
        <v>112.5</v>
      </c>
      <c r="Y40" s="42">
        <f t="shared" si="45"/>
        <v>0</v>
      </c>
      <c r="Z40" s="42">
        <f t="shared" si="45"/>
        <v>112.5</v>
      </c>
      <c r="AA40" s="42">
        <f t="shared" si="45"/>
        <v>0</v>
      </c>
      <c r="AB40" s="42">
        <f t="shared" si="45"/>
        <v>112.5</v>
      </c>
      <c r="AC40" s="42">
        <f t="shared" si="45"/>
        <v>0</v>
      </c>
      <c r="AD40" s="42">
        <f t="shared" si="45"/>
        <v>112.5</v>
      </c>
      <c r="AE40" s="42">
        <f t="shared" si="45"/>
        <v>0</v>
      </c>
      <c r="AF40" s="42">
        <f t="shared" si="45"/>
        <v>112.5</v>
      </c>
      <c r="AG40" s="42">
        <f t="shared" si="45"/>
        <v>0</v>
      </c>
      <c r="AH40" s="42">
        <f t="shared" si="45"/>
        <v>112.5</v>
      </c>
      <c r="AI40" s="42">
        <f t="shared" si="45"/>
        <v>0</v>
      </c>
      <c r="AJ40" s="42">
        <f t="shared" si="45"/>
        <v>112.5</v>
      </c>
      <c r="AK40" s="42">
        <f t="shared" si="45"/>
        <v>0</v>
      </c>
      <c r="AL40" s="42">
        <f t="shared" si="45"/>
        <v>112.5</v>
      </c>
      <c r="AM40" s="42">
        <f t="shared" si="45"/>
        <v>0</v>
      </c>
      <c r="AN40" s="42">
        <f t="shared" si="45"/>
        <v>112.5</v>
      </c>
      <c r="AO40" s="42">
        <f t="shared" si="45"/>
        <v>0</v>
      </c>
      <c r="AP40" s="42">
        <f t="shared" si="45"/>
        <v>112.5</v>
      </c>
      <c r="AQ40" s="42">
        <f t="shared" si="45"/>
        <v>0</v>
      </c>
      <c r="AR40" s="42">
        <f t="shared" si="45"/>
        <v>112.5</v>
      </c>
      <c r="AS40" s="42">
        <f t="shared" si="45"/>
        <v>0</v>
      </c>
      <c r="AT40" s="42">
        <f t="shared" si="45"/>
        <v>112.5</v>
      </c>
      <c r="AU40" s="42">
        <f t="shared" si="45"/>
        <v>0</v>
      </c>
      <c r="AV40" s="42">
        <f t="shared" si="45"/>
        <v>112.5</v>
      </c>
      <c r="AW40" s="42">
        <f t="shared" si="45"/>
        <v>0</v>
      </c>
      <c r="AX40" s="42">
        <f t="shared" si="45"/>
        <v>112.5</v>
      </c>
      <c r="AY40" s="42">
        <f t="shared" si="45"/>
        <v>0</v>
      </c>
      <c r="AZ40" s="42">
        <f t="shared" si="45"/>
        <v>112.5</v>
      </c>
      <c r="BA40" s="42">
        <f t="shared" si="45"/>
        <v>0</v>
      </c>
      <c r="BB40" s="42">
        <f t="shared" si="45"/>
        <v>112.5</v>
      </c>
      <c r="BC40" s="42">
        <f t="shared" si="45"/>
        <v>0</v>
      </c>
      <c r="BD40" s="42">
        <f t="shared" si="45"/>
        <v>112.5</v>
      </c>
      <c r="BE40" s="42">
        <f t="shared" si="45"/>
        <v>0</v>
      </c>
      <c r="BF40" s="42">
        <f t="shared" si="45"/>
        <v>112.5</v>
      </c>
      <c r="BG40" s="42">
        <f t="shared" si="45"/>
        <v>0</v>
      </c>
      <c r="BH40" s="42">
        <f t="shared" si="45"/>
        <v>112.5</v>
      </c>
      <c r="BI40" s="42">
        <f t="shared" si="45"/>
        <v>0</v>
      </c>
      <c r="BJ40" s="42">
        <f t="shared" si="45"/>
        <v>112.5</v>
      </c>
      <c r="BK40" s="42">
        <f t="shared" si="45"/>
        <v>0</v>
      </c>
      <c r="BL40" s="42">
        <f t="shared" si="45"/>
        <v>112.5</v>
      </c>
      <c r="BM40" s="42">
        <f t="shared" si="45"/>
        <v>0</v>
      </c>
      <c r="BN40" s="42">
        <f t="shared" si="45"/>
        <v>112.5</v>
      </c>
      <c r="BO40" s="42">
        <f t="shared" si="45"/>
        <v>0</v>
      </c>
      <c r="BP40" s="42">
        <f t="shared" si="45"/>
        <v>112.5</v>
      </c>
      <c r="BQ40" s="42">
        <f t="shared" si="45"/>
        <v>0</v>
      </c>
      <c r="BR40" s="42">
        <f t="shared" si="45"/>
        <v>112.5</v>
      </c>
      <c r="BS40" s="42">
        <f t="shared" si="45"/>
        <v>0</v>
      </c>
      <c r="BT40" s="42">
        <f t="shared" si="45"/>
        <v>112.5</v>
      </c>
      <c r="BU40" s="42">
        <f t="shared" si="45"/>
        <v>0</v>
      </c>
      <c r="BV40" s="42">
        <f t="shared" si="45"/>
        <v>10112.5</v>
      </c>
      <c r="BW40" s="42">
        <f t="shared" si="45"/>
        <v>0</v>
      </c>
      <c r="BX40" s="42">
        <f t="shared" si="45"/>
        <v>0</v>
      </c>
      <c r="BY40" s="42">
        <f t="shared" si="45"/>
        <v>0</v>
      </c>
      <c r="BZ40" s="42">
        <f t="shared" si="45"/>
        <v>0</v>
      </c>
      <c r="CA40" s="42">
        <f t="shared" si="45"/>
        <v>0</v>
      </c>
      <c r="CB40" s="42">
        <f t="shared" si="45"/>
        <v>0</v>
      </c>
      <c r="CC40" s="42">
        <f t="shared" si="45"/>
        <v>0</v>
      </c>
      <c r="CD40" s="42">
        <f t="shared" si="45"/>
        <v>0</v>
      </c>
      <c r="CE40" s="42">
        <f t="shared" si="45"/>
        <v>0</v>
      </c>
      <c r="CF40" s="42">
        <f t="shared" si="43"/>
        <v>0</v>
      </c>
      <c r="CG40" s="42">
        <f t="shared" si="43"/>
        <v>0</v>
      </c>
      <c r="CH40" s="42">
        <f t="shared" si="43"/>
        <v>0</v>
      </c>
      <c r="CI40" s="42">
        <f t="shared" si="43"/>
        <v>0</v>
      </c>
      <c r="CJ40" s="42">
        <f t="shared" si="43"/>
        <v>0</v>
      </c>
      <c r="CK40" s="42">
        <f t="shared" si="43"/>
        <v>0</v>
      </c>
      <c r="CL40" s="42">
        <f t="shared" si="43"/>
        <v>0</v>
      </c>
      <c r="CM40" s="42">
        <f t="shared" si="43"/>
        <v>0</v>
      </c>
      <c r="CN40" s="42">
        <f t="shared" si="43"/>
        <v>0</v>
      </c>
      <c r="CO40" s="42">
        <f t="shared" si="43"/>
        <v>0</v>
      </c>
      <c r="CP40" s="42">
        <f t="shared" si="43"/>
        <v>0</v>
      </c>
      <c r="CQ40" s="42">
        <f t="shared" si="43"/>
        <v>0</v>
      </c>
      <c r="CR40" s="42">
        <f t="shared" si="43"/>
        <v>0</v>
      </c>
      <c r="CS40" s="42">
        <f t="shared" si="43"/>
        <v>0</v>
      </c>
      <c r="CT40" s="42">
        <f t="shared" si="43"/>
        <v>0</v>
      </c>
      <c r="CU40" s="42">
        <f t="shared" si="43"/>
        <v>0</v>
      </c>
      <c r="CV40" s="42">
        <f t="shared" si="43"/>
        <v>0</v>
      </c>
      <c r="CW40" s="42">
        <f t="shared" si="43"/>
        <v>0</v>
      </c>
      <c r="CX40" s="42">
        <f t="shared" si="43"/>
        <v>0</v>
      </c>
      <c r="CY40" s="42">
        <f t="shared" si="43"/>
        <v>0</v>
      </c>
      <c r="CZ40" s="42">
        <f t="shared" si="43"/>
        <v>0</v>
      </c>
      <c r="DA40" s="42">
        <f t="shared" si="43"/>
        <v>0</v>
      </c>
      <c r="DB40" s="42">
        <f t="shared" si="43"/>
        <v>0</v>
      </c>
      <c r="DC40" s="42">
        <f t="shared" si="43"/>
        <v>0</v>
      </c>
      <c r="DD40" s="42">
        <f t="shared" si="43"/>
        <v>0</v>
      </c>
      <c r="DE40" s="42">
        <f t="shared" si="43"/>
        <v>0</v>
      </c>
      <c r="DF40" s="42">
        <f t="shared" si="43"/>
        <v>0</v>
      </c>
      <c r="DG40" s="42">
        <f t="shared" si="43"/>
        <v>0</v>
      </c>
      <c r="DH40" s="42">
        <f t="shared" si="43"/>
        <v>0</v>
      </c>
      <c r="DI40" s="42">
        <f t="shared" si="43"/>
        <v>0</v>
      </c>
      <c r="DJ40" s="42">
        <f t="shared" si="43"/>
        <v>0</v>
      </c>
      <c r="DK40" s="42">
        <f t="shared" si="43"/>
        <v>0</v>
      </c>
      <c r="DL40" s="42">
        <f t="shared" si="43"/>
        <v>0</v>
      </c>
      <c r="DM40" s="42">
        <f t="shared" si="43"/>
        <v>0</v>
      </c>
      <c r="DN40" s="42">
        <f t="shared" si="43"/>
        <v>0</v>
      </c>
      <c r="DO40" s="42">
        <f t="shared" si="43"/>
        <v>0</v>
      </c>
      <c r="DP40" s="42">
        <f t="shared" si="43"/>
        <v>0</v>
      </c>
      <c r="DQ40" s="42">
        <f t="shared" si="43"/>
        <v>0</v>
      </c>
      <c r="DR40" s="42">
        <f t="shared" si="43"/>
        <v>0</v>
      </c>
      <c r="DS40" s="42">
        <f t="shared" si="43"/>
        <v>0</v>
      </c>
      <c r="DT40" s="42">
        <f t="shared" si="43"/>
        <v>0</v>
      </c>
      <c r="DU40" s="42">
        <f t="shared" si="43"/>
        <v>0</v>
      </c>
      <c r="DV40" s="42">
        <f t="shared" si="43"/>
        <v>0</v>
      </c>
      <c r="DW40" s="42">
        <f t="shared" si="43"/>
        <v>0</v>
      </c>
      <c r="DX40" s="42">
        <f t="shared" si="43"/>
        <v>0</v>
      </c>
      <c r="DY40" s="42">
        <f t="shared" si="43"/>
        <v>0</v>
      </c>
      <c r="DZ40" s="42">
        <f t="shared" si="43"/>
        <v>0</v>
      </c>
      <c r="EA40" s="42">
        <f t="shared" si="43"/>
        <v>0</v>
      </c>
      <c r="EB40" s="42">
        <f t="shared" si="43"/>
        <v>0</v>
      </c>
      <c r="EC40" s="42">
        <f t="shared" si="43"/>
        <v>0</v>
      </c>
      <c r="ED40" s="42">
        <f t="shared" si="43"/>
        <v>0</v>
      </c>
      <c r="EE40" s="42">
        <f t="shared" si="43"/>
        <v>0</v>
      </c>
      <c r="EF40" s="42">
        <f t="shared" si="43"/>
        <v>0</v>
      </c>
      <c r="EG40" s="42">
        <f t="shared" si="43"/>
        <v>0</v>
      </c>
      <c r="EH40" s="42">
        <f t="shared" si="43"/>
        <v>0</v>
      </c>
      <c r="EI40" s="42">
        <f t="shared" si="43"/>
        <v>0</v>
      </c>
      <c r="EJ40" s="42">
        <f t="shared" si="43"/>
        <v>0</v>
      </c>
      <c r="EK40" s="42">
        <f t="shared" si="43"/>
        <v>0</v>
      </c>
      <c r="EL40" s="42">
        <f t="shared" si="43"/>
        <v>0</v>
      </c>
      <c r="EM40" s="42">
        <f t="shared" si="43"/>
        <v>0</v>
      </c>
      <c r="EN40" s="42">
        <f t="shared" si="43"/>
        <v>0</v>
      </c>
      <c r="EO40" s="42">
        <f t="shared" si="43"/>
        <v>0</v>
      </c>
      <c r="EP40" s="42">
        <f t="shared" si="43"/>
        <v>0</v>
      </c>
      <c r="EQ40" s="42">
        <f t="shared" si="28"/>
        <v>0</v>
      </c>
      <c r="ER40" s="42">
        <f t="shared" ref="ER40:GH40" si="46">IF(
    ER$6=$R40,
    10000+10000*$E40/200,
    IF(
        AND(ER$6&lt;$R40,MOD($R40-ER$6,6)=0),
        10000*$E40/200,
        0
    )
)</f>
        <v>0</v>
      </c>
      <c r="ES40" s="42">
        <f t="shared" si="46"/>
        <v>0</v>
      </c>
      <c r="ET40" s="42">
        <f t="shared" si="46"/>
        <v>0</v>
      </c>
      <c r="EU40" s="42">
        <f t="shared" si="46"/>
        <v>0</v>
      </c>
      <c r="EV40" s="42">
        <f t="shared" si="46"/>
        <v>0</v>
      </c>
      <c r="EW40" s="42">
        <f t="shared" si="46"/>
        <v>0</v>
      </c>
      <c r="EX40" s="42">
        <f t="shared" si="46"/>
        <v>0</v>
      </c>
      <c r="EY40" s="42">
        <f t="shared" si="46"/>
        <v>0</v>
      </c>
      <c r="EZ40" s="42">
        <f t="shared" si="46"/>
        <v>0</v>
      </c>
      <c r="FA40" s="42">
        <f t="shared" si="46"/>
        <v>0</v>
      </c>
      <c r="FB40" s="42">
        <f t="shared" si="46"/>
        <v>0</v>
      </c>
      <c r="FC40" s="42">
        <f t="shared" si="46"/>
        <v>0</v>
      </c>
      <c r="FD40" s="42">
        <f t="shared" si="46"/>
        <v>0</v>
      </c>
      <c r="FE40" s="42">
        <f t="shared" si="46"/>
        <v>0</v>
      </c>
      <c r="FF40" s="42">
        <f t="shared" si="46"/>
        <v>0</v>
      </c>
      <c r="FG40" s="42">
        <f t="shared" si="46"/>
        <v>0</v>
      </c>
      <c r="FH40" s="42">
        <f t="shared" si="46"/>
        <v>0</v>
      </c>
      <c r="FI40" s="42">
        <f t="shared" si="46"/>
        <v>0</v>
      </c>
      <c r="FJ40" s="42">
        <f t="shared" si="46"/>
        <v>0</v>
      </c>
      <c r="FK40" s="42">
        <f t="shared" si="46"/>
        <v>0</v>
      </c>
      <c r="FL40" s="42">
        <f t="shared" si="46"/>
        <v>0</v>
      </c>
      <c r="FM40" s="42">
        <f t="shared" si="46"/>
        <v>0</v>
      </c>
      <c r="FN40" s="42">
        <f t="shared" si="46"/>
        <v>0</v>
      </c>
      <c r="FO40" s="42">
        <f t="shared" si="46"/>
        <v>0</v>
      </c>
      <c r="FP40" s="42">
        <f t="shared" si="46"/>
        <v>0</v>
      </c>
      <c r="FQ40" s="42">
        <f t="shared" si="46"/>
        <v>0</v>
      </c>
      <c r="FR40" s="42">
        <f t="shared" si="46"/>
        <v>0</v>
      </c>
      <c r="FS40" s="42">
        <f t="shared" si="46"/>
        <v>0</v>
      </c>
      <c r="FT40" s="42">
        <f t="shared" si="46"/>
        <v>0</v>
      </c>
      <c r="FU40" s="42">
        <f t="shared" si="46"/>
        <v>0</v>
      </c>
      <c r="FV40" s="42">
        <f t="shared" si="46"/>
        <v>0</v>
      </c>
      <c r="FW40" s="42">
        <f t="shared" si="46"/>
        <v>0</v>
      </c>
      <c r="FX40" s="42">
        <f t="shared" si="46"/>
        <v>0</v>
      </c>
      <c r="FY40" s="42">
        <f t="shared" si="46"/>
        <v>0</v>
      </c>
      <c r="FZ40" s="42">
        <f t="shared" si="46"/>
        <v>0</v>
      </c>
      <c r="GA40" s="42">
        <f t="shared" si="46"/>
        <v>0</v>
      </c>
      <c r="GB40" s="42">
        <f t="shared" si="46"/>
        <v>0</v>
      </c>
      <c r="GC40" s="42">
        <f t="shared" si="46"/>
        <v>0</v>
      </c>
      <c r="GD40" s="42">
        <f t="shared" si="46"/>
        <v>0</v>
      </c>
      <c r="GE40" s="42">
        <f t="shared" si="46"/>
        <v>0</v>
      </c>
      <c r="GF40" s="42">
        <f t="shared" si="46"/>
        <v>0</v>
      </c>
      <c r="GG40" s="42">
        <f t="shared" si="46"/>
        <v>0</v>
      </c>
      <c r="GH40" s="42">
        <f t="shared" si="46"/>
        <v>0</v>
      </c>
    </row>
    <row r="41" spans="2:190" ht="14.5" thickBot="1">
      <c r="B41" s="43" t="s">
        <v>246</v>
      </c>
      <c r="C41" s="31">
        <v>43353</v>
      </c>
      <c r="D41" s="31">
        <v>50658</v>
      </c>
      <c r="E41" s="32">
        <v>2.375</v>
      </c>
      <c r="F41" s="33" t="s">
        <v>34</v>
      </c>
      <c r="G41" s="34">
        <v>179.47</v>
      </c>
      <c r="H41" s="34">
        <v>5462</v>
      </c>
      <c r="I41" s="32">
        <v>4.0039999999999996</v>
      </c>
      <c r="J41" s="35">
        <v>8190.58</v>
      </c>
      <c r="K41" s="44" cm="1">
        <f t="array" ref="K41">_xlfn.LET(
    _xlpm.settle,$B$3,
    _xlpm.mat,$D41,
    _xlpm.coupon,10000*$E41/200,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10.43956043956044</v>
      </c>
      <c r="L41" s="37">
        <f t="shared" si="39"/>
        <v>8201.0195604395612</v>
      </c>
      <c r="M41" s="120">
        <v>0.55308149547113472</v>
      </c>
      <c r="N41" s="45">
        <f t="shared" si="40"/>
        <v>3.9577301405639129E-2</v>
      </c>
      <c r="O41" s="99">
        <f t="shared" si="41"/>
        <v>8201.0202186912829</v>
      </c>
      <c r="P41" s="39">
        <f t="shared" si="42"/>
        <v>6.5825172168842983E-4</v>
      </c>
      <c r="R41" s="41">
        <f t="shared" si="44"/>
        <v>179</v>
      </c>
      <c r="S41" s="42">
        <f t="shared" si="25"/>
        <v>0</v>
      </c>
      <c r="T41" s="42">
        <f t="shared" si="45"/>
        <v>118.75</v>
      </c>
      <c r="U41" s="42">
        <f t="shared" si="45"/>
        <v>0</v>
      </c>
      <c r="V41" s="42">
        <f t="shared" si="45"/>
        <v>118.75</v>
      </c>
      <c r="W41" s="42">
        <f t="shared" si="45"/>
        <v>0</v>
      </c>
      <c r="X41" s="42">
        <f t="shared" si="45"/>
        <v>118.75</v>
      </c>
      <c r="Y41" s="42">
        <f t="shared" si="45"/>
        <v>0</v>
      </c>
      <c r="Z41" s="42">
        <f t="shared" si="45"/>
        <v>118.75</v>
      </c>
      <c r="AA41" s="42">
        <f t="shared" si="45"/>
        <v>0</v>
      </c>
      <c r="AB41" s="42">
        <f t="shared" si="45"/>
        <v>118.75</v>
      </c>
      <c r="AC41" s="42">
        <f t="shared" si="45"/>
        <v>0</v>
      </c>
      <c r="AD41" s="42">
        <f t="shared" si="45"/>
        <v>118.75</v>
      </c>
      <c r="AE41" s="42">
        <f t="shared" si="45"/>
        <v>0</v>
      </c>
      <c r="AF41" s="42">
        <f t="shared" si="45"/>
        <v>118.75</v>
      </c>
      <c r="AG41" s="42">
        <f t="shared" si="45"/>
        <v>0</v>
      </c>
      <c r="AH41" s="42">
        <f t="shared" si="45"/>
        <v>118.75</v>
      </c>
      <c r="AI41" s="42">
        <f t="shared" si="45"/>
        <v>0</v>
      </c>
      <c r="AJ41" s="42">
        <f t="shared" si="45"/>
        <v>118.75</v>
      </c>
      <c r="AK41" s="42">
        <f t="shared" si="45"/>
        <v>0</v>
      </c>
      <c r="AL41" s="42">
        <f t="shared" si="45"/>
        <v>118.75</v>
      </c>
      <c r="AM41" s="42">
        <f t="shared" si="45"/>
        <v>0</v>
      </c>
      <c r="AN41" s="42">
        <f t="shared" si="45"/>
        <v>118.75</v>
      </c>
      <c r="AO41" s="42">
        <f t="shared" si="45"/>
        <v>0</v>
      </c>
      <c r="AP41" s="42">
        <f t="shared" si="45"/>
        <v>118.75</v>
      </c>
      <c r="AQ41" s="42">
        <f t="shared" si="45"/>
        <v>0</v>
      </c>
      <c r="AR41" s="42">
        <f t="shared" si="45"/>
        <v>118.75</v>
      </c>
      <c r="AS41" s="42">
        <f t="shared" si="45"/>
        <v>0</v>
      </c>
      <c r="AT41" s="42">
        <f t="shared" si="45"/>
        <v>118.75</v>
      </c>
      <c r="AU41" s="42">
        <f t="shared" si="45"/>
        <v>0</v>
      </c>
      <c r="AV41" s="42">
        <f t="shared" si="45"/>
        <v>118.75</v>
      </c>
      <c r="AW41" s="42">
        <f t="shared" si="45"/>
        <v>0</v>
      </c>
      <c r="AX41" s="42">
        <f t="shared" si="45"/>
        <v>118.75</v>
      </c>
      <c r="AY41" s="42">
        <f t="shared" si="45"/>
        <v>0</v>
      </c>
      <c r="AZ41" s="42">
        <f t="shared" si="45"/>
        <v>118.75</v>
      </c>
      <c r="BA41" s="42">
        <f t="shared" si="45"/>
        <v>0</v>
      </c>
      <c r="BB41" s="42">
        <f t="shared" si="45"/>
        <v>118.75</v>
      </c>
      <c r="BC41" s="42">
        <f t="shared" si="45"/>
        <v>0</v>
      </c>
      <c r="BD41" s="42">
        <f t="shared" si="45"/>
        <v>118.75</v>
      </c>
      <c r="BE41" s="42">
        <f t="shared" si="45"/>
        <v>0</v>
      </c>
      <c r="BF41" s="42">
        <f t="shared" si="45"/>
        <v>118.75</v>
      </c>
      <c r="BG41" s="42">
        <f t="shared" si="45"/>
        <v>0</v>
      </c>
      <c r="BH41" s="42">
        <f t="shared" si="45"/>
        <v>118.75</v>
      </c>
      <c r="BI41" s="42">
        <f t="shared" si="45"/>
        <v>0</v>
      </c>
      <c r="BJ41" s="42">
        <f t="shared" si="45"/>
        <v>118.75</v>
      </c>
      <c r="BK41" s="42">
        <f t="shared" si="45"/>
        <v>0</v>
      </c>
      <c r="BL41" s="42">
        <f t="shared" si="45"/>
        <v>118.75</v>
      </c>
      <c r="BM41" s="42">
        <f t="shared" si="45"/>
        <v>0</v>
      </c>
      <c r="BN41" s="42">
        <f t="shared" si="45"/>
        <v>118.75</v>
      </c>
      <c r="BO41" s="42">
        <f t="shared" si="45"/>
        <v>0</v>
      </c>
      <c r="BP41" s="42">
        <f t="shared" si="45"/>
        <v>118.75</v>
      </c>
      <c r="BQ41" s="42">
        <f t="shared" si="45"/>
        <v>0</v>
      </c>
      <c r="BR41" s="42">
        <f t="shared" si="45"/>
        <v>118.75</v>
      </c>
      <c r="BS41" s="42">
        <f t="shared" si="45"/>
        <v>0</v>
      </c>
      <c r="BT41" s="42">
        <f t="shared" si="45"/>
        <v>118.75</v>
      </c>
      <c r="BU41" s="42">
        <f t="shared" si="45"/>
        <v>0</v>
      </c>
      <c r="BV41" s="42">
        <f t="shared" si="45"/>
        <v>118.75</v>
      </c>
      <c r="BW41" s="42">
        <f t="shared" si="45"/>
        <v>0</v>
      </c>
      <c r="BX41" s="42">
        <f t="shared" si="45"/>
        <v>118.75</v>
      </c>
      <c r="BY41" s="42">
        <f t="shared" si="45"/>
        <v>0</v>
      </c>
      <c r="BZ41" s="42">
        <f t="shared" si="45"/>
        <v>10118.75</v>
      </c>
      <c r="CA41" s="42">
        <f t="shared" si="45"/>
        <v>0</v>
      </c>
      <c r="CB41" s="42">
        <f t="shared" si="45"/>
        <v>0</v>
      </c>
      <c r="CC41" s="42">
        <f t="shared" si="45"/>
        <v>0</v>
      </c>
      <c r="CD41" s="42">
        <f t="shared" si="45"/>
        <v>0</v>
      </c>
      <c r="CE41" s="42">
        <f t="shared" si="45"/>
        <v>0</v>
      </c>
      <c r="CF41" s="42">
        <f t="shared" si="43"/>
        <v>0</v>
      </c>
      <c r="CG41" s="42">
        <f t="shared" si="43"/>
        <v>0</v>
      </c>
      <c r="CH41" s="42">
        <f t="shared" si="43"/>
        <v>0</v>
      </c>
      <c r="CI41" s="42">
        <f t="shared" si="43"/>
        <v>0</v>
      </c>
      <c r="CJ41" s="42">
        <f t="shared" si="43"/>
        <v>0</v>
      </c>
      <c r="CK41" s="42">
        <f t="shared" si="43"/>
        <v>0</v>
      </c>
      <c r="CL41" s="42">
        <f t="shared" si="43"/>
        <v>0</v>
      </c>
      <c r="CM41" s="42">
        <f t="shared" si="43"/>
        <v>0</v>
      </c>
      <c r="CN41" s="42">
        <f t="shared" si="43"/>
        <v>0</v>
      </c>
      <c r="CO41" s="42">
        <f t="shared" si="43"/>
        <v>0</v>
      </c>
      <c r="CP41" s="42">
        <f t="shared" si="43"/>
        <v>0</v>
      </c>
      <c r="CQ41" s="42">
        <f t="shared" si="43"/>
        <v>0</v>
      </c>
      <c r="CR41" s="42">
        <f t="shared" si="43"/>
        <v>0</v>
      </c>
      <c r="CS41" s="42">
        <f t="shared" si="43"/>
        <v>0</v>
      </c>
      <c r="CT41" s="42">
        <f t="shared" si="43"/>
        <v>0</v>
      </c>
      <c r="CU41" s="42">
        <f t="shared" si="43"/>
        <v>0</v>
      </c>
      <c r="CV41" s="42">
        <f t="shared" si="43"/>
        <v>0</v>
      </c>
      <c r="CW41" s="42">
        <f t="shared" si="43"/>
        <v>0</v>
      </c>
      <c r="CX41" s="42">
        <f t="shared" si="43"/>
        <v>0</v>
      </c>
      <c r="CY41" s="42">
        <f t="shared" si="43"/>
        <v>0</v>
      </c>
      <c r="CZ41" s="42">
        <f t="shared" si="43"/>
        <v>0</v>
      </c>
      <c r="DA41" s="42">
        <f t="shared" si="43"/>
        <v>0</v>
      </c>
      <c r="DB41" s="42">
        <f t="shared" si="43"/>
        <v>0</v>
      </c>
      <c r="DC41" s="42">
        <f t="shared" si="43"/>
        <v>0</v>
      </c>
      <c r="DD41" s="42">
        <f t="shared" si="43"/>
        <v>0</v>
      </c>
      <c r="DE41" s="42">
        <f t="shared" si="43"/>
        <v>0</v>
      </c>
      <c r="DF41" s="42">
        <f t="shared" si="43"/>
        <v>0</v>
      </c>
      <c r="DG41" s="42">
        <f t="shared" si="43"/>
        <v>0</v>
      </c>
      <c r="DH41" s="42">
        <f t="shared" si="43"/>
        <v>0</v>
      </c>
      <c r="DI41" s="42">
        <f t="shared" si="43"/>
        <v>0</v>
      </c>
      <c r="DJ41" s="42">
        <f t="shared" si="43"/>
        <v>0</v>
      </c>
      <c r="DK41" s="42">
        <f t="shared" si="43"/>
        <v>0</v>
      </c>
      <c r="DL41" s="42">
        <f t="shared" si="43"/>
        <v>0</v>
      </c>
      <c r="DM41" s="42">
        <f t="shared" si="43"/>
        <v>0</v>
      </c>
      <c r="DN41" s="42">
        <f t="shared" si="43"/>
        <v>0</v>
      </c>
      <c r="DO41" s="42">
        <f t="shared" si="43"/>
        <v>0</v>
      </c>
      <c r="DP41" s="42">
        <f t="shared" si="43"/>
        <v>0</v>
      </c>
      <c r="DQ41" s="42">
        <f t="shared" si="43"/>
        <v>0</v>
      </c>
      <c r="DR41" s="42">
        <f t="shared" si="43"/>
        <v>0</v>
      </c>
      <c r="DS41" s="42">
        <f t="shared" si="43"/>
        <v>0</v>
      </c>
      <c r="DT41" s="42">
        <f t="shared" si="43"/>
        <v>0</v>
      </c>
      <c r="DU41" s="42">
        <f t="shared" si="43"/>
        <v>0</v>
      </c>
      <c r="DV41" s="42">
        <f t="shared" si="43"/>
        <v>0</v>
      </c>
      <c r="DW41" s="42">
        <f t="shared" si="43"/>
        <v>0</v>
      </c>
      <c r="DX41" s="42">
        <f t="shared" si="43"/>
        <v>0</v>
      </c>
      <c r="DY41" s="42">
        <f t="shared" si="43"/>
        <v>0</v>
      </c>
      <c r="DZ41" s="42">
        <f t="shared" si="43"/>
        <v>0</v>
      </c>
      <c r="EA41" s="42">
        <f t="shared" si="43"/>
        <v>0</v>
      </c>
      <c r="EB41" s="42">
        <f t="shared" si="43"/>
        <v>0</v>
      </c>
      <c r="EC41" s="42">
        <f t="shared" si="43"/>
        <v>0</v>
      </c>
      <c r="ED41" s="42">
        <f t="shared" si="43"/>
        <v>0</v>
      </c>
      <c r="EE41" s="42">
        <f t="shared" si="43"/>
        <v>0</v>
      </c>
      <c r="EF41" s="42">
        <f t="shared" si="43"/>
        <v>0</v>
      </c>
      <c r="EG41" s="42">
        <f t="shared" si="43"/>
        <v>0</v>
      </c>
      <c r="EH41" s="42">
        <f t="shared" si="43"/>
        <v>0</v>
      </c>
      <c r="EI41" s="42">
        <f t="shared" si="43"/>
        <v>0</v>
      </c>
      <c r="EJ41" s="42">
        <f t="shared" si="43"/>
        <v>0</v>
      </c>
      <c r="EK41" s="42">
        <f t="shared" si="43"/>
        <v>0</v>
      </c>
      <c r="EL41" s="42">
        <f t="shared" si="43"/>
        <v>0</v>
      </c>
      <c r="EM41" s="42">
        <f t="shared" si="43"/>
        <v>0</v>
      </c>
      <c r="EN41" s="42">
        <f t="shared" si="43"/>
        <v>0</v>
      </c>
      <c r="EO41" s="42">
        <f t="shared" si="43"/>
        <v>0</v>
      </c>
      <c r="EP41" s="42">
        <f t="shared" si="43"/>
        <v>0</v>
      </c>
      <c r="EQ41" s="42">
        <f t="shared" ref="EQ41:GH46" si="47">IF(
    EQ$6=$R41,
    10000+10000*$E41/200,
    IF(
        AND(EQ$6&lt;$R41,MOD($R41-EQ$6,6)=0),
        10000*$E41/200,
        0
    )
)</f>
        <v>0</v>
      </c>
      <c r="ER41" s="42">
        <f t="shared" si="47"/>
        <v>0</v>
      </c>
      <c r="ES41" s="42">
        <f t="shared" si="47"/>
        <v>0</v>
      </c>
      <c r="ET41" s="42">
        <f t="shared" si="47"/>
        <v>0</v>
      </c>
      <c r="EU41" s="42">
        <f t="shared" si="47"/>
        <v>0</v>
      </c>
      <c r="EV41" s="42">
        <f t="shared" si="47"/>
        <v>0</v>
      </c>
      <c r="EW41" s="42">
        <f t="shared" si="47"/>
        <v>0</v>
      </c>
      <c r="EX41" s="42">
        <f t="shared" si="47"/>
        <v>0</v>
      </c>
      <c r="EY41" s="42">
        <f t="shared" si="47"/>
        <v>0</v>
      </c>
      <c r="EZ41" s="42">
        <f t="shared" si="47"/>
        <v>0</v>
      </c>
      <c r="FA41" s="42">
        <f t="shared" si="47"/>
        <v>0</v>
      </c>
      <c r="FB41" s="42">
        <f t="shared" si="47"/>
        <v>0</v>
      </c>
      <c r="FC41" s="42">
        <f t="shared" si="47"/>
        <v>0</v>
      </c>
      <c r="FD41" s="42">
        <f t="shared" si="47"/>
        <v>0</v>
      </c>
      <c r="FE41" s="42">
        <f t="shared" si="47"/>
        <v>0</v>
      </c>
      <c r="FF41" s="42">
        <f t="shared" si="47"/>
        <v>0</v>
      </c>
      <c r="FG41" s="42">
        <f t="shared" si="47"/>
        <v>0</v>
      </c>
      <c r="FH41" s="42">
        <f t="shared" si="47"/>
        <v>0</v>
      </c>
      <c r="FI41" s="42">
        <f t="shared" si="47"/>
        <v>0</v>
      </c>
      <c r="FJ41" s="42">
        <f t="shared" si="47"/>
        <v>0</v>
      </c>
      <c r="FK41" s="42">
        <f t="shared" si="47"/>
        <v>0</v>
      </c>
      <c r="FL41" s="42">
        <f t="shared" si="47"/>
        <v>0</v>
      </c>
      <c r="FM41" s="42">
        <f t="shared" si="47"/>
        <v>0</v>
      </c>
      <c r="FN41" s="42">
        <f t="shared" si="47"/>
        <v>0</v>
      </c>
      <c r="FO41" s="42">
        <f t="shared" si="47"/>
        <v>0</v>
      </c>
      <c r="FP41" s="42">
        <f t="shared" si="47"/>
        <v>0</v>
      </c>
      <c r="FQ41" s="42">
        <f t="shared" si="47"/>
        <v>0</v>
      </c>
      <c r="FR41" s="42">
        <f t="shared" si="47"/>
        <v>0</v>
      </c>
      <c r="FS41" s="42">
        <f t="shared" si="47"/>
        <v>0</v>
      </c>
      <c r="FT41" s="42">
        <f t="shared" si="47"/>
        <v>0</v>
      </c>
      <c r="FU41" s="42">
        <f t="shared" si="47"/>
        <v>0</v>
      </c>
      <c r="FV41" s="42">
        <f t="shared" si="47"/>
        <v>0</v>
      </c>
      <c r="FW41" s="42">
        <f t="shared" si="47"/>
        <v>0</v>
      </c>
      <c r="FX41" s="42">
        <f t="shared" si="47"/>
        <v>0</v>
      </c>
      <c r="FY41" s="42">
        <f t="shared" si="47"/>
        <v>0</v>
      </c>
      <c r="FZ41" s="42">
        <f t="shared" si="47"/>
        <v>0</v>
      </c>
      <c r="GA41" s="42">
        <f t="shared" si="47"/>
        <v>0</v>
      </c>
      <c r="GB41" s="42">
        <f t="shared" si="47"/>
        <v>0</v>
      </c>
      <c r="GC41" s="42">
        <f t="shared" si="47"/>
        <v>0</v>
      </c>
      <c r="GD41" s="42">
        <f t="shared" si="47"/>
        <v>0</v>
      </c>
      <c r="GE41" s="42">
        <f t="shared" si="47"/>
        <v>0</v>
      </c>
      <c r="GF41" s="42">
        <f t="shared" si="47"/>
        <v>0</v>
      </c>
      <c r="GG41" s="42">
        <f t="shared" si="47"/>
        <v>0</v>
      </c>
      <c r="GH41" s="42">
        <f t="shared" si="47"/>
        <v>0</v>
      </c>
    </row>
    <row r="42" spans="2:190" ht="14.5" thickBot="1">
      <c r="B42" s="43" t="s">
        <v>247</v>
      </c>
      <c r="C42" s="31">
        <v>43718</v>
      </c>
      <c r="D42" s="31">
        <v>51023</v>
      </c>
      <c r="E42" s="32">
        <v>1.125</v>
      </c>
      <c r="F42" s="33" t="s">
        <v>35</v>
      </c>
      <c r="G42" s="34">
        <v>191.47</v>
      </c>
      <c r="H42" s="34">
        <v>5827</v>
      </c>
      <c r="I42" s="32">
        <v>3.9140000000000001</v>
      </c>
      <c r="J42" s="35">
        <v>6718.6</v>
      </c>
      <c r="K42" s="44" cm="1">
        <f t="array" ref="K42">_xlfn.LET(
    _xlpm.settle,$B$3,
    _xlpm.mat,$D42,
    _xlpm.coupon,10000*$E42/200,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4.9450549450549453</v>
      </c>
      <c r="L42" s="37">
        <f t="shared" si="39"/>
        <v>6723.5450549450552</v>
      </c>
      <c r="M42" s="120">
        <v>0.53976160342650892</v>
      </c>
      <c r="N42" s="45">
        <f t="shared" si="40"/>
        <v>3.8625212784304759E-2</v>
      </c>
      <c r="O42" s="99">
        <f t="shared" si="41"/>
        <v>6723.5456259399261</v>
      </c>
      <c r="P42" s="39">
        <f t="shared" si="42"/>
        <v>5.7099487094092183E-4</v>
      </c>
      <c r="R42" s="41">
        <f t="shared" si="44"/>
        <v>191</v>
      </c>
      <c r="S42" s="42">
        <f t="shared" si="25"/>
        <v>0</v>
      </c>
      <c r="T42" s="42">
        <f t="shared" si="45"/>
        <v>56.25</v>
      </c>
      <c r="U42" s="42">
        <f t="shared" si="45"/>
        <v>0</v>
      </c>
      <c r="V42" s="42">
        <f t="shared" si="45"/>
        <v>56.25</v>
      </c>
      <c r="W42" s="42">
        <f t="shared" si="45"/>
        <v>0</v>
      </c>
      <c r="X42" s="42">
        <f t="shared" si="45"/>
        <v>56.25</v>
      </c>
      <c r="Y42" s="42">
        <f t="shared" si="45"/>
        <v>0</v>
      </c>
      <c r="Z42" s="42">
        <f t="shared" si="45"/>
        <v>56.25</v>
      </c>
      <c r="AA42" s="42">
        <f t="shared" si="45"/>
        <v>0</v>
      </c>
      <c r="AB42" s="42">
        <f t="shared" si="45"/>
        <v>56.25</v>
      </c>
      <c r="AC42" s="42">
        <f t="shared" si="45"/>
        <v>0</v>
      </c>
      <c r="AD42" s="42">
        <f t="shared" si="45"/>
        <v>56.25</v>
      </c>
      <c r="AE42" s="42">
        <f t="shared" si="45"/>
        <v>0</v>
      </c>
      <c r="AF42" s="42">
        <f t="shared" si="45"/>
        <v>56.25</v>
      </c>
      <c r="AG42" s="42">
        <f t="shared" si="45"/>
        <v>0</v>
      </c>
      <c r="AH42" s="42">
        <f t="shared" si="45"/>
        <v>56.25</v>
      </c>
      <c r="AI42" s="42">
        <f t="shared" si="45"/>
        <v>0</v>
      </c>
      <c r="AJ42" s="42">
        <f t="shared" si="45"/>
        <v>56.25</v>
      </c>
      <c r="AK42" s="42">
        <f t="shared" si="45"/>
        <v>0</v>
      </c>
      <c r="AL42" s="42">
        <f t="shared" si="45"/>
        <v>56.25</v>
      </c>
      <c r="AM42" s="42">
        <f t="shared" si="45"/>
        <v>0</v>
      </c>
      <c r="AN42" s="42">
        <f t="shared" si="45"/>
        <v>56.25</v>
      </c>
      <c r="AO42" s="42">
        <f t="shared" si="45"/>
        <v>0</v>
      </c>
      <c r="AP42" s="42">
        <f t="shared" si="45"/>
        <v>56.25</v>
      </c>
      <c r="AQ42" s="42">
        <f t="shared" si="45"/>
        <v>0</v>
      </c>
      <c r="AR42" s="42">
        <f t="shared" si="45"/>
        <v>56.25</v>
      </c>
      <c r="AS42" s="42">
        <f t="shared" si="45"/>
        <v>0</v>
      </c>
      <c r="AT42" s="42">
        <f t="shared" si="45"/>
        <v>56.25</v>
      </c>
      <c r="AU42" s="42">
        <f t="shared" si="45"/>
        <v>0</v>
      </c>
      <c r="AV42" s="42">
        <f t="shared" si="45"/>
        <v>56.25</v>
      </c>
      <c r="AW42" s="42">
        <f t="shared" si="45"/>
        <v>0</v>
      </c>
      <c r="AX42" s="42">
        <f t="shared" si="45"/>
        <v>56.25</v>
      </c>
      <c r="AY42" s="42">
        <f t="shared" si="45"/>
        <v>0</v>
      </c>
      <c r="AZ42" s="42">
        <f t="shared" si="45"/>
        <v>56.25</v>
      </c>
      <c r="BA42" s="42">
        <f t="shared" si="45"/>
        <v>0</v>
      </c>
      <c r="BB42" s="42">
        <f t="shared" si="45"/>
        <v>56.25</v>
      </c>
      <c r="BC42" s="42">
        <f t="shared" si="45"/>
        <v>0</v>
      </c>
      <c r="BD42" s="42">
        <f t="shared" si="45"/>
        <v>56.25</v>
      </c>
      <c r="BE42" s="42">
        <f t="shared" si="45"/>
        <v>0</v>
      </c>
      <c r="BF42" s="42">
        <f t="shared" si="45"/>
        <v>56.25</v>
      </c>
      <c r="BG42" s="42">
        <f t="shared" si="45"/>
        <v>0</v>
      </c>
      <c r="BH42" s="42">
        <f t="shared" si="45"/>
        <v>56.25</v>
      </c>
      <c r="BI42" s="42">
        <f t="shared" si="45"/>
        <v>0</v>
      </c>
      <c r="BJ42" s="42">
        <f t="shared" si="45"/>
        <v>56.25</v>
      </c>
      <c r="BK42" s="42">
        <f t="shared" si="45"/>
        <v>0</v>
      </c>
      <c r="BL42" s="42">
        <f t="shared" si="45"/>
        <v>56.25</v>
      </c>
      <c r="BM42" s="42">
        <f t="shared" si="45"/>
        <v>0</v>
      </c>
      <c r="BN42" s="42">
        <f t="shared" si="45"/>
        <v>56.25</v>
      </c>
      <c r="BO42" s="42">
        <f t="shared" si="45"/>
        <v>0</v>
      </c>
      <c r="BP42" s="42">
        <f t="shared" si="45"/>
        <v>56.25</v>
      </c>
      <c r="BQ42" s="42">
        <f t="shared" si="45"/>
        <v>0</v>
      </c>
      <c r="BR42" s="42">
        <f t="shared" si="45"/>
        <v>56.25</v>
      </c>
      <c r="BS42" s="42">
        <f t="shared" si="45"/>
        <v>0</v>
      </c>
      <c r="BT42" s="42">
        <f t="shared" si="45"/>
        <v>56.25</v>
      </c>
      <c r="BU42" s="42">
        <f t="shared" si="45"/>
        <v>0</v>
      </c>
      <c r="BV42" s="42">
        <f t="shared" si="45"/>
        <v>56.25</v>
      </c>
      <c r="BW42" s="42">
        <f t="shared" si="45"/>
        <v>0</v>
      </c>
      <c r="BX42" s="42">
        <f t="shared" si="45"/>
        <v>56.25</v>
      </c>
      <c r="BY42" s="42">
        <f t="shared" si="45"/>
        <v>0</v>
      </c>
      <c r="BZ42" s="42">
        <f t="shared" si="45"/>
        <v>56.25</v>
      </c>
      <c r="CA42" s="42">
        <f t="shared" si="45"/>
        <v>0</v>
      </c>
      <c r="CB42" s="42">
        <f t="shared" si="45"/>
        <v>56.25</v>
      </c>
      <c r="CC42" s="42">
        <f t="shared" si="45"/>
        <v>0</v>
      </c>
      <c r="CD42" s="42">
        <f t="shared" si="45"/>
        <v>10056.25</v>
      </c>
      <c r="CE42" s="42">
        <f t="shared" si="45"/>
        <v>0</v>
      </c>
      <c r="CF42" s="42">
        <f t="shared" si="43"/>
        <v>0</v>
      </c>
      <c r="CG42" s="42">
        <f t="shared" si="43"/>
        <v>0</v>
      </c>
      <c r="CH42" s="42">
        <f t="shared" si="43"/>
        <v>0</v>
      </c>
      <c r="CI42" s="42">
        <f t="shared" si="43"/>
        <v>0</v>
      </c>
      <c r="CJ42" s="42">
        <f t="shared" si="43"/>
        <v>0</v>
      </c>
      <c r="CK42" s="42">
        <f t="shared" si="43"/>
        <v>0</v>
      </c>
      <c r="CL42" s="42">
        <f t="shared" si="43"/>
        <v>0</v>
      </c>
      <c r="CM42" s="42">
        <f t="shared" si="43"/>
        <v>0</v>
      </c>
      <c r="CN42" s="42">
        <f t="shared" si="43"/>
        <v>0</v>
      </c>
      <c r="CO42" s="42">
        <f t="shared" si="43"/>
        <v>0</v>
      </c>
      <c r="CP42" s="42">
        <f t="shared" si="43"/>
        <v>0</v>
      </c>
      <c r="CQ42" s="42">
        <f t="shared" si="43"/>
        <v>0</v>
      </c>
      <c r="CR42" s="42">
        <f t="shared" si="43"/>
        <v>0</v>
      </c>
      <c r="CS42" s="42">
        <f t="shared" si="43"/>
        <v>0</v>
      </c>
      <c r="CT42" s="42">
        <f t="shared" si="43"/>
        <v>0</v>
      </c>
      <c r="CU42" s="42">
        <f t="shared" si="43"/>
        <v>0</v>
      </c>
      <c r="CV42" s="42">
        <f t="shared" si="43"/>
        <v>0</v>
      </c>
      <c r="CW42" s="42">
        <f t="shared" si="43"/>
        <v>0</v>
      </c>
      <c r="CX42" s="42">
        <f t="shared" si="43"/>
        <v>0</v>
      </c>
      <c r="CY42" s="42">
        <f t="shared" si="43"/>
        <v>0</v>
      </c>
      <c r="CZ42" s="42">
        <f t="shared" si="43"/>
        <v>0</v>
      </c>
      <c r="DA42" s="42">
        <f t="shared" si="43"/>
        <v>0</v>
      </c>
      <c r="DB42" s="42">
        <f t="shared" si="43"/>
        <v>0</v>
      </c>
      <c r="DC42" s="42">
        <f t="shared" si="43"/>
        <v>0</v>
      </c>
      <c r="DD42" s="42">
        <f t="shared" si="43"/>
        <v>0</v>
      </c>
      <c r="DE42" s="42">
        <f t="shared" si="43"/>
        <v>0</v>
      </c>
      <c r="DF42" s="42">
        <f t="shared" si="43"/>
        <v>0</v>
      </c>
      <c r="DG42" s="42">
        <f t="shared" si="43"/>
        <v>0</v>
      </c>
      <c r="DH42" s="42">
        <f t="shared" si="43"/>
        <v>0</v>
      </c>
      <c r="DI42" s="42">
        <f t="shared" si="43"/>
        <v>0</v>
      </c>
      <c r="DJ42" s="42">
        <f t="shared" si="43"/>
        <v>0</v>
      </c>
      <c r="DK42" s="42">
        <f t="shared" si="43"/>
        <v>0</v>
      </c>
      <c r="DL42" s="42">
        <f t="shared" si="43"/>
        <v>0</v>
      </c>
      <c r="DM42" s="42">
        <f t="shared" si="43"/>
        <v>0</v>
      </c>
      <c r="DN42" s="42">
        <f t="shared" si="43"/>
        <v>0</v>
      </c>
      <c r="DO42" s="42">
        <f t="shared" si="43"/>
        <v>0</v>
      </c>
      <c r="DP42" s="42">
        <f t="shared" si="43"/>
        <v>0</v>
      </c>
      <c r="DQ42" s="42">
        <f t="shared" si="43"/>
        <v>0</v>
      </c>
      <c r="DR42" s="42">
        <f t="shared" si="43"/>
        <v>0</v>
      </c>
      <c r="DS42" s="42">
        <f t="shared" si="43"/>
        <v>0</v>
      </c>
      <c r="DT42" s="42">
        <f t="shared" si="43"/>
        <v>0</v>
      </c>
      <c r="DU42" s="42">
        <f t="shared" si="43"/>
        <v>0</v>
      </c>
      <c r="DV42" s="42">
        <f t="shared" si="43"/>
        <v>0</v>
      </c>
      <c r="DW42" s="42">
        <f t="shared" si="43"/>
        <v>0</v>
      </c>
      <c r="DX42" s="42">
        <f t="shared" si="43"/>
        <v>0</v>
      </c>
      <c r="DY42" s="42">
        <f t="shared" si="43"/>
        <v>0</v>
      </c>
      <c r="DZ42" s="42">
        <f t="shared" si="43"/>
        <v>0</v>
      </c>
      <c r="EA42" s="42">
        <f t="shared" si="43"/>
        <v>0</v>
      </c>
      <c r="EB42" s="42">
        <f t="shared" si="43"/>
        <v>0</v>
      </c>
      <c r="EC42" s="42">
        <f t="shared" si="43"/>
        <v>0</v>
      </c>
      <c r="ED42" s="42">
        <f t="shared" si="43"/>
        <v>0</v>
      </c>
      <c r="EE42" s="42">
        <f t="shared" si="43"/>
        <v>0</v>
      </c>
      <c r="EF42" s="42">
        <f t="shared" si="43"/>
        <v>0</v>
      </c>
      <c r="EG42" s="42">
        <f t="shared" si="43"/>
        <v>0</v>
      </c>
      <c r="EH42" s="42">
        <f t="shared" si="43"/>
        <v>0</v>
      </c>
      <c r="EI42" s="42">
        <f t="shared" si="43"/>
        <v>0</v>
      </c>
      <c r="EJ42" s="42">
        <f t="shared" si="43"/>
        <v>0</v>
      </c>
      <c r="EK42" s="42">
        <f t="shared" si="43"/>
        <v>0</v>
      </c>
      <c r="EL42" s="42">
        <f t="shared" si="43"/>
        <v>0</v>
      </c>
      <c r="EM42" s="42">
        <f t="shared" si="43"/>
        <v>0</v>
      </c>
      <c r="EN42" s="42">
        <f t="shared" si="43"/>
        <v>0</v>
      </c>
      <c r="EO42" s="42">
        <f t="shared" si="43"/>
        <v>0</v>
      </c>
      <c r="EP42" s="42">
        <f t="shared" si="43"/>
        <v>0</v>
      </c>
      <c r="EQ42" s="42">
        <f t="shared" si="47"/>
        <v>0</v>
      </c>
      <c r="ER42" s="42">
        <f t="shared" si="47"/>
        <v>0</v>
      </c>
      <c r="ES42" s="42">
        <f t="shared" si="47"/>
        <v>0</v>
      </c>
      <c r="ET42" s="42">
        <f t="shared" si="47"/>
        <v>0</v>
      </c>
      <c r="EU42" s="42">
        <f t="shared" si="47"/>
        <v>0</v>
      </c>
      <c r="EV42" s="42">
        <f t="shared" si="47"/>
        <v>0</v>
      </c>
      <c r="EW42" s="42">
        <f t="shared" si="47"/>
        <v>0</v>
      </c>
      <c r="EX42" s="42">
        <f t="shared" si="47"/>
        <v>0</v>
      </c>
      <c r="EY42" s="42">
        <f t="shared" si="47"/>
        <v>0</v>
      </c>
      <c r="EZ42" s="42">
        <f t="shared" si="47"/>
        <v>0</v>
      </c>
      <c r="FA42" s="42">
        <f t="shared" si="47"/>
        <v>0</v>
      </c>
      <c r="FB42" s="42">
        <f t="shared" si="47"/>
        <v>0</v>
      </c>
      <c r="FC42" s="42">
        <f t="shared" si="47"/>
        <v>0</v>
      </c>
      <c r="FD42" s="42">
        <f t="shared" si="47"/>
        <v>0</v>
      </c>
      <c r="FE42" s="42">
        <f t="shared" si="47"/>
        <v>0</v>
      </c>
      <c r="FF42" s="42">
        <f t="shared" si="47"/>
        <v>0</v>
      </c>
      <c r="FG42" s="42">
        <f t="shared" si="47"/>
        <v>0</v>
      </c>
      <c r="FH42" s="42">
        <f t="shared" si="47"/>
        <v>0</v>
      </c>
      <c r="FI42" s="42">
        <f t="shared" si="47"/>
        <v>0</v>
      </c>
      <c r="FJ42" s="42">
        <f t="shared" si="47"/>
        <v>0</v>
      </c>
      <c r="FK42" s="42">
        <f t="shared" si="47"/>
        <v>0</v>
      </c>
      <c r="FL42" s="42">
        <f t="shared" si="47"/>
        <v>0</v>
      </c>
      <c r="FM42" s="42">
        <f t="shared" si="47"/>
        <v>0</v>
      </c>
      <c r="FN42" s="42">
        <f t="shared" si="47"/>
        <v>0</v>
      </c>
      <c r="FO42" s="42">
        <f t="shared" si="47"/>
        <v>0</v>
      </c>
      <c r="FP42" s="42">
        <f t="shared" si="47"/>
        <v>0</v>
      </c>
      <c r="FQ42" s="42">
        <f t="shared" si="47"/>
        <v>0</v>
      </c>
      <c r="FR42" s="42">
        <f t="shared" si="47"/>
        <v>0</v>
      </c>
      <c r="FS42" s="42">
        <f t="shared" si="47"/>
        <v>0</v>
      </c>
      <c r="FT42" s="42">
        <f t="shared" si="47"/>
        <v>0</v>
      </c>
      <c r="FU42" s="42">
        <f t="shared" si="47"/>
        <v>0</v>
      </c>
      <c r="FV42" s="42">
        <f t="shared" si="47"/>
        <v>0</v>
      </c>
      <c r="FW42" s="42">
        <f t="shared" si="47"/>
        <v>0</v>
      </c>
      <c r="FX42" s="42">
        <f t="shared" si="47"/>
        <v>0</v>
      </c>
      <c r="FY42" s="42">
        <f t="shared" si="47"/>
        <v>0</v>
      </c>
      <c r="FZ42" s="42">
        <f t="shared" si="47"/>
        <v>0</v>
      </c>
      <c r="GA42" s="42">
        <f t="shared" si="47"/>
        <v>0</v>
      </c>
      <c r="GB42" s="42">
        <f t="shared" si="47"/>
        <v>0</v>
      </c>
      <c r="GC42" s="42">
        <f t="shared" si="47"/>
        <v>0</v>
      </c>
      <c r="GD42" s="42">
        <f t="shared" si="47"/>
        <v>0</v>
      </c>
      <c r="GE42" s="42">
        <f t="shared" si="47"/>
        <v>0</v>
      </c>
      <c r="GF42" s="42">
        <f t="shared" si="47"/>
        <v>0</v>
      </c>
      <c r="GG42" s="42">
        <f t="shared" si="47"/>
        <v>0</v>
      </c>
      <c r="GH42" s="42">
        <f t="shared" si="47"/>
        <v>0</v>
      </c>
    </row>
    <row r="43" spans="2:190" ht="14.5" thickBot="1">
      <c r="B43" s="43" t="s">
        <v>248</v>
      </c>
      <c r="C43" s="31">
        <v>44084</v>
      </c>
      <c r="D43" s="31">
        <v>51389</v>
      </c>
      <c r="E43" s="32">
        <v>1.5</v>
      </c>
      <c r="F43" s="33" t="s">
        <v>36</v>
      </c>
      <c r="G43" s="34">
        <v>203.47</v>
      </c>
      <c r="H43" s="34">
        <v>6193</v>
      </c>
      <c r="I43" s="32">
        <v>3.911</v>
      </c>
      <c r="J43" s="35">
        <v>7038.34</v>
      </c>
      <c r="K43" s="44" cm="1">
        <f t="array" ref="K43">_xlfn.LET(
    _xlpm.settle,$B$3,
    _xlpm.mat,$D43,
    _xlpm.coupon,10000*$E43/200,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6.5934065934065931</v>
      </c>
      <c r="L43" s="37">
        <f t="shared" si="39"/>
        <v>7044.9334065934063</v>
      </c>
      <c r="M43" s="120">
        <v>0.51983127187747624</v>
      </c>
      <c r="N43" s="45">
        <f t="shared" si="40"/>
        <v>3.8559924751349187E-2</v>
      </c>
      <c r="O43" s="99">
        <f t="shared" si="41"/>
        <v>7044.9338896372547</v>
      </c>
      <c r="P43" s="39">
        <f t="shared" si="42"/>
        <v>4.8304384836228564E-4</v>
      </c>
      <c r="R43" s="41">
        <f t="shared" si="44"/>
        <v>203</v>
      </c>
      <c r="S43" s="42">
        <f t="shared" si="25"/>
        <v>0</v>
      </c>
      <c r="T43" s="42">
        <f t="shared" si="45"/>
        <v>75</v>
      </c>
      <c r="U43" s="42">
        <f t="shared" si="45"/>
        <v>0</v>
      </c>
      <c r="V43" s="42">
        <f t="shared" si="45"/>
        <v>75</v>
      </c>
      <c r="W43" s="42">
        <f t="shared" si="45"/>
        <v>0</v>
      </c>
      <c r="X43" s="42">
        <f t="shared" si="45"/>
        <v>75</v>
      </c>
      <c r="Y43" s="42">
        <f t="shared" si="45"/>
        <v>0</v>
      </c>
      <c r="Z43" s="42">
        <f t="shared" si="45"/>
        <v>75</v>
      </c>
      <c r="AA43" s="42">
        <f t="shared" si="45"/>
        <v>0</v>
      </c>
      <c r="AB43" s="42">
        <f t="shared" si="45"/>
        <v>75</v>
      </c>
      <c r="AC43" s="42">
        <f t="shared" si="45"/>
        <v>0</v>
      </c>
      <c r="AD43" s="42">
        <f t="shared" si="45"/>
        <v>75</v>
      </c>
      <c r="AE43" s="42">
        <f t="shared" si="45"/>
        <v>0</v>
      </c>
      <c r="AF43" s="42">
        <f t="shared" si="45"/>
        <v>75</v>
      </c>
      <c r="AG43" s="42">
        <f t="shared" si="45"/>
        <v>0</v>
      </c>
      <c r="AH43" s="42">
        <f t="shared" si="45"/>
        <v>75</v>
      </c>
      <c r="AI43" s="42">
        <f t="shared" si="45"/>
        <v>0</v>
      </c>
      <c r="AJ43" s="42">
        <f t="shared" si="45"/>
        <v>75</v>
      </c>
      <c r="AK43" s="42">
        <f t="shared" si="45"/>
        <v>0</v>
      </c>
      <c r="AL43" s="42">
        <f t="shared" si="45"/>
        <v>75</v>
      </c>
      <c r="AM43" s="42">
        <f t="shared" si="45"/>
        <v>0</v>
      </c>
      <c r="AN43" s="42">
        <f t="shared" si="45"/>
        <v>75</v>
      </c>
      <c r="AO43" s="42">
        <f t="shared" si="45"/>
        <v>0</v>
      </c>
      <c r="AP43" s="42">
        <f t="shared" si="45"/>
        <v>75</v>
      </c>
      <c r="AQ43" s="42">
        <f t="shared" si="45"/>
        <v>0</v>
      </c>
      <c r="AR43" s="42">
        <f t="shared" si="45"/>
        <v>75</v>
      </c>
      <c r="AS43" s="42">
        <f t="shared" si="45"/>
        <v>0</v>
      </c>
      <c r="AT43" s="42">
        <f t="shared" si="45"/>
        <v>75</v>
      </c>
      <c r="AU43" s="42">
        <f t="shared" si="45"/>
        <v>0</v>
      </c>
      <c r="AV43" s="42">
        <f t="shared" si="45"/>
        <v>75</v>
      </c>
      <c r="AW43" s="42">
        <f t="shared" si="45"/>
        <v>0</v>
      </c>
      <c r="AX43" s="42">
        <f t="shared" si="45"/>
        <v>75</v>
      </c>
      <c r="AY43" s="42">
        <f t="shared" si="45"/>
        <v>0</v>
      </c>
      <c r="AZ43" s="42">
        <f t="shared" si="45"/>
        <v>75</v>
      </c>
      <c r="BA43" s="42">
        <f t="shared" si="45"/>
        <v>0</v>
      </c>
      <c r="BB43" s="42">
        <f t="shared" si="45"/>
        <v>75</v>
      </c>
      <c r="BC43" s="42">
        <f t="shared" si="45"/>
        <v>0</v>
      </c>
      <c r="BD43" s="42">
        <f t="shared" si="45"/>
        <v>75</v>
      </c>
      <c r="BE43" s="42">
        <f t="shared" si="45"/>
        <v>0</v>
      </c>
      <c r="BF43" s="42">
        <f t="shared" si="45"/>
        <v>75</v>
      </c>
      <c r="BG43" s="42">
        <f t="shared" si="45"/>
        <v>0</v>
      </c>
      <c r="BH43" s="42">
        <f t="shared" si="45"/>
        <v>75</v>
      </c>
      <c r="BI43" s="42">
        <f t="shared" si="45"/>
        <v>0</v>
      </c>
      <c r="BJ43" s="42">
        <f t="shared" si="45"/>
        <v>75</v>
      </c>
      <c r="BK43" s="42">
        <f t="shared" si="45"/>
        <v>0</v>
      </c>
      <c r="BL43" s="42">
        <f t="shared" si="45"/>
        <v>75</v>
      </c>
      <c r="BM43" s="42">
        <f t="shared" si="45"/>
        <v>0</v>
      </c>
      <c r="BN43" s="42">
        <f t="shared" si="45"/>
        <v>75</v>
      </c>
      <c r="BO43" s="42">
        <f t="shared" si="45"/>
        <v>0</v>
      </c>
      <c r="BP43" s="42">
        <f t="shared" si="45"/>
        <v>75</v>
      </c>
      <c r="BQ43" s="42">
        <f t="shared" si="45"/>
        <v>0</v>
      </c>
      <c r="BR43" s="42">
        <f t="shared" si="45"/>
        <v>75</v>
      </c>
      <c r="BS43" s="42">
        <f t="shared" si="45"/>
        <v>0</v>
      </c>
      <c r="BT43" s="42">
        <f t="shared" si="45"/>
        <v>75</v>
      </c>
      <c r="BU43" s="42">
        <f t="shared" si="45"/>
        <v>0</v>
      </c>
      <c r="BV43" s="42">
        <f t="shared" si="45"/>
        <v>75</v>
      </c>
      <c r="BW43" s="42">
        <f t="shared" si="45"/>
        <v>0</v>
      </c>
      <c r="BX43" s="42">
        <f t="shared" si="45"/>
        <v>75</v>
      </c>
      <c r="BY43" s="42">
        <f t="shared" si="45"/>
        <v>0</v>
      </c>
      <c r="BZ43" s="42">
        <f t="shared" si="45"/>
        <v>75</v>
      </c>
      <c r="CA43" s="42">
        <f t="shared" si="45"/>
        <v>0</v>
      </c>
      <c r="CB43" s="42">
        <f t="shared" si="45"/>
        <v>75</v>
      </c>
      <c r="CC43" s="42">
        <f t="shared" si="45"/>
        <v>0</v>
      </c>
      <c r="CD43" s="42">
        <f t="shared" si="45"/>
        <v>75</v>
      </c>
      <c r="CE43" s="42">
        <f t="shared" ref="CE43:EP46" si="48">IF(
    CE$6=$R43,
    10000+10000*$E43/200,
    IF(
        AND(CE$6&lt;$R43,MOD($R43-CE$6,6)=0),
        10000*$E43/200,
        0
    )
)</f>
        <v>0</v>
      </c>
      <c r="CF43" s="42">
        <f t="shared" si="48"/>
        <v>75</v>
      </c>
      <c r="CG43" s="42">
        <f t="shared" si="48"/>
        <v>0</v>
      </c>
      <c r="CH43" s="42">
        <f t="shared" si="48"/>
        <v>10075</v>
      </c>
      <c r="CI43" s="42">
        <f t="shared" si="48"/>
        <v>0</v>
      </c>
      <c r="CJ43" s="42">
        <f t="shared" si="48"/>
        <v>0</v>
      </c>
      <c r="CK43" s="42">
        <f t="shared" si="48"/>
        <v>0</v>
      </c>
      <c r="CL43" s="42">
        <f t="shared" si="48"/>
        <v>0</v>
      </c>
      <c r="CM43" s="42">
        <f t="shared" si="48"/>
        <v>0</v>
      </c>
      <c r="CN43" s="42">
        <f t="shared" si="48"/>
        <v>0</v>
      </c>
      <c r="CO43" s="42">
        <f t="shared" si="48"/>
        <v>0</v>
      </c>
      <c r="CP43" s="42">
        <f t="shared" si="48"/>
        <v>0</v>
      </c>
      <c r="CQ43" s="42">
        <f t="shared" si="48"/>
        <v>0</v>
      </c>
      <c r="CR43" s="42">
        <f t="shared" si="48"/>
        <v>0</v>
      </c>
      <c r="CS43" s="42">
        <f t="shared" si="48"/>
        <v>0</v>
      </c>
      <c r="CT43" s="42">
        <f t="shared" si="48"/>
        <v>0</v>
      </c>
      <c r="CU43" s="42">
        <f t="shared" si="48"/>
        <v>0</v>
      </c>
      <c r="CV43" s="42">
        <f t="shared" si="48"/>
        <v>0</v>
      </c>
      <c r="CW43" s="42">
        <f t="shared" si="48"/>
        <v>0</v>
      </c>
      <c r="CX43" s="42">
        <f t="shared" si="48"/>
        <v>0</v>
      </c>
      <c r="CY43" s="42">
        <f t="shared" si="48"/>
        <v>0</v>
      </c>
      <c r="CZ43" s="42">
        <f t="shared" si="48"/>
        <v>0</v>
      </c>
      <c r="DA43" s="42">
        <f t="shared" si="48"/>
        <v>0</v>
      </c>
      <c r="DB43" s="42">
        <f t="shared" si="48"/>
        <v>0</v>
      </c>
      <c r="DC43" s="42">
        <f t="shared" si="48"/>
        <v>0</v>
      </c>
      <c r="DD43" s="42">
        <f t="shared" si="48"/>
        <v>0</v>
      </c>
      <c r="DE43" s="42">
        <f t="shared" si="48"/>
        <v>0</v>
      </c>
      <c r="DF43" s="42">
        <f t="shared" si="48"/>
        <v>0</v>
      </c>
      <c r="DG43" s="42">
        <f t="shared" si="48"/>
        <v>0</v>
      </c>
      <c r="DH43" s="42">
        <f t="shared" si="48"/>
        <v>0</v>
      </c>
      <c r="DI43" s="42">
        <f t="shared" si="48"/>
        <v>0</v>
      </c>
      <c r="DJ43" s="42">
        <f t="shared" si="48"/>
        <v>0</v>
      </c>
      <c r="DK43" s="42">
        <f t="shared" si="48"/>
        <v>0</v>
      </c>
      <c r="DL43" s="42">
        <f t="shared" si="48"/>
        <v>0</v>
      </c>
      <c r="DM43" s="42">
        <f t="shared" si="48"/>
        <v>0</v>
      </c>
      <c r="DN43" s="42">
        <f t="shared" si="48"/>
        <v>0</v>
      </c>
      <c r="DO43" s="42">
        <f t="shared" si="48"/>
        <v>0</v>
      </c>
      <c r="DP43" s="42">
        <f t="shared" si="48"/>
        <v>0</v>
      </c>
      <c r="DQ43" s="42">
        <f t="shared" si="48"/>
        <v>0</v>
      </c>
      <c r="DR43" s="42">
        <f t="shared" si="48"/>
        <v>0</v>
      </c>
      <c r="DS43" s="42">
        <f t="shared" si="48"/>
        <v>0</v>
      </c>
      <c r="DT43" s="42">
        <f t="shared" si="48"/>
        <v>0</v>
      </c>
      <c r="DU43" s="42">
        <f t="shared" si="48"/>
        <v>0</v>
      </c>
      <c r="DV43" s="42">
        <f t="shared" si="48"/>
        <v>0</v>
      </c>
      <c r="DW43" s="42">
        <f t="shared" si="48"/>
        <v>0</v>
      </c>
      <c r="DX43" s="42">
        <f t="shared" si="48"/>
        <v>0</v>
      </c>
      <c r="DY43" s="42">
        <f t="shared" si="48"/>
        <v>0</v>
      </c>
      <c r="DZ43" s="42">
        <f t="shared" si="48"/>
        <v>0</v>
      </c>
      <c r="EA43" s="42">
        <f t="shared" si="48"/>
        <v>0</v>
      </c>
      <c r="EB43" s="42">
        <f t="shared" si="48"/>
        <v>0</v>
      </c>
      <c r="EC43" s="42">
        <f t="shared" si="48"/>
        <v>0</v>
      </c>
      <c r="ED43" s="42">
        <f t="shared" si="48"/>
        <v>0</v>
      </c>
      <c r="EE43" s="42">
        <f t="shared" si="48"/>
        <v>0</v>
      </c>
      <c r="EF43" s="42">
        <f t="shared" si="48"/>
        <v>0</v>
      </c>
      <c r="EG43" s="42">
        <f t="shared" si="48"/>
        <v>0</v>
      </c>
      <c r="EH43" s="42">
        <f t="shared" si="48"/>
        <v>0</v>
      </c>
      <c r="EI43" s="42">
        <f t="shared" si="48"/>
        <v>0</v>
      </c>
      <c r="EJ43" s="42">
        <f t="shared" si="48"/>
        <v>0</v>
      </c>
      <c r="EK43" s="42">
        <f t="shared" si="48"/>
        <v>0</v>
      </c>
      <c r="EL43" s="42">
        <f t="shared" si="48"/>
        <v>0</v>
      </c>
      <c r="EM43" s="42">
        <f t="shared" si="48"/>
        <v>0</v>
      </c>
      <c r="EN43" s="42">
        <f t="shared" si="48"/>
        <v>0</v>
      </c>
      <c r="EO43" s="42">
        <f t="shared" si="48"/>
        <v>0</v>
      </c>
      <c r="EP43" s="42">
        <f t="shared" si="48"/>
        <v>0</v>
      </c>
      <c r="EQ43" s="42">
        <f t="shared" si="47"/>
        <v>0</v>
      </c>
      <c r="ER43" s="42">
        <f t="shared" si="47"/>
        <v>0</v>
      </c>
      <c r="ES43" s="42">
        <f t="shared" si="47"/>
        <v>0</v>
      </c>
      <c r="ET43" s="42">
        <f t="shared" si="47"/>
        <v>0</v>
      </c>
      <c r="EU43" s="42">
        <f t="shared" si="47"/>
        <v>0</v>
      </c>
      <c r="EV43" s="42">
        <f t="shared" si="47"/>
        <v>0</v>
      </c>
      <c r="EW43" s="42">
        <f t="shared" si="47"/>
        <v>0</v>
      </c>
      <c r="EX43" s="42">
        <f t="shared" si="47"/>
        <v>0</v>
      </c>
      <c r="EY43" s="42">
        <f t="shared" si="47"/>
        <v>0</v>
      </c>
      <c r="EZ43" s="42">
        <f t="shared" si="47"/>
        <v>0</v>
      </c>
      <c r="FA43" s="42">
        <f t="shared" si="47"/>
        <v>0</v>
      </c>
      <c r="FB43" s="42">
        <f t="shared" si="47"/>
        <v>0</v>
      </c>
      <c r="FC43" s="42">
        <f t="shared" si="47"/>
        <v>0</v>
      </c>
      <c r="FD43" s="42">
        <f t="shared" si="47"/>
        <v>0</v>
      </c>
      <c r="FE43" s="42">
        <f t="shared" si="47"/>
        <v>0</v>
      </c>
      <c r="FF43" s="42">
        <f t="shared" si="47"/>
        <v>0</v>
      </c>
      <c r="FG43" s="42">
        <f t="shared" si="47"/>
        <v>0</v>
      </c>
      <c r="FH43" s="42">
        <f t="shared" si="47"/>
        <v>0</v>
      </c>
      <c r="FI43" s="42">
        <f t="shared" si="47"/>
        <v>0</v>
      </c>
      <c r="FJ43" s="42">
        <f t="shared" si="47"/>
        <v>0</v>
      </c>
      <c r="FK43" s="42">
        <f t="shared" si="47"/>
        <v>0</v>
      </c>
      <c r="FL43" s="42">
        <f t="shared" si="47"/>
        <v>0</v>
      </c>
      <c r="FM43" s="42">
        <f t="shared" si="47"/>
        <v>0</v>
      </c>
      <c r="FN43" s="42">
        <f t="shared" si="47"/>
        <v>0</v>
      </c>
      <c r="FO43" s="42">
        <f t="shared" si="47"/>
        <v>0</v>
      </c>
      <c r="FP43" s="42">
        <f t="shared" si="47"/>
        <v>0</v>
      </c>
      <c r="FQ43" s="42">
        <f t="shared" si="47"/>
        <v>0</v>
      </c>
      <c r="FR43" s="42">
        <f t="shared" si="47"/>
        <v>0</v>
      </c>
      <c r="FS43" s="42">
        <f t="shared" si="47"/>
        <v>0</v>
      </c>
      <c r="FT43" s="42">
        <f t="shared" si="47"/>
        <v>0</v>
      </c>
      <c r="FU43" s="42">
        <f t="shared" si="47"/>
        <v>0</v>
      </c>
      <c r="FV43" s="42">
        <f t="shared" si="47"/>
        <v>0</v>
      </c>
      <c r="FW43" s="42">
        <f t="shared" si="47"/>
        <v>0</v>
      </c>
      <c r="FX43" s="42">
        <f t="shared" si="47"/>
        <v>0</v>
      </c>
      <c r="FY43" s="42">
        <f t="shared" si="47"/>
        <v>0</v>
      </c>
      <c r="FZ43" s="42">
        <f t="shared" si="47"/>
        <v>0</v>
      </c>
      <c r="GA43" s="42">
        <f t="shared" si="47"/>
        <v>0</v>
      </c>
      <c r="GB43" s="42">
        <f t="shared" si="47"/>
        <v>0</v>
      </c>
      <c r="GC43" s="42">
        <f t="shared" si="47"/>
        <v>0</v>
      </c>
      <c r="GD43" s="42">
        <f t="shared" si="47"/>
        <v>0</v>
      </c>
      <c r="GE43" s="42">
        <f t="shared" si="47"/>
        <v>0</v>
      </c>
      <c r="GF43" s="42">
        <f t="shared" si="47"/>
        <v>0</v>
      </c>
      <c r="GG43" s="42">
        <f t="shared" si="47"/>
        <v>0</v>
      </c>
      <c r="GH43" s="42">
        <f t="shared" si="47"/>
        <v>0</v>
      </c>
    </row>
    <row r="44" spans="2:190" ht="14.5" thickBot="1">
      <c r="B44" s="43" t="s">
        <v>249</v>
      </c>
      <c r="C44" s="31">
        <v>44449</v>
      </c>
      <c r="D44" s="31">
        <v>51754</v>
      </c>
      <c r="E44" s="32">
        <v>1.875</v>
      </c>
      <c r="F44" s="33" t="s">
        <v>37</v>
      </c>
      <c r="G44" s="34">
        <v>215.47</v>
      </c>
      <c r="H44" s="34">
        <v>6558</v>
      </c>
      <c r="I44" s="32">
        <v>3.9889999999999999</v>
      </c>
      <c r="J44" s="35">
        <v>7316.54</v>
      </c>
      <c r="K44" s="44" cm="1">
        <f t="array" ref="K44">_xlfn.LET(
    _xlpm.settle,$B$3,
    _xlpm.mat,$D44,
    _xlpm.coupon,10000*$E44/200,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8.2417582417582409</v>
      </c>
      <c r="L44" s="37">
        <f t="shared" si="39"/>
        <v>7324.7817582417583</v>
      </c>
      <c r="M44" s="120">
        <v>0.49229279052705771</v>
      </c>
      <c r="N44" s="45">
        <f t="shared" si="40"/>
        <v>3.9443244499926929E-2</v>
      </c>
      <c r="O44" s="99">
        <f t="shared" si="41"/>
        <v>7324.7825688001785</v>
      </c>
      <c r="P44" s="39">
        <f t="shared" si="42"/>
        <v>8.1055842019850388E-4</v>
      </c>
      <c r="R44" s="41">
        <f t="shared" si="44"/>
        <v>215</v>
      </c>
      <c r="S44" s="42">
        <f t="shared" si="25"/>
        <v>0</v>
      </c>
      <c r="T44" s="42">
        <f t="shared" ref="T44:CE47" si="49">IF(
    T$6=$R44,
    10000+10000*$E44/200,
    IF(
        AND(T$6&lt;$R44,MOD($R44-T$6,6)=0),
        10000*$E44/200,
        0
    )
)</f>
        <v>93.75</v>
      </c>
      <c r="U44" s="42">
        <f t="shared" si="49"/>
        <v>0</v>
      </c>
      <c r="V44" s="42">
        <f t="shared" si="49"/>
        <v>93.75</v>
      </c>
      <c r="W44" s="42">
        <f t="shared" si="49"/>
        <v>0</v>
      </c>
      <c r="X44" s="42">
        <f t="shared" si="49"/>
        <v>93.75</v>
      </c>
      <c r="Y44" s="42">
        <f t="shared" si="49"/>
        <v>0</v>
      </c>
      <c r="Z44" s="42">
        <f t="shared" si="49"/>
        <v>93.75</v>
      </c>
      <c r="AA44" s="42">
        <f t="shared" si="49"/>
        <v>0</v>
      </c>
      <c r="AB44" s="42">
        <f t="shared" si="49"/>
        <v>93.75</v>
      </c>
      <c r="AC44" s="42">
        <f t="shared" si="49"/>
        <v>0</v>
      </c>
      <c r="AD44" s="42">
        <f t="shared" si="49"/>
        <v>93.75</v>
      </c>
      <c r="AE44" s="42">
        <f t="shared" si="49"/>
        <v>0</v>
      </c>
      <c r="AF44" s="42">
        <f t="shared" si="49"/>
        <v>93.75</v>
      </c>
      <c r="AG44" s="42">
        <f t="shared" si="49"/>
        <v>0</v>
      </c>
      <c r="AH44" s="42">
        <f t="shared" si="49"/>
        <v>93.75</v>
      </c>
      <c r="AI44" s="42">
        <f t="shared" si="49"/>
        <v>0</v>
      </c>
      <c r="AJ44" s="42">
        <f t="shared" si="49"/>
        <v>93.75</v>
      </c>
      <c r="AK44" s="42">
        <f t="shared" si="49"/>
        <v>0</v>
      </c>
      <c r="AL44" s="42">
        <f t="shared" si="49"/>
        <v>93.75</v>
      </c>
      <c r="AM44" s="42">
        <f t="shared" si="49"/>
        <v>0</v>
      </c>
      <c r="AN44" s="42">
        <f t="shared" si="49"/>
        <v>93.75</v>
      </c>
      <c r="AO44" s="42">
        <f t="shared" si="49"/>
        <v>0</v>
      </c>
      <c r="AP44" s="42">
        <f t="shared" si="49"/>
        <v>93.75</v>
      </c>
      <c r="AQ44" s="42">
        <f t="shared" si="49"/>
        <v>0</v>
      </c>
      <c r="AR44" s="42">
        <f t="shared" si="49"/>
        <v>93.75</v>
      </c>
      <c r="AS44" s="42">
        <f t="shared" si="49"/>
        <v>0</v>
      </c>
      <c r="AT44" s="42">
        <f t="shared" si="49"/>
        <v>93.75</v>
      </c>
      <c r="AU44" s="42">
        <f t="shared" si="49"/>
        <v>0</v>
      </c>
      <c r="AV44" s="42">
        <f t="shared" si="49"/>
        <v>93.75</v>
      </c>
      <c r="AW44" s="42">
        <f t="shared" si="49"/>
        <v>0</v>
      </c>
      <c r="AX44" s="42">
        <f t="shared" si="49"/>
        <v>93.75</v>
      </c>
      <c r="AY44" s="42">
        <f t="shared" si="49"/>
        <v>0</v>
      </c>
      <c r="AZ44" s="42">
        <f t="shared" si="49"/>
        <v>93.75</v>
      </c>
      <c r="BA44" s="42">
        <f t="shared" si="49"/>
        <v>0</v>
      </c>
      <c r="BB44" s="42">
        <f t="shared" si="49"/>
        <v>93.75</v>
      </c>
      <c r="BC44" s="42">
        <f t="shared" si="49"/>
        <v>0</v>
      </c>
      <c r="BD44" s="42">
        <f t="shared" si="49"/>
        <v>93.75</v>
      </c>
      <c r="BE44" s="42">
        <f t="shared" si="49"/>
        <v>0</v>
      </c>
      <c r="BF44" s="42">
        <f t="shared" si="49"/>
        <v>93.75</v>
      </c>
      <c r="BG44" s="42">
        <f t="shared" si="49"/>
        <v>0</v>
      </c>
      <c r="BH44" s="42">
        <f t="shared" si="49"/>
        <v>93.75</v>
      </c>
      <c r="BI44" s="42">
        <f t="shared" si="49"/>
        <v>0</v>
      </c>
      <c r="BJ44" s="42">
        <f t="shared" si="49"/>
        <v>93.75</v>
      </c>
      <c r="BK44" s="42">
        <f t="shared" si="49"/>
        <v>0</v>
      </c>
      <c r="BL44" s="42">
        <f t="shared" si="49"/>
        <v>93.75</v>
      </c>
      <c r="BM44" s="42">
        <f t="shared" si="49"/>
        <v>0</v>
      </c>
      <c r="BN44" s="42">
        <f t="shared" si="49"/>
        <v>93.75</v>
      </c>
      <c r="BO44" s="42">
        <f t="shared" si="49"/>
        <v>0</v>
      </c>
      <c r="BP44" s="42">
        <f t="shared" si="49"/>
        <v>93.75</v>
      </c>
      <c r="BQ44" s="42">
        <f t="shared" si="49"/>
        <v>0</v>
      </c>
      <c r="BR44" s="42">
        <f t="shared" si="49"/>
        <v>93.75</v>
      </c>
      <c r="BS44" s="42">
        <f t="shared" si="49"/>
        <v>0</v>
      </c>
      <c r="BT44" s="42">
        <f t="shared" si="49"/>
        <v>93.75</v>
      </c>
      <c r="BU44" s="42">
        <f t="shared" si="49"/>
        <v>0</v>
      </c>
      <c r="BV44" s="42">
        <f t="shared" si="49"/>
        <v>93.75</v>
      </c>
      <c r="BW44" s="42">
        <f t="shared" si="49"/>
        <v>0</v>
      </c>
      <c r="BX44" s="42">
        <f t="shared" si="49"/>
        <v>93.75</v>
      </c>
      <c r="BY44" s="42">
        <f t="shared" si="49"/>
        <v>0</v>
      </c>
      <c r="BZ44" s="42">
        <f t="shared" si="49"/>
        <v>93.75</v>
      </c>
      <c r="CA44" s="42">
        <f t="shared" si="49"/>
        <v>0</v>
      </c>
      <c r="CB44" s="42">
        <f t="shared" si="49"/>
        <v>93.75</v>
      </c>
      <c r="CC44" s="42">
        <f t="shared" si="49"/>
        <v>0</v>
      </c>
      <c r="CD44" s="42">
        <f t="shared" si="49"/>
        <v>93.75</v>
      </c>
      <c r="CE44" s="42">
        <f t="shared" si="49"/>
        <v>0</v>
      </c>
      <c r="CF44" s="42">
        <f t="shared" si="48"/>
        <v>93.75</v>
      </c>
      <c r="CG44" s="42">
        <f t="shared" si="48"/>
        <v>0</v>
      </c>
      <c r="CH44" s="42">
        <f t="shared" si="48"/>
        <v>93.75</v>
      </c>
      <c r="CI44" s="42">
        <f t="shared" si="48"/>
        <v>0</v>
      </c>
      <c r="CJ44" s="42">
        <f t="shared" si="48"/>
        <v>93.75</v>
      </c>
      <c r="CK44" s="42">
        <f t="shared" si="48"/>
        <v>0</v>
      </c>
      <c r="CL44" s="42">
        <f t="shared" si="48"/>
        <v>10093.75</v>
      </c>
      <c r="CM44" s="42">
        <f t="shared" si="48"/>
        <v>0</v>
      </c>
      <c r="CN44" s="42">
        <f t="shared" si="48"/>
        <v>0</v>
      </c>
      <c r="CO44" s="42">
        <f t="shared" si="48"/>
        <v>0</v>
      </c>
      <c r="CP44" s="42">
        <f t="shared" si="48"/>
        <v>0</v>
      </c>
      <c r="CQ44" s="42">
        <f t="shared" si="48"/>
        <v>0</v>
      </c>
      <c r="CR44" s="42">
        <f t="shared" si="48"/>
        <v>0</v>
      </c>
      <c r="CS44" s="42">
        <f t="shared" si="48"/>
        <v>0</v>
      </c>
      <c r="CT44" s="42">
        <f t="shared" si="48"/>
        <v>0</v>
      </c>
      <c r="CU44" s="42">
        <f t="shared" si="48"/>
        <v>0</v>
      </c>
      <c r="CV44" s="42">
        <f t="shared" si="48"/>
        <v>0</v>
      </c>
      <c r="CW44" s="42">
        <f t="shared" si="48"/>
        <v>0</v>
      </c>
      <c r="CX44" s="42">
        <f t="shared" si="48"/>
        <v>0</v>
      </c>
      <c r="CY44" s="42">
        <f t="shared" si="48"/>
        <v>0</v>
      </c>
      <c r="CZ44" s="42">
        <f t="shared" si="48"/>
        <v>0</v>
      </c>
      <c r="DA44" s="42">
        <f t="shared" si="48"/>
        <v>0</v>
      </c>
      <c r="DB44" s="42">
        <f t="shared" si="48"/>
        <v>0</v>
      </c>
      <c r="DC44" s="42">
        <f t="shared" si="48"/>
        <v>0</v>
      </c>
      <c r="DD44" s="42">
        <f t="shared" si="48"/>
        <v>0</v>
      </c>
      <c r="DE44" s="42">
        <f t="shared" si="48"/>
        <v>0</v>
      </c>
      <c r="DF44" s="42">
        <f t="shared" si="48"/>
        <v>0</v>
      </c>
      <c r="DG44" s="42">
        <f t="shared" si="48"/>
        <v>0</v>
      </c>
      <c r="DH44" s="42">
        <f t="shared" si="48"/>
        <v>0</v>
      </c>
      <c r="DI44" s="42">
        <f t="shared" si="48"/>
        <v>0</v>
      </c>
      <c r="DJ44" s="42">
        <f t="shared" si="48"/>
        <v>0</v>
      </c>
      <c r="DK44" s="42">
        <f t="shared" si="48"/>
        <v>0</v>
      </c>
      <c r="DL44" s="42">
        <f t="shared" si="48"/>
        <v>0</v>
      </c>
      <c r="DM44" s="42">
        <f t="shared" si="48"/>
        <v>0</v>
      </c>
      <c r="DN44" s="42">
        <f t="shared" si="48"/>
        <v>0</v>
      </c>
      <c r="DO44" s="42">
        <f t="shared" si="48"/>
        <v>0</v>
      </c>
      <c r="DP44" s="42">
        <f t="shared" si="48"/>
        <v>0</v>
      </c>
      <c r="DQ44" s="42">
        <f t="shared" si="48"/>
        <v>0</v>
      </c>
      <c r="DR44" s="42">
        <f t="shared" si="48"/>
        <v>0</v>
      </c>
      <c r="DS44" s="42">
        <f t="shared" si="48"/>
        <v>0</v>
      </c>
      <c r="DT44" s="42">
        <f t="shared" si="48"/>
        <v>0</v>
      </c>
      <c r="DU44" s="42">
        <f t="shared" si="48"/>
        <v>0</v>
      </c>
      <c r="DV44" s="42">
        <f t="shared" si="48"/>
        <v>0</v>
      </c>
      <c r="DW44" s="42">
        <f t="shared" si="48"/>
        <v>0</v>
      </c>
      <c r="DX44" s="42">
        <f t="shared" si="48"/>
        <v>0</v>
      </c>
      <c r="DY44" s="42">
        <f t="shared" si="48"/>
        <v>0</v>
      </c>
      <c r="DZ44" s="42">
        <f t="shared" si="48"/>
        <v>0</v>
      </c>
      <c r="EA44" s="42">
        <f t="shared" si="48"/>
        <v>0</v>
      </c>
      <c r="EB44" s="42">
        <f t="shared" si="48"/>
        <v>0</v>
      </c>
      <c r="EC44" s="42">
        <f t="shared" si="48"/>
        <v>0</v>
      </c>
      <c r="ED44" s="42">
        <f t="shared" si="48"/>
        <v>0</v>
      </c>
      <c r="EE44" s="42">
        <f t="shared" si="48"/>
        <v>0</v>
      </c>
      <c r="EF44" s="42">
        <f t="shared" si="48"/>
        <v>0</v>
      </c>
      <c r="EG44" s="42">
        <f t="shared" si="48"/>
        <v>0</v>
      </c>
      <c r="EH44" s="42">
        <f t="shared" si="48"/>
        <v>0</v>
      </c>
      <c r="EI44" s="42">
        <f t="shared" si="48"/>
        <v>0</v>
      </c>
      <c r="EJ44" s="42">
        <f t="shared" si="48"/>
        <v>0</v>
      </c>
      <c r="EK44" s="42">
        <f t="shared" si="48"/>
        <v>0</v>
      </c>
      <c r="EL44" s="42">
        <f t="shared" si="48"/>
        <v>0</v>
      </c>
      <c r="EM44" s="42">
        <f t="shared" si="48"/>
        <v>0</v>
      </c>
      <c r="EN44" s="42">
        <f t="shared" si="48"/>
        <v>0</v>
      </c>
      <c r="EO44" s="42">
        <f t="shared" si="48"/>
        <v>0</v>
      </c>
      <c r="EP44" s="42">
        <f t="shared" si="48"/>
        <v>0</v>
      </c>
      <c r="EQ44" s="42">
        <f t="shared" si="47"/>
        <v>0</v>
      </c>
      <c r="ER44" s="42">
        <f t="shared" si="47"/>
        <v>0</v>
      </c>
      <c r="ES44" s="42">
        <f t="shared" si="47"/>
        <v>0</v>
      </c>
      <c r="ET44" s="42">
        <f t="shared" si="47"/>
        <v>0</v>
      </c>
      <c r="EU44" s="42">
        <f t="shared" si="47"/>
        <v>0</v>
      </c>
      <c r="EV44" s="42">
        <f t="shared" si="47"/>
        <v>0</v>
      </c>
      <c r="EW44" s="42">
        <f t="shared" si="47"/>
        <v>0</v>
      </c>
      <c r="EX44" s="42">
        <f t="shared" si="47"/>
        <v>0</v>
      </c>
      <c r="EY44" s="42">
        <f t="shared" si="47"/>
        <v>0</v>
      </c>
      <c r="EZ44" s="42">
        <f t="shared" si="47"/>
        <v>0</v>
      </c>
      <c r="FA44" s="42">
        <f t="shared" si="47"/>
        <v>0</v>
      </c>
      <c r="FB44" s="42">
        <f t="shared" si="47"/>
        <v>0</v>
      </c>
      <c r="FC44" s="42">
        <f t="shared" si="47"/>
        <v>0</v>
      </c>
      <c r="FD44" s="42">
        <f t="shared" si="47"/>
        <v>0</v>
      </c>
      <c r="FE44" s="42">
        <f t="shared" si="47"/>
        <v>0</v>
      </c>
      <c r="FF44" s="42">
        <f t="shared" si="47"/>
        <v>0</v>
      </c>
      <c r="FG44" s="42">
        <f t="shared" si="47"/>
        <v>0</v>
      </c>
      <c r="FH44" s="42">
        <f t="shared" si="47"/>
        <v>0</v>
      </c>
      <c r="FI44" s="42">
        <f t="shared" si="47"/>
        <v>0</v>
      </c>
      <c r="FJ44" s="42">
        <f t="shared" si="47"/>
        <v>0</v>
      </c>
      <c r="FK44" s="42">
        <f t="shared" si="47"/>
        <v>0</v>
      </c>
      <c r="FL44" s="42">
        <f t="shared" si="47"/>
        <v>0</v>
      </c>
      <c r="FM44" s="42">
        <f t="shared" si="47"/>
        <v>0</v>
      </c>
      <c r="FN44" s="42">
        <f t="shared" si="47"/>
        <v>0</v>
      </c>
      <c r="FO44" s="42">
        <f t="shared" si="47"/>
        <v>0</v>
      </c>
      <c r="FP44" s="42">
        <f t="shared" si="47"/>
        <v>0</v>
      </c>
      <c r="FQ44" s="42">
        <f t="shared" si="47"/>
        <v>0</v>
      </c>
      <c r="FR44" s="42">
        <f t="shared" si="47"/>
        <v>0</v>
      </c>
      <c r="FS44" s="42">
        <f t="shared" si="47"/>
        <v>0</v>
      </c>
      <c r="FT44" s="42">
        <f t="shared" si="47"/>
        <v>0</v>
      </c>
      <c r="FU44" s="42">
        <f t="shared" si="47"/>
        <v>0</v>
      </c>
      <c r="FV44" s="42">
        <f t="shared" si="47"/>
        <v>0</v>
      </c>
      <c r="FW44" s="42">
        <f t="shared" si="47"/>
        <v>0</v>
      </c>
      <c r="FX44" s="42">
        <f t="shared" si="47"/>
        <v>0</v>
      </c>
      <c r="FY44" s="42">
        <f t="shared" si="47"/>
        <v>0</v>
      </c>
      <c r="FZ44" s="42">
        <f t="shared" si="47"/>
        <v>0</v>
      </c>
      <c r="GA44" s="42">
        <f t="shared" si="47"/>
        <v>0</v>
      </c>
      <c r="GB44" s="42">
        <f t="shared" si="47"/>
        <v>0</v>
      </c>
      <c r="GC44" s="42">
        <f t="shared" si="47"/>
        <v>0</v>
      </c>
      <c r="GD44" s="42">
        <f t="shared" si="47"/>
        <v>0</v>
      </c>
      <c r="GE44" s="42">
        <f t="shared" si="47"/>
        <v>0</v>
      </c>
      <c r="GF44" s="42">
        <f t="shared" si="47"/>
        <v>0</v>
      </c>
      <c r="GG44" s="42">
        <f t="shared" si="47"/>
        <v>0</v>
      </c>
      <c r="GH44" s="42">
        <f t="shared" si="47"/>
        <v>0</v>
      </c>
    </row>
    <row r="45" spans="2:190" ht="14.5" thickBot="1">
      <c r="B45" s="43" t="s">
        <v>250</v>
      </c>
      <c r="C45" s="31">
        <v>44814</v>
      </c>
      <c r="D45" s="31">
        <v>52119</v>
      </c>
      <c r="E45" s="32">
        <v>3.25</v>
      </c>
      <c r="F45" s="33" t="s">
        <v>38</v>
      </c>
      <c r="G45" s="34">
        <v>227.47</v>
      </c>
      <c r="H45" s="34">
        <v>6923</v>
      </c>
      <c r="I45" s="32">
        <v>3.98</v>
      </c>
      <c r="J45" s="35">
        <v>9049.7800000000007</v>
      </c>
      <c r="K45" s="44" cm="1">
        <f t="array" ref="K45">_xlfn.LET(
    _xlpm.settle,$B$3,
    _xlpm.mat,$D45,
    _xlpm.coupon,10000*$E45/200,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14.285714285714286</v>
      </c>
      <c r="L45" s="37">
        <f t="shared" si="39"/>
        <v>9064.0657142857144</v>
      </c>
      <c r="M45" s="120">
        <v>0.47452018291159803</v>
      </c>
      <c r="N45" s="45">
        <f t="shared" si="40"/>
        <v>3.9302276650844827E-2</v>
      </c>
      <c r="O45" s="99">
        <f t="shared" si="41"/>
        <v>9064.066389412983</v>
      </c>
      <c r="P45" s="39">
        <f t="shared" si="42"/>
        <v>6.7512726855056826E-4</v>
      </c>
      <c r="R45" s="41">
        <f t="shared" si="44"/>
        <v>227</v>
      </c>
      <c r="S45" s="42">
        <f t="shared" si="25"/>
        <v>0</v>
      </c>
      <c r="T45" s="42">
        <f t="shared" si="49"/>
        <v>162.5</v>
      </c>
      <c r="U45" s="42">
        <f t="shared" si="49"/>
        <v>0</v>
      </c>
      <c r="V45" s="42">
        <f t="shared" si="49"/>
        <v>162.5</v>
      </c>
      <c r="W45" s="42">
        <f t="shared" si="49"/>
        <v>0</v>
      </c>
      <c r="X45" s="42">
        <f t="shared" si="49"/>
        <v>162.5</v>
      </c>
      <c r="Y45" s="42">
        <f t="shared" si="49"/>
        <v>0</v>
      </c>
      <c r="Z45" s="42">
        <f t="shared" si="49"/>
        <v>162.5</v>
      </c>
      <c r="AA45" s="42">
        <f t="shared" si="49"/>
        <v>0</v>
      </c>
      <c r="AB45" s="42">
        <f t="shared" si="49"/>
        <v>162.5</v>
      </c>
      <c r="AC45" s="42">
        <f t="shared" si="49"/>
        <v>0</v>
      </c>
      <c r="AD45" s="42">
        <f t="shared" si="49"/>
        <v>162.5</v>
      </c>
      <c r="AE45" s="42">
        <f t="shared" si="49"/>
        <v>0</v>
      </c>
      <c r="AF45" s="42">
        <f t="shared" si="49"/>
        <v>162.5</v>
      </c>
      <c r="AG45" s="42">
        <f t="shared" si="49"/>
        <v>0</v>
      </c>
      <c r="AH45" s="42">
        <f t="shared" si="49"/>
        <v>162.5</v>
      </c>
      <c r="AI45" s="42">
        <f t="shared" si="49"/>
        <v>0</v>
      </c>
      <c r="AJ45" s="42">
        <f t="shared" si="49"/>
        <v>162.5</v>
      </c>
      <c r="AK45" s="42">
        <f t="shared" si="49"/>
        <v>0</v>
      </c>
      <c r="AL45" s="42">
        <f t="shared" si="49"/>
        <v>162.5</v>
      </c>
      <c r="AM45" s="42">
        <f t="shared" si="49"/>
        <v>0</v>
      </c>
      <c r="AN45" s="42">
        <f t="shared" si="49"/>
        <v>162.5</v>
      </c>
      <c r="AO45" s="42">
        <f t="shared" si="49"/>
        <v>0</v>
      </c>
      <c r="AP45" s="42">
        <f t="shared" si="49"/>
        <v>162.5</v>
      </c>
      <c r="AQ45" s="42">
        <f t="shared" si="49"/>
        <v>0</v>
      </c>
      <c r="AR45" s="42">
        <f t="shared" si="49"/>
        <v>162.5</v>
      </c>
      <c r="AS45" s="42">
        <f t="shared" si="49"/>
        <v>0</v>
      </c>
      <c r="AT45" s="42">
        <f t="shared" si="49"/>
        <v>162.5</v>
      </c>
      <c r="AU45" s="42">
        <f t="shared" si="49"/>
        <v>0</v>
      </c>
      <c r="AV45" s="42">
        <f t="shared" si="49"/>
        <v>162.5</v>
      </c>
      <c r="AW45" s="42">
        <f t="shared" si="49"/>
        <v>0</v>
      </c>
      <c r="AX45" s="42">
        <f t="shared" si="49"/>
        <v>162.5</v>
      </c>
      <c r="AY45" s="42">
        <f t="shared" si="49"/>
        <v>0</v>
      </c>
      <c r="AZ45" s="42">
        <f t="shared" si="49"/>
        <v>162.5</v>
      </c>
      <c r="BA45" s="42">
        <f t="shared" si="49"/>
        <v>0</v>
      </c>
      <c r="BB45" s="42">
        <f t="shared" si="49"/>
        <v>162.5</v>
      </c>
      <c r="BC45" s="42">
        <f t="shared" si="49"/>
        <v>0</v>
      </c>
      <c r="BD45" s="42">
        <f t="shared" si="49"/>
        <v>162.5</v>
      </c>
      <c r="BE45" s="42">
        <f t="shared" si="49"/>
        <v>0</v>
      </c>
      <c r="BF45" s="42">
        <f t="shared" si="49"/>
        <v>162.5</v>
      </c>
      <c r="BG45" s="42">
        <f t="shared" si="49"/>
        <v>0</v>
      </c>
      <c r="BH45" s="42">
        <f t="shared" si="49"/>
        <v>162.5</v>
      </c>
      <c r="BI45" s="42">
        <f t="shared" si="49"/>
        <v>0</v>
      </c>
      <c r="BJ45" s="42">
        <f t="shared" si="49"/>
        <v>162.5</v>
      </c>
      <c r="BK45" s="42">
        <f t="shared" si="49"/>
        <v>0</v>
      </c>
      <c r="BL45" s="42">
        <f t="shared" si="49"/>
        <v>162.5</v>
      </c>
      <c r="BM45" s="42">
        <f t="shared" si="49"/>
        <v>0</v>
      </c>
      <c r="BN45" s="42">
        <f t="shared" si="49"/>
        <v>162.5</v>
      </c>
      <c r="BO45" s="42">
        <f t="shared" si="49"/>
        <v>0</v>
      </c>
      <c r="BP45" s="42">
        <f t="shared" si="49"/>
        <v>162.5</v>
      </c>
      <c r="BQ45" s="42">
        <f t="shared" si="49"/>
        <v>0</v>
      </c>
      <c r="BR45" s="42">
        <f t="shared" si="49"/>
        <v>162.5</v>
      </c>
      <c r="BS45" s="42">
        <f t="shared" si="49"/>
        <v>0</v>
      </c>
      <c r="BT45" s="42">
        <f t="shared" si="49"/>
        <v>162.5</v>
      </c>
      <c r="BU45" s="42">
        <f t="shared" si="49"/>
        <v>0</v>
      </c>
      <c r="BV45" s="42">
        <f t="shared" si="49"/>
        <v>162.5</v>
      </c>
      <c r="BW45" s="42">
        <f t="shared" si="49"/>
        <v>0</v>
      </c>
      <c r="BX45" s="42">
        <f t="shared" si="49"/>
        <v>162.5</v>
      </c>
      <c r="BY45" s="42">
        <f t="shared" si="49"/>
        <v>0</v>
      </c>
      <c r="BZ45" s="42">
        <f t="shared" si="49"/>
        <v>162.5</v>
      </c>
      <c r="CA45" s="42">
        <f t="shared" si="49"/>
        <v>0</v>
      </c>
      <c r="CB45" s="42">
        <f t="shared" si="49"/>
        <v>162.5</v>
      </c>
      <c r="CC45" s="42">
        <f t="shared" si="49"/>
        <v>0</v>
      </c>
      <c r="CD45" s="42">
        <f t="shared" si="49"/>
        <v>162.5</v>
      </c>
      <c r="CE45" s="42">
        <f t="shared" si="49"/>
        <v>0</v>
      </c>
      <c r="CF45" s="42">
        <f t="shared" si="48"/>
        <v>162.5</v>
      </c>
      <c r="CG45" s="42">
        <f t="shared" si="48"/>
        <v>0</v>
      </c>
      <c r="CH45" s="42">
        <f t="shared" si="48"/>
        <v>162.5</v>
      </c>
      <c r="CI45" s="42">
        <f t="shared" si="48"/>
        <v>0</v>
      </c>
      <c r="CJ45" s="42">
        <f t="shared" si="48"/>
        <v>162.5</v>
      </c>
      <c r="CK45" s="42">
        <f t="shared" si="48"/>
        <v>0</v>
      </c>
      <c r="CL45" s="42">
        <f t="shared" si="48"/>
        <v>162.5</v>
      </c>
      <c r="CM45" s="42">
        <f t="shared" si="48"/>
        <v>0</v>
      </c>
      <c r="CN45" s="42">
        <f t="shared" si="48"/>
        <v>162.5</v>
      </c>
      <c r="CO45" s="42">
        <f t="shared" si="48"/>
        <v>0</v>
      </c>
      <c r="CP45" s="42">
        <f t="shared" si="48"/>
        <v>10162.5</v>
      </c>
      <c r="CQ45" s="42">
        <f t="shared" si="48"/>
        <v>0</v>
      </c>
      <c r="CR45" s="42">
        <f t="shared" si="48"/>
        <v>0</v>
      </c>
      <c r="CS45" s="42">
        <f t="shared" si="48"/>
        <v>0</v>
      </c>
      <c r="CT45" s="42">
        <f t="shared" si="48"/>
        <v>0</v>
      </c>
      <c r="CU45" s="42">
        <f t="shared" si="48"/>
        <v>0</v>
      </c>
      <c r="CV45" s="42">
        <f t="shared" si="48"/>
        <v>0</v>
      </c>
      <c r="CW45" s="42">
        <f t="shared" si="48"/>
        <v>0</v>
      </c>
      <c r="CX45" s="42">
        <f t="shared" si="48"/>
        <v>0</v>
      </c>
      <c r="CY45" s="42">
        <f t="shared" si="48"/>
        <v>0</v>
      </c>
      <c r="CZ45" s="42">
        <f t="shared" si="48"/>
        <v>0</v>
      </c>
      <c r="DA45" s="42">
        <f t="shared" si="48"/>
        <v>0</v>
      </c>
      <c r="DB45" s="42">
        <f t="shared" si="48"/>
        <v>0</v>
      </c>
      <c r="DC45" s="42">
        <f t="shared" si="48"/>
        <v>0</v>
      </c>
      <c r="DD45" s="42">
        <f t="shared" si="48"/>
        <v>0</v>
      </c>
      <c r="DE45" s="42">
        <f t="shared" si="48"/>
        <v>0</v>
      </c>
      <c r="DF45" s="42">
        <f t="shared" si="48"/>
        <v>0</v>
      </c>
      <c r="DG45" s="42">
        <f t="shared" si="48"/>
        <v>0</v>
      </c>
      <c r="DH45" s="42">
        <f t="shared" si="48"/>
        <v>0</v>
      </c>
      <c r="DI45" s="42">
        <f t="shared" si="48"/>
        <v>0</v>
      </c>
      <c r="DJ45" s="42">
        <f t="shared" si="48"/>
        <v>0</v>
      </c>
      <c r="DK45" s="42">
        <f t="shared" si="48"/>
        <v>0</v>
      </c>
      <c r="DL45" s="42">
        <f t="shared" si="48"/>
        <v>0</v>
      </c>
      <c r="DM45" s="42">
        <f t="shared" si="48"/>
        <v>0</v>
      </c>
      <c r="DN45" s="42">
        <f t="shared" si="48"/>
        <v>0</v>
      </c>
      <c r="DO45" s="42">
        <f t="shared" si="48"/>
        <v>0</v>
      </c>
      <c r="DP45" s="42">
        <f t="shared" si="48"/>
        <v>0</v>
      </c>
      <c r="DQ45" s="42">
        <f t="shared" si="48"/>
        <v>0</v>
      </c>
      <c r="DR45" s="42">
        <f t="shared" si="48"/>
        <v>0</v>
      </c>
      <c r="DS45" s="42">
        <f t="shared" si="48"/>
        <v>0</v>
      </c>
      <c r="DT45" s="42">
        <f t="shared" si="48"/>
        <v>0</v>
      </c>
      <c r="DU45" s="42">
        <f t="shared" si="48"/>
        <v>0</v>
      </c>
      <c r="DV45" s="42">
        <f t="shared" si="48"/>
        <v>0</v>
      </c>
      <c r="DW45" s="42">
        <f t="shared" si="48"/>
        <v>0</v>
      </c>
      <c r="DX45" s="42">
        <f t="shared" si="48"/>
        <v>0</v>
      </c>
      <c r="DY45" s="42">
        <f t="shared" si="48"/>
        <v>0</v>
      </c>
      <c r="DZ45" s="42">
        <f t="shared" si="48"/>
        <v>0</v>
      </c>
      <c r="EA45" s="42">
        <f t="shared" si="48"/>
        <v>0</v>
      </c>
      <c r="EB45" s="42">
        <f t="shared" si="48"/>
        <v>0</v>
      </c>
      <c r="EC45" s="42">
        <f t="shared" si="48"/>
        <v>0</v>
      </c>
      <c r="ED45" s="42">
        <f t="shared" si="48"/>
        <v>0</v>
      </c>
      <c r="EE45" s="42">
        <f t="shared" si="48"/>
        <v>0</v>
      </c>
      <c r="EF45" s="42">
        <f t="shared" si="48"/>
        <v>0</v>
      </c>
      <c r="EG45" s="42">
        <f t="shared" si="48"/>
        <v>0</v>
      </c>
      <c r="EH45" s="42">
        <f t="shared" si="48"/>
        <v>0</v>
      </c>
      <c r="EI45" s="42">
        <f t="shared" si="48"/>
        <v>0</v>
      </c>
      <c r="EJ45" s="42">
        <f t="shared" si="48"/>
        <v>0</v>
      </c>
      <c r="EK45" s="42">
        <f t="shared" si="48"/>
        <v>0</v>
      </c>
      <c r="EL45" s="42">
        <f t="shared" si="48"/>
        <v>0</v>
      </c>
      <c r="EM45" s="42">
        <f t="shared" si="48"/>
        <v>0</v>
      </c>
      <c r="EN45" s="42">
        <f t="shared" si="48"/>
        <v>0</v>
      </c>
      <c r="EO45" s="42">
        <f t="shared" si="48"/>
        <v>0</v>
      </c>
      <c r="EP45" s="42">
        <f t="shared" si="48"/>
        <v>0</v>
      </c>
      <c r="EQ45" s="42">
        <f t="shared" si="47"/>
        <v>0</v>
      </c>
      <c r="ER45" s="42">
        <f t="shared" si="47"/>
        <v>0</v>
      </c>
      <c r="ES45" s="42">
        <f t="shared" si="47"/>
        <v>0</v>
      </c>
      <c r="ET45" s="42">
        <f t="shared" si="47"/>
        <v>0</v>
      </c>
      <c r="EU45" s="42">
        <f t="shared" si="47"/>
        <v>0</v>
      </c>
      <c r="EV45" s="42">
        <f t="shared" si="47"/>
        <v>0</v>
      </c>
      <c r="EW45" s="42">
        <f t="shared" si="47"/>
        <v>0</v>
      </c>
      <c r="EX45" s="42">
        <f t="shared" si="47"/>
        <v>0</v>
      </c>
      <c r="EY45" s="42">
        <f t="shared" si="47"/>
        <v>0</v>
      </c>
      <c r="EZ45" s="42">
        <f t="shared" si="47"/>
        <v>0</v>
      </c>
      <c r="FA45" s="42">
        <f t="shared" si="47"/>
        <v>0</v>
      </c>
      <c r="FB45" s="42">
        <f t="shared" si="47"/>
        <v>0</v>
      </c>
      <c r="FC45" s="42">
        <f t="shared" si="47"/>
        <v>0</v>
      </c>
      <c r="FD45" s="42">
        <f t="shared" si="47"/>
        <v>0</v>
      </c>
      <c r="FE45" s="42">
        <f t="shared" si="47"/>
        <v>0</v>
      </c>
      <c r="FF45" s="42">
        <f t="shared" si="47"/>
        <v>0</v>
      </c>
      <c r="FG45" s="42">
        <f t="shared" si="47"/>
        <v>0</v>
      </c>
      <c r="FH45" s="42">
        <f t="shared" si="47"/>
        <v>0</v>
      </c>
      <c r="FI45" s="42">
        <f t="shared" si="47"/>
        <v>0</v>
      </c>
      <c r="FJ45" s="42">
        <f t="shared" si="47"/>
        <v>0</v>
      </c>
      <c r="FK45" s="42">
        <f t="shared" si="47"/>
        <v>0</v>
      </c>
      <c r="FL45" s="42">
        <f t="shared" si="47"/>
        <v>0</v>
      </c>
      <c r="FM45" s="42">
        <f t="shared" si="47"/>
        <v>0</v>
      </c>
      <c r="FN45" s="42">
        <f t="shared" si="47"/>
        <v>0</v>
      </c>
      <c r="FO45" s="42">
        <f t="shared" si="47"/>
        <v>0</v>
      </c>
      <c r="FP45" s="42">
        <f t="shared" si="47"/>
        <v>0</v>
      </c>
      <c r="FQ45" s="42">
        <f t="shared" si="47"/>
        <v>0</v>
      </c>
      <c r="FR45" s="42">
        <f t="shared" si="47"/>
        <v>0</v>
      </c>
      <c r="FS45" s="42">
        <f t="shared" si="47"/>
        <v>0</v>
      </c>
      <c r="FT45" s="42">
        <f t="shared" si="47"/>
        <v>0</v>
      </c>
      <c r="FU45" s="42">
        <f t="shared" si="47"/>
        <v>0</v>
      </c>
      <c r="FV45" s="42">
        <f t="shared" si="47"/>
        <v>0</v>
      </c>
      <c r="FW45" s="42">
        <f t="shared" si="47"/>
        <v>0</v>
      </c>
      <c r="FX45" s="42">
        <f t="shared" si="47"/>
        <v>0</v>
      </c>
      <c r="FY45" s="42">
        <f t="shared" si="47"/>
        <v>0</v>
      </c>
      <c r="FZ45" s="42">
        <f t="shared" si="47"/>
        <v>0</v>
      </c>
      <c r="GA45" s="42">
        <f t="shared" si="47"/>
        <v>0</v>
      </c>
      <c r="GB45" s="42">
        <f t="shared" si="47"/>
        <v>0</v>
      </c>
      <c r="GC45" s="42">
        <f t="shared" si="47"/>
        <v>0</v>
      </c>
      <c r="GD45" s="42">
        <f t="shared" si="47"/>
        <v>0</v>
      </c>
      <c r="GE45" s="42">
        <f t="shared" si="47"/>
        <v>0</v>
      </c>
      <c r="GF45" s="42">
        <f t="shared" si="47"/>
        <v>0</v>
      </c>
      <c r="GG45" s="42">
        <f t="shared" si="47"/>
        <v>0</v>
      </c>
      <c r="GH45" s="42">
        <f t="shared" si="47"/>
        <v>0</v>
      </c>
    </row>
    <row r="46" spans="2:190" ht="14.5" thickBot="1">
      <c r="B46" s="43" t="s">
        <v>251</v>
      </c>
      <c r="C46" s="31">
        <v>41253</v>
      </c>
      <c r="D46" s="31">
        <v>52210</v>
      </c>
      <c r="E46" s="32">
        <v>3</v>
      </c>
      <c r="F46" s="33" t="s">
        <v>39</v>
      </c>
      <c r="G46" s="34">
        <v>230.47</v>
      </c>
      <c r="H46" s="34">
        <v>7015</v>
      </c>
      <c r="I46" s="32">
        <v>4.03</v>
      </c>
      <c r="J46" s="35">
        <v>8720.06</v>
      </c>
      <c r="K46" s="44" cm="1">
        <f t="array" ref="K46">_xlfn.LET(
    _xlpm.settle,$B$3,
    _xlpm.mat,$D46,
    _xlpm.coupon,10000*$E46/200,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88.52459016393442</v>
      </c>
      <c r="L46" s="37">
        <f t="shared" si="39"/>
        <v>8808.5845901639332</v>
      </c>
      <c r="M46" s="120">
        <v>0.47053793441591574</v>
      </c>
      <c r="N46" s="45">
        <f t="shared" si="40"/>
        <v>3.9225334935325248E-2</v>
      </c>
      <c r="O46" s="99">
        <f t="shared" si="41"/>
        <v>8808.5833666179333</v>
      </c>
      <c r="P46" s="39">
        <f t="shared" si="42"/>
        <v>-1.2235459998919396E-3</v>
      </c>
      <c r="R46" s="41">
        <f t="shared" si="44"/>
        <v>230</v>
      </c>
      <c r="S46" s="42">
        <f t="shared" si="25"/>
        <v>150</v>
      </c>
      <c r="T46" s="42">
        <f t="shared" si="49"/>
        <v>0</v>
      </c>
      <c r="U46" s="42">
        <f t="shared" si="49"/>
        <v>150</v>
      </c>
      <c r="V46" s="42">
        <f t="shared" si="49"/>
        <v>0</v>
      </c>
      <c r="W46" s="42">
        <f t="shared" si="49"/>
        <v>150</v>
      </c>
      <c r="X46" s="42">
        <f t="shared" si="49"/>
        <v>0</v>
      </c>
      <c r="Y46" s="42">
        <f t="shared" si="49"/>
        <v>150</v>
      </c>
      <c r="Z46" s="42">
        <f t="shared" si="49"/>
        <v>0</v>
      </c>
      <c r="AA46" s="42">
        <f t="shared" si="49"/>
        <v>150</v>
      </c>
      <c r="AB46" s="42">
        <f t="shared" si="49"/>
        <v>0</v>
      </c>
      <c r="AC46" s="42">
        <f t="shared" si="49"/>
        <v>150</v>
      </c>
      <c r="AD46" s="42">
        <f t="shared" si="49"/>
        <v>0</v>
      </c>
      <c r="AE46" s="42">
        <f t="shared" si="49"/>
        <v>150</v>
      </c>
      <c r="AF46" s="42">
        <f t="shared" si="49"/>
        <v>0</v>
      </c>
      <c r="AG46" s="42">
        <f t="shared" si="49"/>
        <v>150</v>
      </c>
      <c r="AH46" s="42">
        <f t="shared" si="49"/>
        <v>0</v>
      </c>
      <c r="AI46" s="42">
        <f t="shared" si="49"/>
        <v>150</v>
      </c>
      <c r="AJ46" s="42">
        <f t="shared" si="49"/>
        <v>0</v>
      </c>
      <c r="AK46" s="42">
        <f t="shared" si="49"/>
        <v>150</v>
      </c>
      <c r="AL46" s="42">
        <f t="shared" si="49"/>
        <v>0</v>
      </c>
      <c r="AM46" s="42">
        <f t="shared" si="49"/>
        <v>150</v>
      </c>
      <c r="AN46" s="42">
        <f t="shared" si="49"/>
        <v>0</v>
      </c>
      <c r="AO46" s="42">
        <f t="shared" si="49"/>
        <v>150</v>
      </c>
      <c r="AP46" s="42">
        <f t="shared" si="49"/>
        <v>0</v>
      </c>
      <c r="AQ46" s="42">
        <f t="shared" si="49"/>
        <v>150</v>
      </c>
      <c r="AR46" s="42">
        <f t="shared" si="49"/>
        <v>0</v>
      </c>
      <c r="AS46" s="42">
        <f t="shared" si="49"/>
        <v>150</v>
      </c>
      <c r="AT46" s="42">
        <f t="shared" si="49"/>
        <v>0</v>
      </c>
      <c r="AU46" s="42">
        <f t="shared" si="49"/>
        <v>150</v>
      </c>
      <c r="AV46" s="42">
        <f t="shared" si="49"/>
        <v>0</v>
      </c>
      <c r="AW46" s="42">
        <f t="shared" si="49"/>
        <v>150</v>
      </c>
      <c r="AX46" s="42">
        <f t="shared" si="49"/>
        <v>0</v>
      </c>
      <c r="AY46" s="42">
        <f t="shared" si="49"/>
        <v>150</v>
      </c>
      <c r="AZ46" s="42">
        <f t="shared" si="49"/>
        <v>0</v>
      </c>
      <c r="BA46" s="42">
        <f t="shared" si="49"/>
        <v>150</v>
      </c>
      <c r="BB46" s="42">
        <f t="shared" si="49"/>
        <v>0</v>
      </c>
      <c r="BC46" s="42">
        <f t="shared" si="49"/>
        <v>150</v>
      </c>
      <c r="BD46" s="42">
        <f t="shared" si="49"/>
        <v>0</v>
      </c>
      <c r="BE46" s="42">
        <f t="shared" si="49"/>
        <v>150</v>
      </c>
      <c r="BF46" s="42">
        <f t="shared" si="49"/>
        <v>0</v>
      </c>
      <c r="BG46" s="42">
        <f t="shared" si="49"/>
        <v>150</v>
      </c>
      <c r="BH46" s="42">
        <f t="shared" si="49"/>
        <v>0</v>
      </c>
      <c r="BI46" s="42">
        <f t="shared" si="49"/>
        <v>150</v>
      </c>
      <c r="BJ46" s="42">
        <f t="shared" si="49"/>
        <v>0</v>
      </c>
      <c r="BK46" s="42">
        <f t="shared" si="49"/>
        <v>150</v>
      </c>
      <c r="BL46" s="42">
        <f t="shared" si="49"/>
        <v>0</v>
      </c>
      <c r="BM46" s="42">
        <f t="shared" si="49"/>
        <v>150</v>
      </c>
      <c r="BN46" s="42">
        <f t="shared" si="49"/>
        <v>0</v>
      </c>
      <c r="BO46" s="42">
        <f t="shared" si="49"/>
        <v>150</v>
      </c>
      <c r="BP46" s="42">
        <f t="shared" si="49"/>
        <v>0</v>
      </c>
      <c r="BQ46" s="42">
        <f t="shared" si="49"/>
        <v>150</v>
      </c>
      <c r="BR46" s="42">
        <f t="shared" si="49"/>
        <v>0</v>
      </c>
      <c r="BS46" s="42">
        <f t="shared" si="49"/>
        <v>150</v>
      </c>
      <c r="BT46" s="42">
        <f t="shared" si="49"/>
        <v>0</v>
      </c>
      <c r="BU46" s="42">
        <f t="shared" si="49"/>
        <v>150</v>
      </c>
      <c r="BV46" s="42">
        <f t="shared" si="49"/>
        <v>0</v>
      </c>
      <c r="BW46" s="42">
        <f t="shared" si="49"/>
        <v>150</v>
      </c>
      <c r="BX46" s="42">
        <f t="shared" si="49"/>
        <v>0</v>
      </c>
      <c r="BY46" s="42">
        <f t="shared" si="49"/>
        <v>150</v>
      </c>
      <c r="BZ46" s="42">
        <f t="shared" si="49"/>
        <v>0</v>
      </c>
      <c r="CA46" s="42">
        <f t="shared" si="49"/>
        <v>150</v>
      </c>
      <c r="CB46" s="42">
        <f t="shared" si="49"/>
        <v>0</v>
      </c>
      <c r="CC46" s="42">
        <f t="shared" si="49"/>
        <v>150</v>
      </c>
      <c r="CD46" s="42">
        <f t="shared" si="49"/>
        <v>0</v>
      </c>
      <c r="CE46" s="42">
        <f t="shared" si="49"/>
        <v>150</v>
      </c>
      <c r="CF46" s="42">
        <f t="shared" si="48"/>
        <v>0</v>
      </c>
      <c r="CG46" s="42">
        <f t="shared" si="48"/>
        <v>150</v>
      </c>
      <c r="CH46" s="42">
        <f t="shared" si="48"/>
        <v>0</v>
      </c>
      <c r="CI46" s="42">
        <f t="shared" si="48"/>
        <v>150</v>
      </c>
      <c r="CJ46" s="42">
        <f t="shared" si="48"/>
        <v>0</v>
      </c>
      <c r="CK46" s="42">
        <f t="shared" si="48"/>
        <v>150</v>
      </c>
      <c r="CL46" s="42">
        <f t="shared" si="48"/>
        <v>0</v>
      </c>
      <c r="CM46" s="42">
        <f t="shared" si="48"/>
        <v>150</v>
      </c>
      <c r="CN46" s="42">
        <f t="shared" si="48"/>
        <v>0</v>
      </c>
      <c r="CO46" s="42">
        <f t="shared" si="48"/>
        <v>150</v>
      </c>
      <c r="CP46" s="42">
        <f t="shared" si="48"/>
        <v>0</v>
      </c>
      <c r="CQ46" s="42">
        <f t="shared" si="48"/>
        <v>10150</v>
      </c>
      <c r="CR46" s="42">
        <f t="shared" si="48"/>
        <v>0</v>
      </c>
      <c r="CS46" s="42">
        <f t="shared" si="48"/>
        <v>0</v>
      </c>
      <c r="CT46" s="42">
        <f t="shared" si="48"/>
        <v>0</v>
      </c>
      <c r="CU46" s="42">
        <f t="shared" si="48"/>
        <v>0</v>
      </c>
      <c r="CV46" s="42">
        <f t="shared" si="48"/>
        <v>0</v>
      </c>
      <c r="CW46" s="42">
        <f t="shared" si="48"/>
        <v>0</v>
      </c>
      <c r="CX46" s="42">
        <f t="shared" si="48"/>
        <v>0</v>
      </c>
      <c r="CY46" s="42">
        <f t="shared" si="48"/>
        <v>0</v>
      </c>
      <c r="CZ46" s="42">
        <f t="shared" si="48"/>
        <v>0</v>
      </c>
      <c r="DA46" s="42">
        <f t="shared" si="48"/>
        <v>0</v>
      </c>
      <c r="DB46" s="42">
        <f t="shared" si="48"/>
        <v>0</v>
      </c>
      <c r="DC46" s="42">
        <f t="shared" si="48"/>
        <v>0</v>
      </c>
      <c r="DD46" s="42">
        <f t="shared" si="48"/>
        <v>0</v>
      </c>
      <c r="DE46" s="42">
        <f t="shared" si="48"/>
        <v>0</v>
      </c>
      <c r="DF46" s="42">
        <f t="shared" si="48"/>
        <v>0</v>
      </c>
      <c r="DG46" s="42">
        <f t="shared" si="48"/>
        <v>0</v>
      </c>
      <c r="DH46" s="42">
        <f t="shared" si="48"/>
        <v>0</v>
      </c>
      <c r="DI46" s="42">
        <f t="shared" si="48"/>
        <v>0</v>
      </c>
      <c r="DJ46" s="42">
        <f t="shared" si="48"/>
        <v>0</v>
      </c>
      <c r="DK46" s="42">
        <f t="shared" si="48"/>
        <v>0</v>
      </c>
      <c r="DL46" s="42">
        <f t="shared" si="48"/>
        <v>0</v>
      </c>
      <c r="DM46" s="42">
        <f t="shared" si="48"/>
        <v>0</v>
      </c>
      <c r="DN46" s="42">
        <f t="shared" si="48"/>
        <v>0</v>
      </c>
      <c r="DO46" s="42">
        <f t="shared" si="48"/>
        <v>0</v>
      </c>
      <c r="DP46" s="42">
        <f t="shared" si="48"/>
        <v>0</v>
      </c>
      <c r="DQ46" s="42">
        <f t="shared" si="48"/>
        <v>0</v>
      </c>
      <c r="DR46" s="42">
        <f t="shared" si="48"/>
        <v>0</v>
      </c>
      <c r="DS46" s="42">
        <f t="shared" si="48"/>
        <v>0</v>
      </c>
      <c r="DT46" s="42">
        <f t="shared" si="48"/>
        <v>0</v>
      </c>
      <c r="DU46" s="42">
        <f t="shared" si="48"/>
        <v>0</v>
      </c>
      <c r="DV46" s="42">
        <f t="shared" si="48"/>
        <v>0</v>
      </c>
      <c r="DW46" s="42">
        <f t="shared" si="48"/>
        <v>0</v>
      </c>
      <c r="DX46" s="42">
        <f t="shared" si="48"/>
        <v>0</v>
      </c>
      <c r="DY46" s="42">
        <f t="shared" si="48"/>
        <v>0</v>
      </c>
      <c r="DZ46" s="42">
        <f t="shared" si="48"/>
        <v>0</v>
      </c>
      <c r="EA46" s="42">
        <f t="shared" si="48"/>
        <v>0</v>
      </c>
      <c r="EB46" s="42">
        <f t="shared" si="48"/>
        <v>0</v>
      </c>
      <c r="EC46" s="42">
        <f t="shared" si="48"/>
        <v>0</v>
      </c>
      <c r="ED46" s="42">
        <f t="shared" si="48"/>
        <v>0</v>
      </c>
      <c r="EE46" s="42">
        <f t="shared" si="48"/>
        <v>0</v>
      </c>
      <c r="EF46" s="42">
        <f t="shared" si="48"/>
        <v>0</v>
      </c>
      <c r="EG46" s="42">
        <f t="shared" si="48"/>
        <v>0</v>
      </c>
      <c r="EH46" s="42">
        <f t="shared" si="48"/>
        <v>0</v>
      </c>
      <c r="EI46" s="42">
        <f t="shared" si="48"/>
        <v>0</v>
      </c>
      <c r="EJ46" s="42">
        <f t="shared" si="48"/>
        <v>0</v>
      </c>
      <c r="EK46" s="42">
        <f t="shared" si="48"/>
        <v>0</v>
      </c>
      <c r="EL46" s="42">
        <f t="shared" si="48"/>
        <v>0</v>
      </c>
      <c r="EM46" s="42">
        <f t="shared" si="48"/>
        <v>0</v>
      </c>
      <c r="EN46" s="42">
        <f t="shared" si="48"/>
        <v>0</v>
      </c>
      <c r="EO46" s="42">
        <f t="shared" si="48"/>
        <v>0</v>
      </c>
      <c r="EP46" s="42">
        <f t="shared" si="48"/>
        <v>0</v>
      </c>
      <c r="EQ46" s="42">
        <f t="shared" si="47"/>
        <v>0</v>
      </c>
      <c r="ER46" s="42">
        <f t="shared" si="47"/>
        <v>0</v>
      </c>
      <c r="ES46" s="42">
        <f t="shared" si="47"/>
        <v>0</v>
      </c>
      <c r="ET46" s="42">
        <f t="shared" si="47"/>
        <v>0</v>
      </c>
      <c r="EU46" s="42">
        <f t="shared" si="47"/>
        <v>0</v>
      </c>
      <c r="EV46" s="42">
        <f t="shared" si="47"/>
        <v>0</v>
      </c>
      <c r="EW46" s="42">
        <f t="shared" si="47"/>
        <v>0</v>
      </c>
      <c r="EX46" s="42">
        <f t="shared" si="47"/>
        <v>0</v>
      </c>
      <c r="EY46" s="42">
        <f t="shared" si="47"/>
        <v>0</v>
      </c>
      <c r="EZ46" s="42">
        <f t="shared" si="47"/>
        <v>0</v>
      </c>
      <c r="FA46" s="42">
        <f t="shared" si="47"/>
        <v>0</v>
      </c>
      <c r="FB46" s="42">
        <f t="shared" si="47"/>
        <v>0</v>
      </c>
      <c r="FC46" s="42">
        <f t="shared" si="47"/>
        <v>0</v>
      </c>
      <c r="FD46" s="42">
        <f t="shared" si="47"/>
        <v>0</v>
      </c>
      <c r="FE46" s="42">
        <f t="shared" si="47"/>
        <v>0</v>
      </c>
      <c r="FF46" s="42">
        <f t="shared" si="47"/>
        <v>0</v>
      </c>
      <c r="FG46" s="42">
        <f t="shared" si="47"/>
        <v>0</v>
      </c>
      <c r="FH46" s="42">
        <f t="shared" si="47"/>
        <v>0</v>
      </c>
      <c r="FI46" s="42">
        <f t="shared" si="47"/>
        <v>0</v>
      </c>
      <c r="FJ46" s="42">
        <f t="shared" si="47"/>
        <v>0</v>
      </c>
      <c r="FK46" s="42">
        <f t="shared" si="47"/>
        <v>0</v>
      </c>
      <c r="FL46" s="42">
        <f t="shared" si="47"/>
        <v>0</v>
      </c>
      <c r="FM46" s="42">
        <f t="shared" si="47"/>
        <v>0</v>
      </c>
      <c r="FN46" s="42">
        <f t="shared" si="47"/>
        <v>0</v>
      </c>
      <c r="FO46" s="42">
        <f t="shared" si="47"/>
        <v>0</v>
      </c>
      <c r="FP46" s="42">
        <f t="shared" si="47"/>
        <v>0</v>
      </c>
      <c r="FQ46" s="42">
        <f t="shared" si="47"/>
        <v>0</v>
      </c>
      <c r="FR46" s="42">
        <f t="shared" si="47"/>
        <v>0</v>
      </c>
      <c r="FS46" s="42">
        <f t="shared" si="47"/>
        <v>0</v>
      </c>
      <c r="FT46" s="42">
        <f t="shared" si="47"/>
        <v>0</v>
      </c>
      <c r="FU46" s="42">
        <f t="shared" si="47"/>
        <v>0</v>
      </c>
      <c r="FV46" s="42">
        <f t="shared" si="47"/>
        <v>0</v>
      </c>
      <c r="FW46" s="42">
        <f t="shared" si="47"/>
        <v>0</v>
      </c>
      <c r="FX46" s="42">
        <f t="shared" si="47"/>
        <v>0</v>
      </c>
      <c r="FY46" s="42">
        <f t="shared" si="47"/>
        <v>0</v>
      </c>
      <c r="FZ46" s="42">
        <f t="shared" ref="FZ46:GH46" si="50">IF(
    FZ$6=$R46,
    10000+10000*$E46/200,
    IF(
        AND(FZ$6&lt;$R46,MOD($R46-FZ$6,6)=0),
        10000*$E46/200,
        0
    )
)</f>
        <v>0</v>
      </c>
      <c r="GA46" s="42">
        <f t="shared" si="50"/>
        <v>0</v>
      </c>
      <c r="GB46" s="42">
        <f t="shared" si="50"/>
        <v>0</v>
      </c>
      <c r="GC46" s="42">
        <f t="shared" si="50"/>
        <v>0</v>
      </c>
      <c r="GD46" s="42">
        <f t="shared" si="50"/>
        <v>0</v>
      </c>
      <c r="GE46" s="42">
        <f t="shared" si="50"/>
        <v>0</v>
      </c>
      <c r="GF46" s="42">
        <f t="shared" si="50"/>
        <v>0</v>
      </c>
      <c r="GG46" s="42">
        <f t="shared" si="50"/>
        <v>0</v>
      </c>
      <c r="GH46" s="42">
        <f t="shared" si="50"/>
        <v>0</v>
      </c>
    </row>
    <row r="47" spans="2:190" ht="14.5" thickBot="1">
      <c r="B47" s="43" t="s">
        <v>252</v>
      </c>
      <c r="C47" s="31">
        <v>45179</v>
      </c>
      <c r="D47" s="31">
        <v>52484</v>
      </c>
      <c r="E47" s="32">
        <v>3.875</v>
      </c>
      <c r="F47" s="33" t="s">
        <v>40</v>
      </c>
      <c r="G47" s="34">
        <v>239.47</v>
      </c>
      <c r="H47" s="34">
        <v>7288</v>
      </c>
      <c r="I47" s="32">
        <v>3.9630000000000001</v>
      </c>
      <c r="J47" s="35">
        <v>9896.18</v>
      </c>
      <c r="K47" s="44" cm="1">
        <f t="array" ref="K47">_xlfn.LET(
    _xlpm.settle,$B$3,
    _xlpm.mat,$D47,
    _xlpm.coupon,10000*$E47/200,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17.032967032967033</v>
      </c>
      <c r="L47" s="37">
        <f t="shared" si="39"/>
        <v>9913.2129670329668</v>
      </c>
      <c r="M47" s="120">
        <v>0.4584591685429194</v>
      </c>
      <c r="N47" s="45">
        <f t="shared" si="40"/>
        <v>3.905840788616554E-2</v>
      </c>
      <c r="O47" s="99">
        <f t="shared" si="41"/>
        <v>9913.2134526129794</v>
      </c>
      <c r="P47" s="39">
        <f t="shared" si="42"/>
        <v>4.8558001253695693E-4</v>
      </c>
      <c r="R47" s="41">
        <f t="shared" si="44"/>
        <v>239</v>
      </c>
      <c r="S47" s="42">
        <f t="shared" si="25"/>
        <v>0</v>
      </c>
      <c r="T47" s="42">
        <f t="shared" si="49"/>
        <v>193.75</v>
      </c>
      <c r="U47" s="42">
        <f t="shared" si="49"/>
        <v>0</v>
      </c>
      <c r="V47" s="42">
        <f t="shared" si="49"/>
        <v>193.75</v>
      </c>
      <c r="W47" s="42">
        <f t="shared" si="49"/>
        <v>0</v>
      </c>
      <c r="X47" s="42">
        <f t="shared" si="49"/>
        <v>193.75</v>
      </c>
      <c r="Y47" s="42">
        <f t="shared" si="49"/>
        <v>0</v>
      </c>
      <c r="Z47" s="42">
        <f t="shared" si="49"/>
        <v>193.75</v>
      </c>
      <c r="AA47" s="42">
        <f t="shared" si="49"/>
        <v>0</v>
      </c>
      <c r="AB47" s="42">
        <f t="shared" si="49"/>
        <v>193.75</v>
      </c>
      <c r="AC47" s="42">
        <f t="shared" si="49"/>
        <v>0</v>
      </c>
      <c r="AD47" s="42">
        <f t="shared" si="49"/>
        <v>193.75</v>
      </c>
      <c r="AE47" s="42">
        <f t="shared" si="49"/>
        <v>0</v>
      </c>
      <c r="AF47" s="42">
        <f t="shared" si="49"/>
        <v>193.75</v>
      </c>
      <c r="AG47" s="42">
        <f t="shared" si="49"/>
        <v>0</v>
      </c>
      <c r="AH47" s="42">
        <f t="shared" si="49"/>
        <v>193.75</v>
      </c>
      <c r="AI47" s="42">
        <f t="shared" si="49"/>
        <v>0</v>
      </c>
      <c r="AJ47" s="42">
        <f t="shared" si="49"/>
        <v>193.75</v>
      </c>
      <c r="AK47" s="42">
        <f t="shared" si="49"/>
        <v>0</v>
      </c>
      <c r="AL47" s="42">
        <f t="shared" si="49"/>
        <v>193.75</v>
      </c>
      <c r="AM47" s="42">
        <f t="shared" si="49"/>
        <v>0</v>
      </c>
      <c r="AN47" s="42">
        <f t="shared" si="49"/>
        <v>193.75</v>
      </c>
      <c r="AO47" s="42">
        <f t="shared" si="49"/>
        <v>0</v>
      </c>
      <c r="AP47" s="42">
        <f t="shared" si="49"/>
        <v>193.75</v>
      </c>
      <c r="AQ47" s="42">
        <f t="shared" si="49"/>
        <v>0</v>
      </c>
      <c r="AR47" s="42">
        <f t="shared" si="49"/>
        <v>193.75</v>
      </c>
      <c r="AS47" s="42">
        <f t="shared" si="49"/>
        <v>0</v>
      </c>
      <c r="AT47" s="42">
        <f t="shared" si="49"/>
        <v>193.75</v>
      </c>
      <c r="AU47" s="42">
        <f t="shared" si="49"/>
        <v>0</v>
      </c>
      <c r="AV47" s="42">
        <f t="shared" si="49"/>
        <v>193.75</v>
      </c>
      <c r="AW47" s="42">
        <f t="shared" si="49"/>
        <v>0</v>
      </c>
      <c r="AX47" s="42">
        <f t="shared" si="49"/>
        <v>193.75</v>
      </c>
      <c r="AY47" s="42">
        <f t="shared" si="49"/>
        <v>0</v>
      </c>
      <c r="AZ47" s="42">
        <f t="shared" si="49"/>
        <v>193.75</v>
      </c>
      <c r="BA47" s="42">
        <f t="shared" si="49"/>
        <v>0</v>
      </c>
      <c r="BB47" s="42">
        <f t="shared" si="49"/>
        <v>193.75</v>
      </c>
      <c r="BC47" s="42">
        <f t="shared" si="49"/>
        <v>0</v>
      </c>
      <c r="BD47" s="42">
        <f t="shared" si="49"/>
        <v>193.75</v>
      </c>
      <c r="BE47" s="42">
        <f t="shared" si="49"/>
        <v>0</v>
      </c>
      <c r="BF47" s="42">
        <f t="shared" si="49"/>
        <v>193.75</v>
      </c>
      <c r="BG47" s="42">
        <f t="shared" si="49"/>
        <v>0</v>
      </c>
      <c r="BH47" s="42">
        <f t="shared" si="49"/>
        <v>193.75</v>
      </c>
      <c r="BI47" s="42">
        <f t="shared" si="49"/>
        <v>0</v>
      </c>
      <c r="BJ47" s="42">
        <f t="shared" si="49"/>
        <v>193.75</v>
      </c>
      <c r="BK47" s="42">
        <f t="shared" si="49"/>
        <v>0</v>
      </c>
      <c r="BL47" s="42">
        <f t="shared" si="49"/>
        <v>193.75</v>
      </c>
      <c r="BM47" s="42">
        <f t="shared" si="49"/>
        <v>0</v>
      </c>
      <c r="BN47" s="42">
        <f t="shared" si="49"/>
        <v>193.75</v>
      </c>
      <c r="BO47" s="42">
        <f t="shared" si="49"/>
        <v>0</v>
      </c>
      <c r="BP47" s="42">
        <f t="shared" si="49"/>
        <v>193.75</v>
      </c>
      <c r="BQ47" s="42">
        <f t="shared" si="49"/>
        <v>0</v>
      </c>
      <c r="BR47" s="42">
        <f t="shared" si="49"/>
        <v>193.75</v>
      </c>
      <c r="BS47" s="42">
        <f t="shared" si="49"/>
        <v>0</v>
      </c>
      <c r="BT47" s="42">
        <f t="shared" si="49"/>
        <v>193.75</v>
      </c>
      <c r="BU47" s="42">
        <f t="shared" si="49"/>
        <v>0</v>
      </c>
      <c r="BV47" s="42">
        <f t="shared" si="49"/>
        <v>193.75</v>
      </c>
      <c r="BW47" s="42">
        <f t="shared" si="49"/>
        <v>0</v>
      </c>
      <c r="BX47" s="42">
        <f t="shared" si="49"/>
        <v>193.75</v>
      </c>
      <c r="BY47" s="42">
        <f t="shared" si="49"/>
        <v>0</v>
      </c>
      <c r="BZ47" s="42">
        <f t="shared" si="49"/>
        <v>193.75</v>
      </c>
      <c r="CA47" s="42">
        <f t="shared" si="49"/>
        <v>0</v>
      </c>
      <c r="CB47" s="42">
        <f t="shared" si="49"/>
        <v>193.75</v>
      </c>
      <c r="CC47" s="42">
        <f t="shared" si="49"/>
        <v>0</v>
      </c>
      <c r="CD47" s="42">
        <f t="shared" si="49"/>
        <v>193.75</v>
      </c>
      <c r="CE47" s="42">
        <f t="shared" ref="CE47:EP50" si="51">IF(
    CE$6=$R47,
    10000+10000*$E47/200,
    IF(
        AND(CE$6&lt;$R47,MOD($R47-CE$6,6)=0),
        10000*$E47/200,
        0
    )
)</f>
        <v>0</v>
      </c>
      <c r="CF47" s="42">
        <f t="shared" si="51"/>
        <v>193.75</v>
      </c>
      <c r="CG47" s="42">
        <f t="shared" si="51"/>
        <v>0</v>
      </c>
      <c r="CH47" s="42">
        <f t="shared" si="51"/>
        <v>193.75</v>
      </c>
      <c r="CI47" s="42">
        <f t="shared" si="51"/>
        <v>0</v>
      </c>
      <c r="CJ47" s="42">
        <f t="shared" si="51"/>
        <v>193.75</v>
      </c>
      <c r="CK47" s="42">
        <f t="shared" si="51"/>
        <v>0</v>
      </c>
      <c r="CL47" s="42">
        <f t="shared" si="51"/>
        <v>193.75</v>
      </c>
      <c r="CM47" s="42">
        <f t="shared" si="51"/>
        <v>0</v>
      </c>
      <c r="CN47" s="42">
        <f t="shared" si="51"/>
        <v>193.75</v>
      </c>
      <c r="CO47" s="42">
        <f t="shared" si="51"/>
        <v>0</v>
      </c>
      <c r="CP47" s="42">
        <f t="shared" si="51"/>
        <v>193.75</v>
      </c>
      <c r="CQ47" s="42">
        <f t="shared" si="51"/>
        <v>0</v>
      </c>
      <c r="CR47" s="42">
        <f t="shared" si="51"/>
        <v>193.75</v>
      </c>
      <c r="CS47" s="42">
        <f t="shared" si="51"/>
        <v>0</v>
      </c>
      <c r="CT47" s="42">
        <f t="shared" si="51"/>
        <v>10193.75</v>
      </c>
      <c r="CU47" s="42">
        <f t="shared" si="51"/>
        <v>0</v>
      </c>
      <c r="CV47" s="42">
        <f t="shared" si="51"/>
        <v>0</v>
      </c>
      <c r="CW47" s="42">
        <f t="shared" si="51"/>
        <v>0</v>
      </c>
      <c r="CX47" s="42">
        <f t="shared" si="51"/>
        <v>0</v>
      </c>
      <c r="CY47" s="42">
        <f t="shared" si="51"/>
        <v>0</v>
      </c>
      <c r="CZ47" s="42">
        <f t="shared" si="51"/>
        <v>0</v>
      </c>
      <c r="DA47" s="42">
        <f t="shared" si="51"/>
        <v>0</v>
      </c>
      <c r="DB47" s="42">
        <f t="shared" si="51"/>
        <v>0</v>
      </c>
      <c r="DC47" s="42">
        <f t="shared" si="51"/>
        <v>0</v>
      </c>
      <c r="DD47" s="42">
        <f t="shared" si="51"/>
        <v>0</v>
      </c>
      <c r="DE47" s="42">
        <f t="shared" si="51"/>
        <v>0</v>
      </c>
      <c r="DF47" s="42">
        <f t="shared" si="51"/>
        <v>0</v>
      </c>
      <c r="DG47" s="42">
        <f t="shared" si="51"/>
        <v>0</v>
      </c>
      <c r="DH47" s="42">
        <f t="shared" si="51"/>
        <v>0</v>
      </c>
      <c r="DI47" s="42">
        <f t="shared" si="51"/>
        <v>0</v>
      </c>
      <c r="DJ47" s="42">
        <f t="shared" si="51"/>
        <v>0</v>
      </c>
      <c r="DK47" s="42">
        <f t="shared" si="51"/>
        <v>0</v>
      </c>
      <c r="DL47" s="42">
        <f t="shared" si="51"/>
        <v>0</v>
      </c>
      <c r="DM47" s="42">
        <f t="shared" si="51"/>
        <v>0</v>
      </c>
      <c r="DN47" s="42">
        <f t="shared" si="51"/>
        <v>0</v>
      </c>
      <c r="DO47" s="42">
        <f t="shared" si="51"/>
        <v>0</v>
      </c>
      <c r="DP47" s="42">
        <f t="shared" si="51"/>
        <v>0</v>
      </c>
      <c r="DQ47" s="42">
        <f t="shared" si="51"/>
        <v>0</v>
      </c>
      <c r="DR47" s="42">
        <f t="shared" si="51"/>
        <v>0</v>
      </c>
      <c r="DS47" s="42">
        <f t="shared" si="51"/>
        <v>0</v>
      </c>
      <c r="DT47" s="42">
        <f t="shared" si="51"/>
        <v>0</v>
      </c>
      <c r="DU47" s="42">
        <f t="shared" si="51"/>
        <v>0</v>
      </c>
      <c r="DV47" s="42">
        <f t="shared" si="51"/>
        <v>0</v>
      </c>
      <c r="DW47" s="42">
        <f t="shared" si="51"/>
        <v>0</v>
      </c>
      <c r="DX47" s="42">
        <f t="shared" si="51"/>
        <v>0</v>
      </c>
      <c r="DY47" s="42">
        <f t="shared" si="51"/>
        <v>0</v>
      </c>
      <c r="DZ47" s="42">
        <f t="shared" si="51"/>
        <v>0</v>
      </c>
      <c r="EA47" s="42">
        <f t="shared" si="51"/>
        <v>0</v>
      </c>
      <c r="EB47" s="42">
        <f t="shared" si="51"/>
        <v>0</v>
      </c>
      <c r="EC47" s="42">
        <f t="shared" si="51"/>
        <v>0</v>
      </c>
      <c r="ED47" s="42">
        <f t="shared" si="51"/>
        <v>0</v>
      </c>
      <c r="EE47" s="42">
        <f t="shared" si="51"/>
        <v>0</v>
      </c>
      <c r="EF47" s="42">
        <f t="shared" si="51"/>
        <v>0</v>
      </c>
      <c r="EG47" s="42">
        <f t="shared" si="51"/>
        <v>0</v>
      </c>
      <c r="EH47" s="42">
        <f t="shared" si="51"/>
        <v>0</v>
      </c>
      <c r="EI47" s="42">
        <f t="shared" si="51"/>
        <v>0</v>
      </c>
      <c r="EJ47" s="42">
        <f t="shared" si="51"/>
        <v>0</v>
      </c>
      <c r="EK47" s="42">
        <f t="shared" si="51"/>
        <v>0</v>
      </c>
      <c r="EL47" s="42">
        <f t="shared" si="51"/>
        <v>0</v>
      </c>
      <c r="EM47" s="42">
        <f t="shared" si="51"/>
        <v>0</v>
      </c>
      <c r="EN47" s="42">
        <f t="shared" si="51"/>
        <v>0</v>
      </c>
      <c r="EO47" s="42">
        <f t="shared" si="51"/>
        <v>0</v>
      </c>
      <c r="EP47" s="42">
        <f t="shared" si="51"/>
        <v>0</v>
      </c>
      <c r="EQ47" s="42">
        <f t="shared" ref="EQ47:GH52" si="52">IF(
    EQ$6=$R47,
    10000+10000*$E47/200,
    IF(
        AND(EQ$6&lt;$R47,MOD($R47-EQ$6,6)=0),
        10000*$E47/200,
        0
    )
)</f>
        <v>0</v>
      </c>
      <c r="ER47" s="42">
        <f t="shared" si="52"/>
        <v>0</v>
      </c>
      <c r="ES47" s="42">
        <f t="shared" si="52"/>
        <v>0</v>
      </c>
      <c r="ET47" s="42">
        <f t="shared" si="52"/>
        <v>0</v>
      </c>
      <c r="EU47" s="42">
        <f t="shared" si="52"/>
        <v>0</v>
      </c>
      <c r="EV47" s="42">
        <f t="shared" si="52"/>
        <v>0</v>
      </c>
      <c r="EW47" s="42">
        <f t="shared" si="52"/>
        <v>0</v>
      </c>
      <c r="EX47" s="42">
        <f t="shared" si="52"/>
        <v>0</v>
      </c>
      <c r="EY47" s="42">
        <f t="shared" si="52"/>
        <v>0</v>
      </c>
      <c r="EZ47" s="42">
        <f t="shared" si="52"/>
        <v>0</v>
      </c>
      <c r="FA47" s="42">
        <f t="shared" si="52"/>
        <v>0</v>
      </c>
      <c r="FB47" s="42">
        <f t="shared" si="52"/>
        <v>0</v>
      </c>
      <c r="FC47" s="42">
        <f t="shared" si="52"/>
        <v>0</v>
      </c>
      <c r="FD47" s="42">
        <f t="shared" si="52"/>
        <v>0</v>
      </c>
      <c r="FE47" s="42">
        <f t="shared" si="52"/>
        <v>0</v>
      </c>
      <c r="FF47" s="42">
        <f t="shared" si="52"/>
        <v>0</v>
      </c>
      <c r="FG47" s="42">
        <f t="shared" si="52"/>
        <v>0</v>
      </c>
      <c r="FH47" s="42">
        <f t="shared" si="52"/>
        <v>0</v>
      </c>
      <c r="FI47" s="42">
        <f t="shared" si="52"/>
        <v>0</v>
      </c>
      <c r="FJ47" s="42">
        <f t="shared" si="52"/>
        <v>0</v>
      </c>
      <c r="FK47" s="42">
        <f t="shared" si="52"/>
        <v>0</v>
      </c>
      <c r="FL47" s="42">
        <f t="shared" si="52"/>
        <v>0</v>
      </c>
      <c r="FM47" s="42">
        <f t="shared" si="52"/>
        <v>0</v>
      </c>
      <c r="FN47" s="42">
        <f t="shared" si="52"/>
        <v>0</v>
      </c>
      <c r="FO47" s="42">
        <f t="shared" si="52"/>
        <v>0</v>
      </c>
      <c r="FP47" s="42">
        <f t="shared" si="52"/>
        <v>0</v>
      </c>
      <c r="FQ47" s="42">
        <f t="shared" si="52"/>
        <v>0</v>
      </c>
      <c r="FR47" s="42">
        <f t="shared" si="52"/>
        <v>0</v>
      </c>
      <c r="FS47" s="42">
        <f t="shared" si="52"/>
        <v>0</v>
      </c>
      <c r="FT47" s="42">
        <f t="shared" si="52"/>
        <v>0</v>
      </c>
      <c r="FU47" s="42">
        <f t="shared" si="52"/>
        <v>0</v>
      </c>
      <c r="FV47" s="42">
        <f t="shared" si="52"/>
        <v>0</v>
      </c>
      <c r="FW47" s="42">
        <f t="shared" si="52"/>
        <v>0</v>
      </c>
      <c r="FX47" s="42">
        <f t="shared" si="52"/>
        <v>0</v>
      </c>
      <c r="FY47" s="42">
        <f t="shared" si="52"/>
        <v>0</v>
      </c>
      <c r="FZ47" s="42">
        <f t="shared" si="52"/>
        <v>0</v>
      </c>
      <c r="GA47" s="42">
        <f t="shared" si="52"/>
        <v>0</v>
      </c>
      <c r="GB47" s="42">
        <f t="shared" si="52"/>
        <v>0</v>
      </c>
      <c r="GC47" s="42">
        <f t="shared" si="52"/>
        <v>0</v>
      </c>
      <c r="GD47" s="42">
        <f t="shared" si="52"/>
        <v>0</v>
      </c>
      <c r="GE47" s="42">
        <f t="shared" si="52"/>
        <v>0</v>
      </c>
      <c r="GF47" s="42">
        <f t="shared" si="52"/>
        <v>0</v>
      </c>
      <c r="GG47" s="42">
        <f t="shared" si="52"/>
        <v>0</v>
      </c>
      <c r="GH47" s="42">
        <f t="shared" si="52"/>
        <v>0</v>
      </c>
    </row>
    <row r="48" spans="2:190" ht="14.5" thickBot="1">
      <c r="B48" s="43" t="s">
        <v>253</v>
      </c>
      <c r="C48" s="31">
        <v>41983</v>
      </c>
      <c r="D48" s="31">
        <v>52941</v>
      </c>
      <c r="E48" s="32">
        <v>2.75</v>
      </c>
      <c r="F48" s="33" t="s">
        <v>41</v>
      </c>
      <c r="G48" s="34">
        <v>254.47</v>
      </c>
      <c r="H48" s="34">
        <v>7746</v>
      </c>
      <c r="I48" s="32">
        <v>3.9769999999999999</v>
      </c>
      <c r="J48" s="35">
        <v>8333.68</v>
      </c>
      <c r="K48" s="44" cm="1">
        <f t="array" ref="K48">_xlfn.LET(
    _xlpm.settle,$B$3,
    _xlpm.mat,$D48,
    _xlpm.coupon,10000*$E48/200,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81.147540983606561</v>
      </c>
      <c r="L48" s="37">
        <f t="shared" si="39"/>
        <v>8414.827540983606</v>
      </c>
      <c r="M48" s="120">
        <v>0.440531131130451</v>
      </c>
      <c r="N48" s="45">
        <f t="shared" si="40"/>
        <v>3.862865605509757E-2</v>
      </c>
      <c r="O48" s="99">
        <f t="shared" si="41"/>
        <v>8414.8261550043335</v>
      </c>
      <c r="P48" s="39">
        <f t="shared" si="42"/>
        <v>-1.3859792725270381E-3</v>
      </c>
      <c r="R48" s="41">
        <f t="shared" si="44"/>
        <v>254</v>
      </c>
      <c r="S48" s="42">
        <f t="shared" si="25"/>
        <v>137.5</v>
      </c>
      <c r="T48" s="42">
        <f t="shared" ref="T48:CE51" si="53">IF(
    T$6=$R48,
    10000+10000*$E48/200,
    IF(
        AND(T$6&lt;$R48,MOD($R48-T$6,6)=0),
        10000*$E48/200,
        0
    )
)</f>
        <v>0</v>
      </c>
      <c r="U48" s="42">
        <f t="shared" si="53"/>
        <v>137.5</v>
      </c>
      <c r="V48" s="42">
        <f t="shared" si="53"/>
        <v>0</v>
      </c>
      <c r="W48" s="42">
        <f t="shared" si="53"/>
        <v>137.5</v>
      </c>
      <c r="X48" s="42">
        <f t="shared" si="53"/>
        <v>0</v>
      </c>
      <c r="Y48" s="42">
        <f t="shared" si="53"/>
        <v>137.5</v>
      </c>
      <c r="Z48" s="42">
        <f t="shared" si="53"/>
        <v>0</v>
      </c>
      <c r="AA48" s="42">
        <f t="shared" si="53"/>
        <v>137.5</v>
      </c>
      <c r="AB48" s="42">
        <f t="shared" si="53"/>
        <v>0</v>
      </c>
      <c r="AC48" s="42">
        <f t="shared" si="53"/>
        <v>137.5</v>
      </c>
      <c r="AD48" s="42">
        <f t="shared" si="53"/>
        <v>0</v>
      </c>
      <c r="AE48" s="42">
        <f t="shared" si="53"/>
        <v>137.5</v>
      </c>
      <c r="AF48" s="42">
        <f t="shared" si="53"/>
        <v>0</v>
      </c>
      <c r="AG48" s="42">
        <f t="shared" si="53"/>
        <v>137.5</v>
      </c>
      <c r="AH48" s="42">
        <f t="shared" si="53"/>
        <v>0</v>
      </c>
      <c r="AI48" s="42">
        <f t="shared" si="53"/>
        <v>137.5</v>
      </c>
      <c r="AJ48" s="42">
        <f t="shared" si="53"/>
        <v>0</v>
      </c>
      <c r="AK48" s="42">
        <f t="shared" si="53"/>
        <v>137.5</v>
      </c>
      <c r="AL48" s="42">
        <f t="shared" si="53"/>
        <v>0</v>
      </c>
      <c r="AM48" s="42">
        <f t="shared" si="53"/>
        <v>137.5</v>
      </c>
      <c r="AN48" s="42">
        <f t="shared" si="53"/>
        <v>0</v>
      </c>
      <c r="AO48" s="42">
        <f t="shared" si="53"/>
        <v>137.5</v>
      </c>
      <c r="AP48" s="42">
        <f t="shared" si="53"/>
        <v>0</v>
      </c>
      <c r="AQ48" s="42">
        <f t="shared" si="53"/>
        <v>137.5</v>
      </c>
      <c r="AR48" s="42">
        <f t="shared" si="53"/>
        <v>0</v>
      </c>
      <c r="AS48" s="42">
        <f t="shared" si="53"/>
        <v>137.5</v>
      </c>
      <c r="AT48" s="42">
        <f t="shared" si="53"/>
        <v>0</v>
      </c>
      <c r="AU48" s="42">
        <f t="shared" si="53"/>
        <v>137.5</v>
      </c>
      <c r="AV48" s="42">
        <f t="shared" si="53"/>
        <v>0</v>
      </c>
      <c r="AW48" s="42">
        <f t="shared" si="53"/>
        <v>137.5</v>
      </c>
      <c r="AX48" s="42">
        <f t="shared" si="53"/>
        <v>0</v>
      </c>
      <c r="AY48" s="42">
        <f t="shared" si="53"/>
        <v>137.5</v>
      </c>
      <c r="AZ48" s="42">
        <f t="shared" si="53"/>
        <v>0</v>
      </c>
      <c r="BA48" s="42">
        <f t="shared" si="53"/>
        <v>137.5</v>
      </c>
      <c r="BB48" s="42">
        <f t="shared" si="53"/>
        <v>0</v>
      </c>
      <c r="BC48" s="42">
        <f t="shared" si="53"/>
        <v>137.5</v>
      </c>
      <c r="BD48" s="42">
        <f t="shared" si="53"/>
        <v>0</v>
      </c>
      <c r="BE48" s="42">
        <f t="shared" si="53"/>
        <v>137.5</v>
      </c>
      <c r="BF48" s="42">
        <f t="shared" si="53"/>
        <v>0</v>
      </c>
      <c r="BG48" s="42">
        <f t="shared" si="53"/>
        <v>137.5</v>
      </c>
      <c r="BH48" s="42">
        <f t="shared" si="53"/>
        <v>0</v>
      </c>
      <c r="BI48" s="42">
        <f t="shared" si="53"/>
        <v>137.5</v>
      </c>
      <c r="BJ48" s="42">
        <f t="shared" si="53"/>
        <v>0</v>
      </c>
      <c r="BK48" s="42">
        <f t="shared" si="53"/>
        <v>137.5</v>
      </c>
      <c r="BL48" s="42">
        <f t="shared" si="53"/>
        <v>0</v>
      </c>
      <c r="BM48" s="42">
        <f t="shared" si="53"/>
        <v>137.5</v>
      </c>
      <c r="BN48" s="42">
        <f t="shared" si="53"/>
        <v>0</v>
      </c>
      <c r="BO48" s="42">
        <f t="shared" si="53"/>
        <v>137.5</v>
      </c>
      <c r="BP48" s="42">
        <f t="shared" si="53"/>
        <v>0</v>
      </c>
      <c r="BQ48" s="42">
        <f t="shared" si="53"/>
        <v>137.5</v>
      </c>
      <c r="BR48" s="42">
        <f t="shared" si="53"/>
        <v>0</v>
      </c>
      <c r="BS48" s="42">
        <f t="shared" si="53"/>
        <v>137.5</v>
      </c>
      <c r="BT48" s="42">
        <f t="shared" si="53"/>
        <v>0</v>
      </c>
      <c r="BU48" s="42">
        <f t="shared" si="53"/>
        <v>137.5</v>
      </c>
      <c r="BV48" s="42">
        <f t="shared" si="53"/>
        <v>0</v>
      </c>
      <c r="BW48" s="42">
        <f t="shared" si="53"/>
        <v>137.5</v>
      </c>
      <c r="BX48" s="42">
        <f t="shared" si="53"/>
        <v>0</v>
      </c>
      <c r="BY48" s="42">
        <f t="shared" si="53"/>
        <v>137.5</v>
      </c>
      <c r="BZ48" s="42">
        <f t="shared" si="53"/>
        <v>0</v>
      </c>
      <c r="CA48" s="42">
        <f t="shared" si="53"/>
        <v>137.5</v>
      </c>
      <c r="CB48" s="42">
        <f t="shared" si="53"/>
        <v>0</v>
      </c>
      <c r="CC48" s="42">
        <f t="shared" si="53"/>
        <v>137.5</v>
      </c>
      <c r="CD48" s="42">
        <f t="shared" si="53"/>
        <v>0</v>
      </c>
      <c r="CE48" s="42">
        <f t="shared" si="53"/>
        <v>137.5</v>
      </c>
      <c r="CF48" s="42">
        <f t="shared" si="51"/>
        <v>0</v>
      </c>
      <c r="CG48" s="42">
        <f t="shared" si="51"/>
        <v>137.5</v>
      </c>
      <c r="CH48" s="42">
        <f t="shared" si="51"/>
        <v>0</v>
      </c>
      <c r="CI48" s="42">
        <f t="shared" si="51"/>
        <v>137.5</v>
      </c>
      <c r="CJ48" s="42">
        <f t="shared" si="51"/>
        <v>0</v>
      </c>
      <c r="CK48" s="42">
        <f t="shared" si="51"/>
        <v>137.5</v>
      </c>
      <c r="CL48" s="42">
        <f t="shared" si="51"/>
        <v>0</v>
      </c>
      <c r="CM48" s="42">
        <f t="shared" si="51"/>
        <v>137.5</v>
      </c>
      <c r="CN48" s="42">
        <f t="shared" si="51"/>
        <v>0</v>
      </c>
      <c r="CO48" s="42">
        <f t="shared" si="51"/>
        <v>137.5</v>
      </c>
      <c r="CP48" s="42">
        <f t="shared" si="51"/>
        <v>0</v>
      </c>
      <c r="CQ48" s="42">
        <f t="shared" si="51"/>
        <v>137.5</v>
      </c>
      <c r="CR48" s="42">
        <f t="shared" si="51"/>
        <v>0</v>
      </c>
      <c r="CS48" s="42">
        <f t="shared" si="51"/>
        <v>137.5</v>
      </c>
      <c r="CT48" s="42">
        <f t="shared" si="51"/>
        <v>0</v>
      </c>
      <c r="CU48" s="42">
        <f t="shared" si="51"/>
        <v>137.5</v>
      </c>
      <c r="CV48" s="42">
        <f t="shared" si="51"/>
        <v>0</v>
      </c>
      <c r="CW48" s="42">
        <f t="shared" si="51"/>
        <v>137.5</v>
      </c>
      <c r="CX48" s="42">
        <f t="shared" si="51"/>
        <v>0</v>
      </c>
      <c r="CY48" s="42">
        <f t="shared" si="51"/>
        <v>10137.5</v>
      </c>
      <c r="CZ48" s="42">
        <f t="shared" si="51"/>
        <v>0</v>
      </c>
      <c r="DA48" s="42">
        <f t="shared" si="51"/>
        <v>0</v>
      </c>
      <c r="DB48" s="42">
        <f t="shared" si="51"/>
        <v>0</v>
      </c>
      <c r="DC48" s="42">
        <f t="shared" si="51"/>
        <v>0</v>
      </c>
      <c r="DD48" s="42">
        <f t="shared" si="51"/>
        <v>0</v>
      </c>
      <c r="DE48" s="42">
        <f t="shared" si="51"/>
        <v>0</v>
      </c>
      <c r="DF48" s="42">
        <f t="shared" si="51"/>
        <v>0</v>
      </c>
      <c r="DG48" s="42">
        <f t="shared" si="51"/>
        <v>0</v>
      </c>
      <c r="DH48" s="42">
        <f t="shared" si="51"/>
        <v>0</v>
      </c>
      <c r="DI48" s="42">
        <f t="shared" si="51"/>
        <v>0</v>
      </c>
      <c r="DJ48" s="42">
        <f t="shared" si="51"/>
        <v>0</v>
      </c>
      <c r="DK48" s="42">
        <f t="shared" si="51"/>
        <v>0</v>
      </c>
      <c r="DL48" s="42">
        <f t="shared" si="51"/>
        <v>0</v>
      </c>
      <c r="DM48" s="42">
        <f t="shared" si="51"/>
        <v>0</v>
      </c>
      <c r="DN48" s="42">
        <f t="shared" si="51"/>
        <v>0</v>
      </c>
      <c r="DO48" s="42">
        <f t="shared" si="51"/>
        <v>0</v>
      </c>
      <c r="DP48" s="42">
        <f t="shared" si="51"/>
        <v>0</v>
      </c>
      <c r="DQ48" s="42">
        <f t="shared" si="51"/>
        <v>0</v>
      </c>
      <c r="DR48" s="42">
        <f t="shared" si="51"/>
        <v>0</v>
      </c>
      <c r="DS48" s="42">
        <f t="shared" si="51"/>
        <v>0</v>
      </c>
      <c r="DT48" s="42">
        <f t="shared" si="51"/>
        <v>0</v>
      </c>
      <c r="DU48" s="42">
        <f t="shared" si="51"/>
        <v>0</v>
      </c>
      <c r="DV48" s="42">
        <f t="shared" si="51"/>
        <v>0</v>
      </c>
      <c r="DW48" s="42">
        <f t="shared" si="51"/>
        <v>0</v>
      </c>
      <c r="DX48" s="42">
        <f t="shared" si="51"/>
        <v>0</v>
      </c>
      <c r="DY48" s="42">
        <f t="shared" si="51"/>
        <v>0</v>
      </c>
      <c r="DZ48" s="42">
        <f t="shared" si="51"/>
        <v>0</v>
      </c>
      <c r="EA48" s="42">
        <f t="shared" si="51"/>
        <v>0</v>
      </c>
      <c r="EB48" s="42">
        <f t="shared" si="51"/>
        <v>0</v>
      </c>
      <c r="EC48" s="42">
        <f t="shared" si="51"/>
        <v>0</v>
      </c>
      <c r="ED48" s="42">
        <f t="shared" si="51"/>
        <v>0</v>
      </c>
      <c r="EE48" s="42">
        <f t="shared" si="51"/>
        <v>0</v>
      </c>
      <c r="EF48" s="42">
        <f t="shared" si="51"/>
        <v>0</v>
      </c>
      <c r="EG48" s="42">
        <f t="shared" si="51"/>
        <v>0</v>
      </c>
      <c r="EH48" s="42">
        <f t="shared" si="51"/>
        <v>0</v>
      </c>
      <c r="EI48" s="42">
        <f t="shared" si="51"/>
        <v>0</v>
      </c>
      <c r="EJ48" s="42">
        <f t="shared" si="51"/>
        <v>0</v>
      </c>
      <c r="EK48" s="42">
        <f t="shared" si="51"/>
        <v>0</v>
      </c>
      <c r="EL48" s="42">
        <f t="shared" si="51"/>
        <v>0</v>
      </c>
      <c r="EM48" s="42">
        <f t="shared" si="51"/>
        <v>0</v>
      </c>
      <c r="EN48" s="42">
        <f t="shared" si="51"/>
        <v>0</v>
      </c>
      <c r="EO48" s="42">
        <f t="shared" si="51"/>
        <v>0</v>
      </c>
      <c r="EP48" s="42">
        <f t="shared" si="51"/>
        <v>0</v>
      </c>
      <c r="EQ48" s="42">
        <f t="shared" si="52"/>
        <v>0</v>
      </c>
      <c r="ER48" s="42">
        <f t="shared" si="52"/>
        <v>0</v>
      </c>
      <c r="ES48" s="42">
        <f t="shared" si="52"/>
        <v>0</v>
      </c>
      <c r="ET48" s="42">
        <f t="shared" si="52"/>
        <v>0</v>
      </c>
      <c r="EU48" s="42">
        <f t="shared" si="52"/>
        <v>0</v>
      </c>
      <c r="EV48" s="42">
        <f t="shared" si="52"/>
        <v>0</v>
      </c>
      <c r="EW48" s="42">
        <f t="shared" si="52"/>
        <v>0</v>
      </c>
      <c r="EX48" s="42">
        <f t="shared" si="52"/>
        <v>0</v>
      </c>
      <c r="EY48" s="42">
        <f t="shared" si="52"/>
        <v>0</v>
      </c>
      <c r="EZ48" s="42">
        <f t="shared" si="52"/>
        <v>0</v>
      </c>
      <c r="FA48" s="42">
        <f t="shared" si="52"/>
        <v>0</v>
      </c>
      <c r="FB48" s="42">
        <f t="shared" si="52"/>
        <v>0</v>
      </c>
      <c r="FC48" s="42">
        <f t="shared" si="52"/>
        <v>0</v>
      </c>
      <c r="FD48" s="42">
        <f t="shared" si="52"/>
        <v>0</v>
      </c>
      <c r="FE48" s="42">
        <f t="shared" si="52"/>
        <v>0</v>
      </c>
      <c r="FF48" s="42">
        <f t="shared" si="52"/>
        <v>0</v>
      </c>
      <c r="FG48" s="42">
        <f t="shared" si="52"/>
        <v>0</v>
      </c>
      <c r="FH48" s="42">
        <f t="shared" si="52"/>
        <v>0</v>
      </c>
      <c r="FI48" s="42">
        <f t="shared" si="52"/>
        <v>0</v>
      </c>
      <c r="FJ48" s="42">
        <f t="shared" si="52"/>
        <v>0</v>
      </c>
      <c r="FK48" s="42">
        <f t="shared" si="52"/>
        <v>0</v>
      </c>
      <c r="FL48" s="42">
        <f t="shared" si="52"/>
        <v>0</v>
      </c>
      <c r="FM48" s="42">
        <f t="shared" si="52"/>
        <v>0</v>
      </c>
      <c r="FN48" s="42">
        <f t="shared" si="52"/>
        <v>0</v>
      </c>
      <c r="FO48" s="42">
        <f t="shared" si="52"/>
        <v>0</v>
      </c>
      <c r="FP48" s="42">
        <f t="shared" si="52"/>
        <v>0</v>
      </c>
      <c r="FQ48" s="42">
        <f t="shared" si="52"/>
        <v>0</v>
      </c>
      <c r="FR48" s="42">
        <f t="shared" si="52"/>
        <v>0</v>
      </c>
      <c r="FS48" s="42">
        <f t="shared" si="52"/>
        <v>0</v>
      </c>
      <c r="FT48" s="42">
        <f t="shared" si="52"/>
        <v>0</v>
      </c>
      <c r="FU48" s="42">
        <f t="shared" si="52"/>
        <v>0</v>
      </c>
      <c r="FV48" s="42">
        <f t="shared" si="52"/>
        <v>0</v>
      </c>
      <c r="FW48" s="42">
        <f t="shared" si="52"/>
        <v>0</v>
      </c>
      <c r="FX48" s="42">
        <f t="shared" si="52"/>
        <v>0</v>
      </c>
      <c r="FY48" s="42">
        <f t="shared" si="52"/>
        <v>0</v>
      </c>
      <c r="FZ48" s="42">
        <f t="shared" si="52"/>
        <v>0</v>
      </c>
      <c r="GA48" s="42">
        <f t="shared" si="52"/>
        <v>0</v>
      </c>
      <c r="GB48" s="42">
        <f t="shared" si="52"/>
        <v>0</v>
      </c>
      <c r="GC48" s="42">
        <f t="shared" si="52"/>
        <v>0</v>
      </c>
      <c r="GD48" s="42">
        <f t="shared" si="52"/>
        <v>0</v>
      </c>
      <c r="GE48" s="42">
        <f t="shared" si="52"/>
        <v>0</v>
      </c>
      <c r="GF48" s="42">
        <f t="shared" si="52"/>
        <v>0</v>
      </c>
      <c r="GG48" s="42">
        <f t="shared" si="52"/>
        <v>0</v>
      </c>
      <c r="GH48" s="42">
        <f t="shared" si="52"/>
        <v>0</v>
      </c>
    </row>
    <row r="49" spans="1:190" ht="14.5" thickBot="1">
      <c r="B49" s="43" t="s">
        <v>254</v>
      </c>
      <c r="C49" s="31">
        <v>42439</v>
      </c>
      <c r="D49" s="31">
        <v>53396</v>
      </c>
      <c r="E49" s="32">
        <v>2</v>
      </c>
      <c r="F49" s="33" t="s">
        <v>42</v>
      </c>
      <c r="G49" s="34">
        <v>269.47000000000003</v>
      </c>
      <c r="H49" s="34">
        <v>8203</v>
      </c>
      <c r="I49" s="32">
        <v>3.964</v>
      </c>
      <c r="J49" s="35">
        <v>7106.57</v>
      </c>
      <c r="K49" s="44" cm="1">
        <f t="array" ref="K49">_xlfn.LET(
    _xlpm.settle,$B$3,
    _xlpm.mat,$D49,
    _xlpm.coupon,10000*$E49/200,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8.791208791208792</v>
      </c>
      <c r="L49" s="37">
        <f t="shared" si="39"/>
        <v>7115.3612087912088</v>
      </c>
      <c r="M49" s="120">
        <v>0.41480811839146187</v>
      </c>
      <c r="N49" s="45">
        <f t="shared" si="40"/>
        <v>3.9153702220396595E-2</v>
      </c>
      <c r="O49" s="99">
        <f t="shared" si="41"/>
        <v>7115.3619670838216</v>
      </c>
      <c r="P49" s="39">
        <f t="shared" si="42"/>
        <v>7.5829261277249316E-4</v>
      </c>
      <c r="R49" s="41">
        <f t="shared" si="44"/>
        <v>269</v>
      </c>
      <c r="S49" s="42">
        <f t="shared" si="25"/>
        <v>0</v>
      </c>
      <c r="T49" s="42">
        <f t="shared" si="53"/>
        <v>100</v>
      </c>
      <c r="U49" s="42">
        <f t="shared" si="53"/>
        <v>0</v>
      </c>
      <c r="V49" s="42">
        <f t="shared" si="53"/>
        <v>100</v>
      </c>
      <c r="W49" s="42">
        <f t="shared" si="53"/>
        <v>0</v>
      </c>
      <c r="X49" s="42">
        <f t="shared" si="53"/>
        <v>100</v>
      </c>
      <c r="Y49" s="42">
        <f t="shared" si="53"/>
        <v>0</v>
      </c>
      <c r="Z49" s="42">
        <f t="shared" si="53"/>
        <v>100</v>
      </c>
      <c r="AA49" s="42">
        <f t="shared" si="53"/>
        <v>0</v>
      </c>
      <c r="AB49" s="42">
        <f t="shared" si="53"/>
        <v>100</v>
      </c>
      <c r="AC49" s="42">
        <f t="shared" si="53"/>
        <v>0</v>
      </c>
      <c r="AD49" s="42">
        <f t="shared" si="53"/>
        <v>100</v>
      </c>
      <c r="AE49" s="42">
        <f t="shared" si="53"/>
        <v>0</v>
      </c>
      <c r="AF49" s="42">
        <f t="shared" si="53"/>
        <v>100</v>
      </c>
      <c r="AG49" s="42">
        <f t="shared" si="53"/>
        <v>0</v>
      </c>
      <c r="AH49" s="42">
        <f t="shared" si="53"/>
        <v>100</v>
      </c>
      <c r="AI49" s="42">
        <f t="shared" si="53"/>
        <v>0</v>
      </c>
      <c r="AJ49" s="42">
        <f t="shared" si="53"/>
        <v>100</v>
      </c>
      <c r="AK49" s="42">
        <f t="shared" si="53"/>
        <v>0</v>
      </c>
      <c r="AL49" s="42">
        <f t="shared" si="53"/>
        <v>100</v>
      </c>
      <c r="AM49" s="42">
        <f t="shared" si="53"/>
        <v>0</v>
      </c>
      <c r="AN49" s="42">
        <f t="shared" si="53"/>
        <v>100</v>
      </c>
      <c r="AO49" s="42">
        <f t="shared" si="53"/>
        <v>0</v>
      </c>
      <c r="AP49" s="42">
        <f t="shared" si="53"/>
        <v>100</v>
      </c>
      <c r="AQ49" s="42">
        <f t="shared" si="53"/>
        <v>0</v>
      </c>
      <c r="AR49" s="42">
        <f t="shared" si="53"/>
        <v>100</v>
      </c>
      <c r="AS49" s="42">
        <f t="shared" si="53"/>
        <v>0</v>
      </c>
      <c r="AT49" s="42">
        <f t="shared" si="53"/>
        <v>100</v>
      </c>
      <c r="AU49" s="42">
        <f t="shared" si="53"/>
        <v>0</v>
      </c>
      <c r="AV49" s="42">
        <f t="shared" si="53"/>
        <v>100</v>
      </c>
      <c r="AW49" s="42">
        <f t="shared" si="53"/>
        <v>0</v>
      </c>
      <c r="AX49" s="42">
        <f t="shared" si="53"/>
        <v>100</v>
      </c>
      <c r="AY49" s="42">
        <f t="shared" si="53"/>
        <v>0</v>
      </c>
      <c r="AZ49" s="42">
        <f t="shared" si="53"/>
        <v>100</v>
      </c>
      <c r="BA49" s="42">
        <f t="shared" si="53"/>
        <v>0</v>
      </c>
      <c r="BB49" s="42">
        <f t="shared" si="53"/>
        <v>100</v>
      </c>
      <c r="BC49" s="42">
        <f t="shared" si="53"/>
        <v>0</v>
      </c>
      <c r="BD49" s="42">
        <f t="shared" si="53"/>
        <v>100</v>
      </c>
      <c r="BE49" s="42">
        <f t="shared" si="53"/>
        <v>0</v>
      </c>
      <c r="BF49" s="42">
        <f t="shared" si="53"/>
        <v>100</v>
      </c>
      <c r="BG49" s="42">
        <f t="shared" si="53"/>
        <v>0</v>
      </c>
      <c r="BH49" s="42">
        <f t="shared" si="53"/>
        <v>100</v>
      </c>
      <c r="BI49" s="42">
        <f t="shared" si="53"/>
        <v>0</v>
      </c>
      <c r="BJ49" s="42">
        <f t="shared" si="53"/>
        <v>100</v>
      </c>
      <c r="BK49" s="42">
        <f t="shared" si="53"/>
        <v>0</v>
      </c>
      <c r="BL49" s="42">
        <f t="shared" si="53"/>
        <v>100</v>
      </c>
      <c r="BM49" s="42">
        <f t="shared" si="53"/>
        <v>0</v>
      </c>
      <c r="BN49" s="42">
        <f t="shared" si="53"/>
        <v>100</v>
      </c>
      <c r="BO49" s="42">
        <f t="shared" si="53"/>
        <v>0</v>
      </c>
      <c r="BP49" s="42">
        <f t="shared" si="53"/>
        <v>100</v>
      </c>
      <c r="BQ49" s="42">
        <f t="shared" si="53"/>
        <v>0</v>
      </c>
      <c r="BR49" s="42">
        <f t="shared" si="53"/>
        <v>100</v>
      </c>
      <c r="BS49" s="42">
        <f t="shared" si="53"/>
        <v>0</v>
      </c>
      <c r="BT49" s="42">
        <f t="shared" si="53"/>
        <v>100</v>
      </c>
      <c r="BU49" s="42">
        <f t="shared" si="53"/>
        <v>0</v>
      </c>
      <c r="BV49" s="42">
        <f t="shared" si="53"/>
        <v>100</v>
      </c>
      <c r="BW49" s="42">
        <f t="shared" si="53"/>
        <v>0</v>
      </c>
      <c r="BX49" s="42">
        <f t="shared" si="53"/>
        <v>100</v>
      </c>
      <c r="BY49" s="42">
        <f t="shared" si="53"/>
        <v>0</v>
      </c>
      <c r="BZ49" s="42">
        <f t="shared" si="53"/>
        <v>100</v>
      </c>
      <c r="CA49" s="42">
        <f t="shared" si="53"/>
        <v>0</v>
      </c>
      <c r="CB49" s="42">
        <f t="shared" si="53"/>
        <v>100</v>
      </c>
      <c r="CC49" s="42">
        <f t="shared" si="53"/>
        <v>0</v>
      </c>
      <c r="CD49" s="42">
        <f t="shared" si="53"/>
        <v>100</v>
      </c>
      <c r="CE49" s="42">
        <f t="shared" si="53"/>
        <v>0</v>
      </c>
      <c r="CF49" s="42">
        <f t="shared" si="51"/>
        <v>100</v>
      </c>
      <c r="CG49" s="42">
        <f t="shared" si="51"/>
        <v>0</v>
      </c>
      <c r="CH49" s="42">
        <f t="shared" si="51"/>
        <v>100</v>
      </c>
      <c r="CI49" s="42">
        <f t="shared" si="51"/>
        <v>0</v>
      </c>
      <c r="CJ49" s="42">
        <f t="shared" si="51"/>
        <v>100</v>
      </c>
      <c r="CK49" s="42">
        <f t="shared" si="51"/>
        <v>0</v>
      </c>
      <c r="CL49" s="42">
        <f t="shared" si="51"/>
        <v>100</v>
      </c>
      <c r="CM49" s="42">
        <f t="shared" si="51"/>
        <v>0</v>
      </c>
      <c r="CN49" s="42">
        <f t="shared" si="51"/>
        <v>100</v>
      </c>
      <c r="CO49" s="42">
        <f t="shared" si="51"/>
        <v>0</v>
      </c>
      <c r="CP49" s="42">
        <f t="shared" si="51"/>
        <v>100</v>
      </c>
      <c r="CQ49" s="42">
        <f t="shared" si="51"/>
        <v>0</v>
      </c>
      <c r="CR49" s="42">
        <f t="shared" si="51"/>
        <v>100</v>
      </c>
      <c r="CS49" s="42">
        <f t="shared" si="51"/>
        <v>0</v>
      </c>
      <c r="CT49" s="42">
        <f t="shared" si="51"/>
        <v>100</v>
      </c>
      <c r="CU49" s="42">
        <f t="shared" si="51"/>
        <v>0</v>
      </c>
      <c r="CV49" s="42">
        <f t="shared" si="51"/>
        <v>100</v>
      </c>
      <c r="CW49" s="42">
        <f t="shared" si="51"/>
        <v>0</v>
      </c>
      <c r="CX49" s="42">
        <f t="shared" si="51"/>
        <v>100</v>
      </c>
      <c r="CY49" s="42">
        <f t="shared" si="51"/>
        <v>0</v>
      </c>
      <c r="CZ49" s="42">
        <f t="shared" si="51"/>
        <v>100</v>
      </c>
      <c r="DA49" s="42">
        <f t="shared" si="51"/>
        <v>0</v>
      </c>
      <c r="DB49" s="42">
        <f t="shared" si="51"/>
        <v>100</v>
      </c>
      <c r="DC49" s="42">
        <f t="shared" si="51"/>
        <v>0</v>
      </c>
      <c r="DD49" s="42">
        <f t="shared" si="51"/>
        <v>10100</v>
      </c>
      <c r="DE49" s="42">
        <f t="shared" si="51"/>
        <v>0</v>
      </c>
      <c r="DF49" s="42">
        <f t="shared" si="51"/>
        <v>0</v>
      </c>
      <c r="DG49" s="42">
        <f t="shared" si="51"/>
        <v>0</v>
      </c>
      <c r="DH49" s="42">
        <f t="shared" si="51"/>
        <v>0</v>
      </c>
      <c r="DI49" s="42">
        <f t="shared" si="51"/>
        <v>0</v>
      </c>
      <c r="DJ49" s="42">
        <f t="shared" si="51"/>
        <v>0</v>
      </c>
      <c r="DK49" s="42">
        <f t="shared" si="51"/>
        <v>0</v>
      </c>
      <c r="DL49" s="42">
        <f t="shared" si="51"/>
        <v>0</v>
      </c>
      <c r="DM49" s="42">
        <f t="shared" si="51"/>
        <v>0</v>
      </c>
      <c r="DN49" s="42">
        <f t="shared" si="51"/>
        <v>0</v>
      </c>
      <c r="DO49" s="42">
        <f t="shared" si="51"/>
        <v>0</v>
      </c>
      <c r="DP49" s="42">
        <f t="shared" si="51"/>
        <v>0</v>
      </c>
      <c r="DQ49" s="42">
        <f t="shared" si="51"/>
        <v>0</v>
      </c>
      <c r="DR49" s="42">
        <f t="shared" si="51"/>
        <v>0</v>
      </c>
      <c r="DS49" s="42">
        <f t="shared" si="51"/>
        <v>0</v>
      </c>
      <c r="DT49" s="42">
        <f t="shared" si="51"/>
        <v>0</v>
      </c>
      <c r="DU49" s="42">
        <f t="shared" si="51"/>
        <v>0</v>
      </c>
      <c r="DV49" s="42">
        <f t="shared" si="51"/>
        <v>0</v>
      </c>
      <c r="DW49" s="42">
        <f t="shared" si="51"/>
        <v>0</v>
      </c>
      <c r="DX49" s="42">
        <f t="shared" si="51"/>
        <v>0</v>
      </c>
      <c r="DY49" s="42">
        <f t="shared" si="51"/>
        <v>0</v>
      </c>
      <c r="DZ49" s="42">
        <f t="shared" si="51"/>
        <v>0</v>
      </c>
      <c r="EA49" s="42">
        <f t="shared" si="51"/>
        <v>0</v>
      </c>
      <c r="EB49" s="42">
        <f t="shared" si="51"/>
        <v>0</v>
      </c>
      <c r="EC49" s="42">
        <f t="shared" si="51"/>
        <v>0</v>
      </c>
      <c r="ED49" s="42">
        <f t="shared" si="51"/>
        <v>0</v>
      </c>
      <c r="EE49" s="42">
        <f t="shared" si="51"/>
        <v>0</v>
      </c>
      <c r="EF49" s="42">
        <f t="shared" si="51"/>
        <v>0</v>
      </c>
      <c r="EG49" s="42">
        <f t="shared" si="51"/>
        <v>0</v>
      </c>
      <c r="EH49" s="42">
        <f t="shared" si="51"/>
        <v>0</v>
      </c>
      <c r="EI49" s="42">
        <f t="shared" si="51"/>
        <v>0</v>
      </c>
      <c r="EJ49" s="42">
        <f t="shared" si="51"/>
        <v>0</v>
      </c>
      <c r="EK49" s="42">
        <f t="shared" si="51"/>
        <v>0</v>
      </c>
      <c r="EL49" s="42">
        <f t="shared" si="51"/>
        <v>0</v>
      </c>
      <c r="EM49" s="42">
        <f t="shared" si="51"/>
        <v>0</v>
      </c>
      <c r="EN49" s="42">
        <f t="shared" si="51"/>
        <v>0</v>
      </c>
      <c r="EO49" s="42">
        <f t="shared" si="51"/>
        <v>0</v>
      </c>
      <c r="EP49" s="42">
        <f t="shared" si="51"/>
        <v>0</v>
      </c>
      <c r="EQ49" s="42">
        <f t="shared" si="52"/>
        <v>0</v>
      </c>
      <c r="ER49" s="42">
        <f t="shared" si="52"/>
        <v>0</v>
      </c>
      <c r="ES49" s="42">
        <f t="shared" si="52"/>
        <v>0</v>
      </c>
      <c r="ET49" s="42">
        <f t="shared" si="52"/>
        <v>0</v>
      </c>
      <c r="EU49" s="42">
        <f t="shared" si="52"/>
        <v>0</v>
      </c>
      <c r="EV49" s="42">
        <f t="shared" si="52"/>
        <v>0</v>
      </c>
      <c r="EW49" s="42">
        <f t="shared" si="52"/>
        <v>0</v>
      </c>
      <c r="EX49" s="42">
        <f t="shared" si="52"/>
        <v>0</v>
      </c>
      <c r="EY49" s="42">
        <f t="shared" si="52"/>
        <v>0</v>
      </c>
      <c r="EZ49" s="42">
        <f t="shared" si="52"/>
        <v>0</v>
      </c>
      <c r="FA49" s="42">
        <f t="shared" si="52"/>
        <v>0</v>
      </c>
      <c r="FB49" s="42">
        <f t="shared" si="52"/>
        <v>0</v>
      </c>
      <c r="FC49" s="42">
        <f t="shared" si="52"/>
        <v>0</v>
      </c>
      <c r="FD49" s="42">
        <f t="shared" si="52"/>
        <v>0</v>
      </c>
      <c r="FE49" s="42">
        <f t="shared" si="52"/>
        <v>0</v>
      </c>
      <c r="FF49" s="42">
        <f t="shared" si="52"/>
        <v>0</v>
      </c>
      <c r="FG49" s="42">
        <f t="shared" si="52"/>
        <v>0</v>
      </c>
      <c r="FH49" s="42">
        <f t="shared" si="52"/>
        <v>0</v>
      </c>
      <c r="FI49" s="42">
        <f t="shared" si="52"/>
        <v>0</v>
      </c>
      <c r="FJ49" s="42">
        <f t="shared" si="52"/>
        <v>0</v>
      </c>
      <c r="FK49" s="42">
        <f t="shared" si="52"/>
        <v>0</v>
      </c>
      <c r="FL49" s="42">
        <f t="shared" si="52"/>
        <v>0</v>
      </c>
      <c r="FM49" s="42">
        <f t="shared" si="52"/>
        <v>0</v>
      </c>
      <c r="FN49" s="42">
        <f t="shared" si="52"/>
        <v>0</v>
      </c>
      <c r="FO49" s="42">
        <f t="shared" si="52"/>
        <v>0</v>
      </c>
      <c r="FP49" s="42">
        <f t="shared" si="52"/>
        <v>0</v>
      </c>
      <c r="FQ49" s="42">
        <f t="shared" si="52"/>
        <v>0</v>
      </c>
      <c r="FR49" s="42">
        <f t="shared" si="52"/>
        <v>0</v>
      </c>
      <c r="FS49" s="42">
        <f t="shared" si="52"/>
        <v>0</v>
      </c>
      <c r="FT49" s="42">
        <f t="shared" si="52"/>
        <v>0</v>
      </c>
      <c r="FU49" s="42">
        <f t="shared" si="52"/>
        <v>0</v>
      </c>
      <c r="FV49" s="42">
        <f t="shared" si="52"/>
        <v>0</v>
      </c>
      <c r="FW49" s="42">
        <f t="shared" si="52"/>
        <v>0</v>
      </c>
      <c r="FX49" s="42">
        <f t="shared" si="52"/>
        <v>0</v>
      </c>
      <c r="FY49" s="42">
        <f t="shared" si="52"/>
        <v>0</v>
      </c>
      <c r="FZ49" s="42">
        <f t="shared" si="52"/>
        <v>0</v>
      </c>
      <c r="GA49" s="42">
        <f t="shared" si="52"/>
        <v>0</v>
      </c>
      <c r="GB49" s="42">
        <f t="shared" si="52"/>
        <v>0</v>
      </c>
      <c r="GC49" s="42">
        <f t="shared" si="52"/>
        <v>0</v>
      </c>
      <c r="GD49" s="42">
        <f t="shared" si="52"/>
        <v>0</v>
      </c>
      <c r="GE49" s="42">
        <f t="shared" si="52"/>
        <v>0</v>
      </c>
      <c r="GF49" s="42">
        <f t="shared" si="52"/>
        <v>0</v>
      </c>
      <c r="GG49" s="42">
        <f t="shared" si="52"/>
        <v>0</v>
      </c>
      <c r="GH49" s="42">
        <f t="shared" si="52"/>
        <v>0</v>
      </c>
    </row>
    <row r="50" spans="1:190" ht="14.5" thickBot="1">
      <c r="B50" s="43" t="s">
        <v>255</v>
      </c>
      <c r="C50" s="31">
        <v>42804</v>
      </c>
      <c r="D50" s="31">
        <v>53761</v>
      </c>
      <c r="E50" s="32">
        <v>2.125</v>
      </c>
      <c r="F50" s="33" t="s">
        <v>43</v>
      </c>
      <c r="G50" s="34">
        <v>281.47000000000003</v>
      </c>
      <c r="H50" s="34">
        <v>8568</v>
      </c>
      <c r="I50" s="32">
        <v>3.9550000000000001</v>
      </c>
      <c r="J50" s="35">
        <v>7228.73</v>
      </c>
      <c r="K50" s="44" cm="1">
        <f t="array" ref="K50">_xlfn.LET(
    _xlpm.settle,$B$3,
    _xlpm.mat,$D50,
    _xlpm.coupon,10000*$E50/200,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9.3406593406593412</v>
      </c>
      <c r="L50" s="37">
        <f t="shared" si="39"/>
        <v>7238.0706593406585</v>
      </c>
      <c r="M50" s="120">
        <v>0.39995629933427784</v>
      </c>
      <c r="N50" s="45">
        <f t="shared" si="40"/>
        <v>3.9038981812558736E-2</v>
      </c>
      <c r="O50" s="99">
        <f t="shared" si="41"/>
        <v>7238.071350244245</v>
      </c>
      <c r="P50" s="39">
        <f t="shared" si="42"/>
        <v>6.9090358647372341E-4</v>
      </c>
      <c r="R50" s="41">
        <f t="shared" si="44"/>
        <v>281</v>
      </c>
      <c r="S50" s="42">
        <f t="shared" si="25"/>
        <v>0</v>
      </c>
      <c r="T50" s="42">
        <f t="shared" si="53"/>
        <v>106.25</v>
      </c>
      <c r="U50" s="42">
        <f t="shared" si="53"/>
        <v>0</v>
      </c>
      <c r="V50" s="42">
        <f t="shared" si="53"/>
        <v>106.25</v>
      </c>
      <c r="W50" s="42">
        <f t="shared" si="53"/>
        <v>0</v>
      </c>
      <c r="X50" s="42">
        <f t="shared" si="53"/>
        <v>106.25</v>
      </c>
      <c r="Y50" s="42">
        <f t="shared" si="53"/>
        <v>0</v>
      </c>
      <c r="Z50" s="42">
        <f t="shared" si="53"/>
        <v>106.25</v>
      </c>
      <c r="AA50" s="42">
        <f t="shared" si="53"/>
        <v>0</v>
      </c>
      <c r="AB50" s="42">
        <f t="shared" si="53"/>
        <v>106.25</v>
      </c>
      <c r="AC50" s="42">
        <f t="shared" si="53"/>
        <v>0</v>
      </c>
      <c r="AD50" s="42">
        <f t="shared" si="53"/>
        <v>106.25</v>
      </c>
      <c r="AE50" s="42">
        <f t="shared" si="53"/>
        <v>0</v>
      </c>
      <c r="AF50" s="42">
        <f t="shared" si="53"/>
        <v>106.25</v>
      </c>
      <c r="AG50" s="42">
        <f t="shared" si="53"/>
        <v>0</v>
      </c>
      <c r="AH50" s="42">
        <f t="shared" si="53"/>
        <v>106.25</v>
      </c>
      <c r="AI50" s="42">
        <f t="shared" si="53"/>
        <v>0</v>
      </c>
      <c r="AJ50" s="42">
        <f t="shared" si="53"/>
        <v>106.25</v>
      </c>
      <c r="AK50" s="42">
        <f t="shared" si="53"/>
        <v>0</v>
      </c>
      <c r="AL50" s="42">
        <f t="shared" si="53"/>
        <v>106.25</v>
      </c>
      <c r="AM50" s="42">
        <f t="shared" si="53"/>
        <v>0</v>
      </c>
      <c r="AN50" s="42">
        <f t="shared" si="53"/>
        <v>106.25</v>
      </c>
      <c r="AO50" s="42">
        <f t="shared" si="53"/>
        <v>0</v>
      </c>
      <c r="AP50" s="42">
        <f t="shared" si="53"/>
        <v>106.25</v>
      </c>
      <c r="AQ50" s="42">
        <f t="shared" si="53"/>
        <v>0</v>
      </c>
      <c r="AR50" s="42">
        <f t="shared" si="53"/>
        <v>106.25</v>
      </c>
      <c r="AS50" s="42">
        <f t="shared" si="53"/>
        <v>0</v>
      </c>
      <c r="AT50" s="42">
        <f t="shared" si="53"/>
        <v>106.25</v>
      </c>
      <c r="AU50" s="42">
        <f t="shared" si="53"/>
        <v>0</v>
      </c>
      <c r="AV50" s="42">
        <f t="shared" si="53"/>
        <v>106.25</v>
      </c>
      <c r="AW50" s="42">
        <f t="shared" si="53"/>
        <v>0</v>
      </c>
      <c r="AX50" s="42">
        <f t="shared" si="53"/>
        <v>106.25</v>
      </c>
      <c r="AY50" s="42">
        <f t="shared" si="53"/>
        <v>0</v>
      </c>
      <c r="AZ50" s="42">
        <f t="shared" si="53"/>
        <v>106.25</v>
      </c>
      <c r="BA50" s="42">
        <f t="shared" si="53"/>
        <v>0</v>
      </c>
      <c r="BB50" s="42">
        <f t="shared" si="53"/>
        <v>106.25</v>
      </c>
      <c r="BC50" s="42">
        <f t="shared" si="53"/>
        <v>0</v>
      </c>
      <c r="BD50" s="42">
        <f t="shared" si="53"/>
        <v>106.25</v>
      </c>
      <c r="BE50" s="42">
        <f t="shared" si="53"/>
        <v>0</v>
      </c>
      <c r="BF50" s="42">
        <f t="shared" si="53"/>
        <v>106.25</v>
      </c>
      <c r="BG50" s="42">
        <f t="shared" si="53"/>
        <v>0</v>
      </c>
      <c r="BH50" s="42">
        <f t="shared" si="53"/>
        <v>106.25</v>
      </c>
      <c r="BI50" s="42">
        <f t="shared" si="53"/>
        <v>0</v>
      </c>
      <c r="BJ50" s="42">
        <f t="shared" si="53"/>
        <v>106.25</v>
      </c>
      <c r="BK50" s="42">
        <f t="shared" si="53"/>
        <v>0</v>
      </c>
      <c r="BL50" s="42">
        <f t="shared" si="53"/>
        <v>106.25</v>
      </c>
      <c r="BM50" s="42">
        <f t="shared" si="53"/>
        <v>0</v>
      </c>
      <c r="BN50" s="42">
        <f t="shared" si="53"/>
        <v>106.25</v>
      </c>
      <c r="BO50" s="42">
        <f t="shared" si="53"/>
        <v>0</v>
      </c>
      <c r="BP50" s="42">
        <f t="shared" si="53"/>
        <v>106.25</v>
      </c>
      <c r="BQ50" s="42">
        <f t="shared" si="53"/>
        <v>0</v>
      </c>
      <c r="BR50" s="42">
        <f t="shared" si="53"/>
        <v>106.25</v>
      </c>
      <c r="BS50" s="42">
        <f t="shared" si="53"/>
        <v>0</v>
      </c>
      <c r="BT50" s="42">
        <f t="shared" si="53"/>
        <v>106.25</v>
      </c>
      <c r="BU50" s="42">
        <f t="shared" si="53"/>
        <v>0</v>
      </c>
      <c r="BV50" s="42">
        <f t="shared" si="53"/>
        <v>106.25</v>
      </c>
      <c r="BW50" s="42">
        <f t="shared" si="53"/>
        <v>0</v>
      </c>
      <c r="BX50" s="42">
        <f t="shared" si="53"/>
        <v>106.25</v>
      </c>
      <c r="BY50" s="42">
        <f t="shared" si="53"/>
        <v>0</v>
      </c>
      <c r="BZ50" s="42">
        <f t="shared" si="53"/>
        <v>106.25</v>
      </c>
      <c r="CA50" s="42">
        <f t="shared" si="53"/>
        <v>0</v>
      </c>
      <c r="CB50" s="42">
        <f t="shared" si="53"/>
        <v>106.25</v>
      </c>
      <c r="CC50" s="42">
        <f t="shared" si="53"/>
        <v>0</v>
      </c>
      <c r="CD50" s="42">
        <f t="shared" si="53"/>
        <v>106.25</v>
      </c>
      <c r="CE50" s="42">
        <f t="shared" si="53"/>
        <v>0</v>
      </c>
      <c r="CF50" s="42">
        <f t="shared" si="51"/>
        <v>106.25</v>
      </c>
      <c r="CG50" s="42">
        <f t="shared" si="51"/>
        <v>0</v>
      </c>
      <c r="CH50" s="42">
        <f t="shared" si="51"/>
        <v>106.25</v>
      </c>
      <c r="CI50" s="42">
        <f t="shared" si="51"/>
        <v>0</v>
      </c>
      <c r="CJ50" s="42">
        <f t="shared" si="51"/>
        <v>106.25</v>
      </c>
      <c r="CK50" s="42">
        <f t="shared" si="51"/>
        <v>0</v>
      </c>
      <c r="CL50" s="42">
        <f t="shared" si="51"/>
        <v>106.25</v>
      </c>
      <c r="CM50" s="42">
        <f t="shared" si="51"/>
        <v>0</v>
      </c>
      <c r="CN50" s="42">
        <f t="shared" si="51"/>
        <v>106.25</v>
      </c>
      <c r="CO50" s="42">
        <f t="shared" si="51"/>
        <v>0</v>
      </c>
      <c r="CP50" s="42">
        <f t="shared" si="51"/>
        <v>106.25</v>
      </c>
      <c r="CQ50" s="42">
        <f t="shared" si="51"/>
        <v>0</v>
      </c>
      <c r="CR50" s="42">
        <f t="shared" si="51"/>
        <v>106.25</v>
      </c>
      <c r="CS50" s="42">
        <f t="shared" si="51"/>
        <v>0</v>
      </c>
      <c r="CT50" s="42">
        <f t="shared" si="51"/>
        <v>106.25</v>
      </c>
      <c r="CU50" s="42">
        <f t="shared" si="51"/>
        <v>0</v>
      </c>
      <c r="CV50" s="42">
        <f t="shared" si="51"/>
        <v>106.25</v>
      </c>
      <c r="CW50" s="42">
        <f t="shared" si="51"/>
        <v>0</v>
      </c>
      <c r="CX50" s="42">
        <f t="shared" si="51"/>
        <v>106.25</v>
      </c>
      <c r="CY50" s="42">
        <f t="shared" si="51"/>
        <v>0</v>
      </c>
      <c r="CZ50" s="42">
        <f t="shared" si="51"/>
        <v>106.25</v>
      </c>
      <c r="DA50" s="42">
        <f t="shared" si="51"/>
        <v>0</v>
      </c>
      <c r="DB50" s="42">
        <f t="shared" si="51"/>
        <v>106.25</v>
      </c>
      <c r="DC50" s="42">
        <f t="shared" si="51"/>
        <v>0</v>
      </c>
      <c r="DD50" s="42">
        <f t="shared" si="51"/>
        <v>106.25</v>
      </c>
      <c r="DE50" s="42">
        <f t="shared" si="51"/>
        <v>0</v>
      </c>
      <c r="DF50" s="42">
        <f t="shared" si="51"/>
        <v>106.25</v>
      </c>
      <c r="DG50" s="42">
        <f t="shared" si="51"/>
        <v>0</v>
      </c>
      <c r="DH50" s="42">
        <f t="shared" si="51"/>
        <v>10106.25</v>
      </c>
      <c r="DI50" s="42">
        <f t="shared" si="51"/>
        <v>0</v>
      </c>
      <c r="DJ50" s="42">
        <f t="shared" si="51"/>
        <v>0</v>
      </c>
      <c r="DK50" s="42">
        <f t="shared" si="51"/>
        <v>0</v>
      </c>
      <c r="DL50" s="42">
        <f t="shared" si="51"/>
        <v>0</v>
      </c>
      <c r="DM50" s="42">
        <f t="shared" si="51"/>
        <v>0</v>
      </c>
      <c r="DN50" s="42">
        <f t="shared" si="51"/>
        <v>0</v>
      </c>
      <c r="DO50" s="42">
        <f t="shared" si="51"/>
        <v>0</v>
      </c>
      <c r="DP50" s="42">
        <f t="shared" si="51"/>
        <v>0</v>
      </c>
      <c r="DQ50" s="42">
        <f t="shared" si="51"/>
        <v>0</v>
      </c>
      <c r="DR50" s="42">
        <f t="shared" si="51"/>
        <v>0</v>
      </c>
      <c r="DS50" s="42">
        <f t="shared" si="51"/>
        <v>0</v>
      </c>
      <c r="DT50" s="42">
        <f t="shared" si="51"/>
        <v>0</v>
      </c>
      <c r="DU50" s="42">
        <f t="shared" si="51"/>
        <v>0</v>
      </c>
      <c r="DV50" s="42">
        <f t="shared" si="51"/>
        <v>0</v>
      </c>
      <c r="DW50" s="42">
        <f t="shared" si="51"/>
        <v>0</v>
      </c>
      <c r="DX50" s="42">
        <f t="shared" si="51"/>
        <v>0</v>
      </c>
      <c r="DY50" s="42">
        <f t="shared" si="51"/>
        <v>0</v>
      </c>
      <c r="DZ50" s="42">
        <f t="shared" si="51"/>
        <v>0</v>
      </c>
      <c r="EA50" s="42">
        <f t="shared" si="51"/>
        <v>0</v>
      </c>
      <c r="EB50" s="42">
        <f t="shared" si="51"/>
        <v>0</v>
      </c>
      <c r="EC50" s="42">
        <f t="shared" si="51"/>
        <v>0</v>
      </c>
      <c r="ED50" s="42">
        <f t="shared" si="51"/>
        <v>0</v>
      </c>
      <c r="EE50" s="42">
        <f t="shared" si="51"/>
        <v>0</v>
      </c>
      <c r="EF50" s="42">
        <f t="shared" si="51"/>
        <v>0</v>
      </c>
      <c r="EG50" s="42">
        <f t="shared" si="51"/>
        <v>0</v>
      </c>
      <c r="EH50" s="42">
        <f t="shared" si="51"/>
        <v>0</v>
      </c>
      <c r="EI50" s="42">
        <f t="shared" si="51"/>
        <v>0</v>
      </c>
      <c r="EJ50" s="42">
        <f t="shared" si="51"/>
        <v>0</v>
      </c>
      <c r="EK50" s="42">
        <f t="shared" si="51"/>
        <v>0</v>
      </c>
      <c r="EL50" s="42">
        <f t="shared" si="51"/>
        <v>0</v>
      </c>
      <c r="EM50" s="42">
        <f t="shared" si="51"/>
        <v>0</v>
      </c>
      <c r="EN50" s="42">
        <f t="shared" si="51"/>
        <v>0</v>
      </c>
      <c r="EO50" s="42">
        <f t="shared" si="51"/>
        <v>0</v>
      </c>
      <c r="EP50" s="42">
        <f t="shared" si="51"/>
        <v>0</v>
      </c>
      <c r="EQ50" s="42">
        <f t="shared" si="52"/>
        <v>0</v>
      </c>
      <c r="ER50" s="42">
        <f t="shared" si="52"/>
        <v>0</v>
      </c>
      <c r="ES50" s="42">
        <f t="shared" si="52"/>
        <v>0</v>
      </c>
      <c r="ET50" s="42">
        <f t="shared" si="52"/>
        <v>0</v>
      </c>
      <c r="EU50" s="42">
        <f t="shared" si="52"/>
        <v>0</v>
      </c>
      <c r="EV50" s="42">
        <f t="shared" si="52"/>
        <v>0</v>
      </c>
      <c r="EW50" s="42">
        <f t="shared" si="52"/>
        <v>0</v>
      </c>
      <c r="EX50" s="42">
        <f t="shared" si="52"/>
        <v>0</v>
      </c>
      <c r="EY50" s="42">
        <f t="shared" si="52"/>
        <v>0</v>
      </c>
      <c r="EZ50" s="42">
        <f t="shared" si="52"/>
        <v>0</v>
      </c>
      <c r="FA50" s="42">
        <f t="shared" si="52"/>
        <v>0</v>
      </c>
      <c r="FB50" s="42">
        <f t="shared" si="52"/>
        <v>0</v>
      </c>
      <c r="FC50" s="42">
        <f t="shared" si="52"/>
        <v>0</v>
      </c>
      <c r="FD50" s="42">
        <f t="shared" si="52"/>
        <v>0</v>
      </c>
      <c r="FE50" s="42">
        <f t="shared" si="52"/>
        <v>0</v>
      </c>
      <c r="FF50" s="42">
        <f t="shared" si="52"/>
        <v>0</v>
      </c>
      <c r="FG50" s="42">
        <f t="shared" si="52"/>
        <v>0</v>
      </c>
      <c r="FH50" s="42">
        <f t="shared" si="52"/>
        <v>0</v>
      </c>
      <c r="FI50" s="42">
        <f t="shared" si="52"/>
        <v>0</v>
      </c>
      <c r="FJ50" s="42">
        <f t="shared" si="52"/>
        <v>0</v>
      </c>
      <c r="FK50" s="42">
        <f t="shared" si="52"/>
        <v>0</v>
      </c>
      <c r="FL50" s="42">
        <f t="shared" si="52"/>
        <v>0</v>
      </c>
      <c r="FM50" s="42">
        <f t="shared" si="52"/>
        <v>0</v>
      </c>
      <c r="FN50" s="42">
        <f t="shared" si="52"/>
        <v>0</v>
      </c>
      <c r="FO50" s="42">
        <f t="shared" si="52"/>
        <v>0</v>
      </c>
      <c r="FP50" s="42">
        <f t="shared" si="52"/>
        <v>0</v>
      </c>
      <c r="FQ50" s="42">
        <f t="shared" si="52"/>
        <v>0</v>
      </c>
      <c r="FR50" s="42">
        <f t="shared" si="52"/>
        <v>0</v>
      </c>
      <c r="FS50" s="42">
        <f t="shared" si="52"/>
        <v>0</v>
      </c>
      <c r="FT50" s="42">
        <f t="shared" si="52"/>
        <v>0</v>
      </c>
      <c r="FU50" s="42">
        <f t="shared" si="52"/>
        <v>0</v>
      </c>
      <c r="FV50" s="42">
        <f t="shared" si="52"/>
        <v>0</v>
      </c>
      <c r="FW50" s="42">
        <f t="shared" si="52"/>
        <v>0</v>
      </c>
      <c r="FX50" s="42">
        <f t="shared" si="52"/>
        <v>0</v>
      </c>
      <c r="FY50" s="42">
        <f t="shared" si="52"/>
        <v>0</v>
      </c>
      <c r="FZ50" s="42">
        <f t="shared" si="52"/>
        <v>0</v>
      </c>
      <c r="GA50" s="42">
        <f t="shared" si="52"/>
        <v>0</v>
      </c>
      <c r="GB50" s="42">
        <f t="shared" si="52"/>
        <v>0</v>
      </c>
      <c r="GC50" s="42">
        <f t="shared" si="52"/>
        <v>0</v>
      </c>
      <c r="GD50" s="42">
        <f t="shared" si="52"/>
        <v>0</v>
      </c>
      <c r="GE50" s="42">
        <f t="shared" si="52"/>
        <v>0</v>
      </c>
      <c r="GF50" s="42">
        <f t="shared" si="52"/>
        <v>0</v>
      </c>
      <c r="GG50" s="42">
        <f t="shared" si="52"/>
        <v>0</v>
      </c>
      <c r="GH50" s="42">
        <f t="shared" si="52"/>
        <v>0</v>
      </c>
    </row>
    <row r="51" spans="1:190" ht="14.5" thickBot="1">
      <c r="B51" s="43" t="s">
        <v>256</v>
      </c>
      <c r="C51" s="31">
        <v>43169</v>
      </c>
      <c r="D51" s="31">
        <v>54127</v>
      </c>
      <c r="E51" s="32">
        <v>2.625</v>
      </c>
      <c r="F51" s="33" t="s">
        <v>44</v>
      </c>
      <c r="G51" s="34">
        <v>293.47000000000003</v>
      </c>
      <c r="H51" s="34">
        <v>8933</v>
      </c>
      <c r="I51" s="32">
        <v>3.9420000000000002</v>
      </c>
      <c r="J51" s="35">
        <v>7956.92</v>
      </c>
      <c r="K51" s="44" cm="1">
        <f t="array" ref="K51">_xlfn.LET(
    _xlpm.settle,$B$3,
    _xlpm.mat,$D51,
    _xlpm.coupon,10000*$E51/200,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11.538461538461538</v>
      </c>
      <c r="L51" s="37">
        <f t="shared" si="39"/>
        <v>7968.458461538462</v>
      </c>
      <c r="M51" s="120">
        <v>0.38656048969773815</v>
      </c>
      <c r="N51" s="45">
        <f t="shared" si="40"/>
        <v>3.8835824992343594E-2</v>
      </c>
      <c r="O51" s="99">
        <f t="shared" si="41"/>
        <v>7968.4589618836562</v>
      </c>
      <c r="P51" s="39">
        <f t="shared" si="42"/>
        <v>5.0034519426844781E-4</v>
      </c>
      <c r="R51" s="41">
        <f t="shared" si="44"/>
        <v>293</v>
      </c>
      <c r="S51" s="42">
        <f t="shared" si="25"/>
        <v>0</v>
      </c>
      <c r="T51" s="42">
        <f t="shared" si="53"/>
        <v>131.25</v>
      </c>
      <c r="U51" s="42">
        <f t="shared" si="53"/>
        <v>0</v>
      </c>
      <c r="V51" s="42">
        <f t="shared" si="53"/>
        <v>131.25</v>
      </c>
      <c r="W51" s="42">
        <f t="shared" si="53"/>
        <v>0</v>
      </c>
      <c r="X51" s="42">
        <f t="shared" si="53"/>
        <v>131.25</v>
      </c>
      <c r="Y51" s="42">
        <f t="shared" si="53"/>
        <v>0</v>
      </c>
      <c r="Z51" s="42">
        <f t="shared" si="53"/>
        <v>131.25</v>
      </c>
      <c r="AA51" s="42">
        <f t="shared" si="53"/>
        <v>0</v>
      </c>
      <c r="AB51" s="42">
        <f t="shared" si="53"/>
        <v>131.25</v>
      </c>
      <c r="AC51" s="42">
        <f t="shared" si="53"/>
        <v>0</v>
      </c>
      <c r="AD51" s="42">
        <f t="shared" si="53"/>
        <v>131.25</v>
      </c>
      <c r="AE51" s="42">
        <f t="shared" si="53"/>
        <v>0</v>
      </c>
      <c r="AF51" s="42">
        <f t="shared" si="53"/>
        <v>131.25</v>
      </c>
      <c r="AG51" s="42">
        <f t="shared" si="53"/>
        <v>0</v>
      </c>
      <c r="AH51" s="42">
        <f t="shared" si="53"/>
        <v>131.25</v>
      </c>
      <c r="AI51" s="42">
        <f t="shared" si="53"/>
        <v>0</v>
      </c>
      <c r="AJ51" s="42">
        <f t="shared" si="53"/>
        <v>131.25</v>
      </c>
      <c r="AK51" s="42">
        <f t="shared" si="53"/>
        <v>0</v>
      </c>
      <c r="AL51" s="42">
        <f t="shared" si="53"/>
        <v>131.25</v>
      </c>
      <c r="AM51" s="42">
        <f t="shared" si="53"/>
        <v>0</v>
      </c>
      <c r="AN51" s="42">
        <f t="shared" si="53"/>
        <v>131.25</v>
      </c>
      <c r="AO51" s="42">
        <f t="shared" si="53"/>
        <v>0</v>
      </c>
      <c r="AP51" s="42">
        <f t="shared" si="53"/>
        <v>131.25</v>
      </c>
      <c r="AQ51" s="42">
        <f t="shared" si="53"/>
        <v>0</v>
      </c>
      <c r="AR51" s="42">
        <f t="shared" si="53"/>
        <v>131.25</v>
      </c>
      <c r="AS51" s="42">
        <f t="shared" si="53"/>
        <v>0</v>
      </c>
      <c r="AT51" s="42">
        <f t="shared" si="53"/>
        <v>131.25</v>
      </c>
      <c r="AU51" s="42">
        <f t="shared" si="53"/>
        <v>0</v>
      </c>
      <c r="AV51" s="42">
        <f t="shared" si="53"/>
        <v>131.25</v>
      </c>
      <c r="AW51" s="42">
        <f t="shared" si="53"/>
        <v>0</v>
      </c>
      <c r="AX51" s="42">
        <f t="shared" si="53"/>
        <v>131.25</v>
      </c>
      <c r="AY51" s="42">
        <f t="shared" si="53"/>
        <v>0</v>
      </c>
      <c r="AZ51" s="42">
        <f t="shared" si="53"/>
        <v>131.25</v>
      </c>
      <c r="BA51" s="42">
        <f t="shared" si="53"/>
        <v>0</v>
      </c>
      <c r="BB51" s="42">
        <f t="shared" si="53"/>
        <v>131.25</v>
      </c>
      <c r="BC51" s="42">
        <f t="shared" si="53"/>
        <v>0</v>
      </c>
      <c r="BD51" s="42">
        <f t="shared" si="53"/>
        <v>131.25</v>
      </c>
      <c r="BE51" s="42">
        <f t="shared" si="53"/>
        <v>0</v>
      </c>
      <c r="BF51" s="42">
        <f t="shared" si="53"/>
        <v>131.25</v>
      </c>
      <c r="BG51" s="42">
        <f t="shared" si="53"/>
        <v>0</v>
      </c>
      <c r="BH51" s="42">
        <f t="shared" si="53"/>
        <v>131.25</v>
      </c>
      <c r="BI51" s="42">
        <f t="shared" si="53"/>
        <v>0</v>
      </c>
      <c r="BJ51" s="42">
        <f t="shared" si="53"/>
        <v>131.25</v>
      </c>
      <c r="BK51" s="42">
        <f t="shared" si="53"/>
        <v>0</v>
      </c>
      <c r="BL51" s="42">
        <f t="shared" si="53"/>
        <v>131.25</v>
      </c>
      <c r="BM51" s="42">
        <f t="shared" si="53"/>
        <v>0</v>
      </c>
      <c r="BN51" s="42">
        <f t="shared" si="53"/>
        <v>131.25</v>
      </c>
      <c r="BO51" s="42">
        <f t="shared" si="53"/>
        <v>0</v>
      </c>
      <c r="BP51" s="42">
        <f t="shared" si="53"/>
        <v>131.25</v>
      </c>
      <c r="BQ51" s="42">
        <f t="shared" si="53"/>
        <v>0</v>
      </c>
      <c r="BR51" s="42">
        <f t="shared" si="53"/>
        <v>131.25</v>
      </c>
      <c r="BS51" s="42">
        <f t="shared" si="53"/>
        <v>0</v>
      </c>
      <c r="BT51" s="42">
        <f t="shared" si="53"/>
        <v>131.25</v>
      </c>
      <c r="BU51" s="42">
        <f t="shared" si="53"/>
        <v>0</v>
      </c>
      <c r="BV51" s="42">
        <f t="shared" si="53"/>
        <v>131.25</v>
      </c>
      <c r="BW51" s="42">
        <f t="shared" si="53"/>
        <v>0</v>
      </c>
      <c r="BX51" s="42">
        <f t="shared" si="53"/>
        <v>131.25</v>
      </c>
      <c r="BY51" s="42">
        <f t="shared" si="53"/>
        <v>0</v>
      </c>
      <c r="BZ51" s="42">
        <f t="shared" si="53"/>
        <v>131.25</v>
      </c>
      <c r="CA51" s="42">
        <f t="shared" si="53"/>
        <v>0</v>
      </c>
      <c r="CB51" s="42">
        <f t="shared" si="53"/>
        <v>131.25</v>
      </c>
      <c r="CC51" s="42">
        <f t="shared" si="53"/>
        <v>0</v>
      </c>
      <c r="CD51" s="42">
        <f t="shared" si="53"/>
        <v>131.25</v>
      </c>
      <c r="CE51" s="42">
        <f t="shared" ref="CE51:EP54" si="54">IF(
    CE$6=$R51,
    10000+10000*$E51/200,
    IF(
        AND(CE$6&lt;$R51,MOD($R51-CE$6,6)=0),
        10000*$E51/200,
        0
    )
)</f>
        <v>0</v>
      </c>
      <c r="CF51" s="42">
        <f t="shared" si="54"/>
        <v>131.25</v>
      </c>
      <c r="CG51" s="42">
        <f t="shared" si="54"/>
        <v>0</v>
      </c>
      <c r="CH51" s="42">
        <f t="shared" si="54"/>
        <v>131.25</v>
      </c>
      <c r="CI51" s="42">
        <f t="shared" si="54"/>
        <v>0</v>
      </c>
      <c r="CJ51" s="42">
        <f t="shared" si="54"/>
        <v>131.25</v>
      </c>
      <c r="CK51" s="42">
        <f t="shared" si="54"/>
        <v>0</v>
      </c>
      <c r="CL51" s="42">
        <f t="shared" si="54"/>
        <v>131.25</v>
      </c>
      <c r="CM51" s="42">
        <f t="shared" si="54"/>
        <v>0</v>
      </c>
      <c r="CN51" s="42">
        <f t="shared" si="54"/>
        <v>131.25</v>
      </c>
      <c r="CO51" s="42">
        <f t="shared" si="54"/>
        <v>0</v>
      </c>
      <c r="CP51" s="42">
        <f t="shared" si="54"/>
        <v>131.25</v>
      </c>
      <c r="CQ51" s="42">
        <f t="shared" si="54"/>
        <v>0</v>
      </c>
      <c r="CR51" s="42">
        <f t="shared" si="54"/>
        <v>131.25</v>
      </c>
      <c r="CS51" s="42">
        <f t="shared" si="54"/>
        <v>0</v>
      </c>
      <c r="CT51" s="42">
        <f t="shared" si="54"/>
        <v>131.25</v>
      </c>
      <c r="CU51" s="42">
        <f t="shared" si="54"/>
        <v>0</v>
      </c>
      <c r="CV51" s="42">
        <f t="shared" si="54"/>
        <v>131.25</v>
      </c>
      <c r="CW51" s="42">
        <f t="shared" si="54"/>
        <v>0</v>
      </c>
      <c r="CX51" s="42">
        <f t="shared" si="54"/>
        <v>131.25</v>
      </c>
      <c r="CY51" s="42">
        <f t="shared" si="54"/>
        <v>0</v>
      </c>
      <c r="CZ51" s="42">
        <f t="shared" si="54"/>
        <v>131.25</v>
      </c>
      <c r="DA51" s="42">
        <f t="shared" si="54"/>
        <v>0</v>
      </c>
      <c r="DB51" s="42">
        <f t="shared" si="54"/>
        <v>131.25</v>
      </c>
      <c r="DC51" s="42">
        <f t="shared" si="54"/>
        <v>0</v>
      </c>
      <c r="DD51" s="42">
        <f t="shared" si="54"/>
        <v>131.25</v>
      </c>
      <c r="DE51" s="42">
        <f t="shared" si="54"/>
        <v>0</v>
      </c>
      <c r="DF51" s="42">
        <f t="shared" si="54"/>
        <v>131.25</v>
      </c>
      <c r="DG51" s="42">
        <f t="shared" si="54"/>
        <v>0</v>
      </c>
      <c r="DH51" s="42">
        <f t="shared" si="54"/>
        <v>131.25</v>
      </c>
      <c r="DI51" s="42">
        <f t="shared" si="54"/>
        <v>0</v>
      </c>
      <c r="DJ51" s="42">
        <f t="shared" si="54"/>
        <v>131.25</v>
      </c>
      <c r="DK51" s="42">
        <f t="shared" si="54"/>
        <v>0</v>
      </c>
      <c r="DL51" s="42">
        <f t="shared" si="54"/>
        <v>10131.25</v>
      </c>
      <c r="DM51" s="42">
        <f t="shared" si="54"/>
        <v>0</v>
      </c>
      <c r="DN51" s="42">
        <f t="shared" si="54"/>
        <v>0</v>
      </c>
      <c r="DO51" s="42">
        <f t="shared" si="54"/>
        <v>0</v>
      </c>
      <c r="DP51" s="42">
        <f t="shared" si="54"/>
        <v>0</v>
      </c>
      <c r="DQ51" s="42">
        <f t="shared" si="54"/>
        <v>0</v>
      </c>
      <c r="DR51" s="42">
        <f t="shared" si="54"/>
        <v>0</v>
      </c>
      <c r="DS51" s="42">
        <f t="shared" si="54"/>
        <v>0</v>
      </c>
      <c r="DT51" s="42">
        <f t="shared" si="54"/>
        <v>0</v>
      </c>
      <c r="DU51" s="42">
        <f t="shared" si="54"/>
        <v>0</v>
      </c>
      <c r="DV51" s="42">
        <f t="shared" si="54"/>
        <v>0</v>
      </c>
      <c r="DW51" s="42">
        <f t="shared" si="54"/>
        <v>0</v>
      </c>
      <c r="DX51" s="42">
        <f t="shared" si="54"/>
        <v>0</v>
      </c>
      <c r="DY51" s="42">
        <f t="shared" si="54"/>
        <v>0</v>
      </c>
      <c r="DZ51" s="42">
        <f t="shared" si="54"/>
        <v>0</v>
      </c>
      <c r="EA51" s="42">
        <f t="shared" si="54"/>
        <v>0</v>
      </c>
      <c r="EB51" s="42">
        <f t="shared" si="54"/>
        <v>0</v>
      </c>
      <c r="EC51" s="42">
        <f t="shared" si="54"/>
        <v>0</v>
      </c>
      <c r="ED51" s="42">
        <f t="shared" si="54"/>
        <v>0</v>
      </c>
      <c r="EE51" s="42">
        <f t="shared" si="54"/>
        <v>0</v>
      </c>
      <c r="EF51" s="42">
        <f t="shared" si="54"/>
        <v>0</v>
      </c>
      <c r="EG51" s="42">
        <f t="shared" si="54"/>
        <v>0</v>
      </c>
      <c r="EH51" s="42">
        <f t="shared" si="54"/>
        <v>0</v>
      </c>
      <c r="EI51" s="42">
        <f t="shared" si="54"/>
        <v>0</v>
      </c>
      <c r="EJ51" s="42">
        <f t="shared" si="54"/>
        <v>0</v>
      </c>
      <c r="EK51" s="42">
        <f t="shared" si="54"/>
        <v>0</v>
      </c>
      <c r="EL51" s="42">
        <f t="shared" si="54"/>
        <v>0</v>
      </c>
      <c r="EM51" s="42">
        <f t="shared" si="54"/>
        <v>0</v>
      </c>
      <c r="EN51" s="42">
        <f t="shared" si="54"/>
        <v>0</v>
      </c>
      <c r="EO51" s="42">
        <f t="shared" si="54"/>
        <v>0</v>
      </c>
      <c r="EP51" s="42">
        <f t="shared" si="54"/>
        <v>0</v>
      </c>
      <c r="EQ51" s="42">
        <f t="shared" si="52"/>
        <v>0</v>
      </c>
      <c r="ER51" s="42">
        <f t="shared" si="52"/>
        <v>0</v>
      </c>
      <c r="ES51" s="42">
        <f t="shared" si="52"/>
        <v>0</v>
      </c>
      <c r="ET51" s="42">
        <f t="shared" si="52"/>
        <v>0</v>
      </c>
      <c r="EU51" s="42">
        <f t="shared" si="52"/>
        <v>0</v>
      </c>
      <c r="EV51" s="42">
        <f t="shared" si="52"/>
        <v>0</v>
      </c>
      <c r="EW51" s="42">
        <f t="shared" si="52"/>
        <v>0</v>
      </c>
      <c r="EX51" s="42">
        <f t="shared" si="52"/>
        <v>0</v>
      </c>
      <c r="EY51" s="42">
        <f t="shared" si="52"/>
        <v>0</v>
      </c>
      <c r="EZ51" s="42">
        <f t="shared" si="52"/>
        <v>0</v>
      </c>
      <c r="FA51" s="42">
        <f t="shared" si="52"/>
        <v>0</v>
      </c>
      <c r="FB51" s="42">
        <f t="shared" si="52"/>
        <v>0</v>
      </c>
      <c r="FC51" s="42">
        <f t="shared" si="52"/>
        <v>0</v>
      </c>
      <c r="FD51" s="42">
        <f t="shared" si="52"/>
        <v>0</v>
      </c>
      <c r="FE51" s="42">
        <f t="shared" si="52"/>
        <v>0</v>
      </c>
      <c r="FF51" s="42">
        <f t="shared" si="52"/>
        <v>0</v>
      </c>
      <c r="FG51" s="42">
        <f t="shared" si="52"/>
        <v>0</v>
      </c>
      <c r="FH51" s="42">
        <f t="shared" si="52"/>
        <v>0</v>
      </c>
      <c r="FI51" s="42">
        <f t="shared" si="52"/>
        <v>0</v>
      </c>
      <c r="FJ51" s="42">
        <f t="shared" si="52"/>
        <v>0</v>
      </c>
      <c r="FK51" s="42">
        <f t="shared" si="52"/>
        <v>0</v>
      </c>
      <c r="FL51" s="42">
        <f t="shared" si="52"/>
        <v>0</v>
      </c>
      <c r="FM51" s="42">
        <f t="shared" si="52"/>
        <v>0</v>
      </c>
      <c r="FN51" s="42">
        <f t="shared" si="52"/>
        <v>0</v>
      </c>
      <c r="FO51" s="42">
        <f t="shared" si="52"/>
        <v>0</v>
      </c>
      <c r="FP51" s="42">
        <f t="shared" si="52"/>
        <v>0</v>
      </c>
      <c r="FQ51" s="42">
        <f t="shared" si="52"/>
        <v>0</v>
      </c>
      <c r="FR51" s="42">
        <f t="shared" si="52"/>
        <v>0</v>
      </c>
      <c r="FS51" s="42">
        <f t="shared" si="52"/>
        <v>0</v>
      </c>
      <c r="FT51" s="42">
        <f t="shared" si="52"/>
        <v>0</v>
      </c>
      <c r="FU51" s="42">
        <f t="shared" si="52"/>
        <v>0</v>
      </c>
      <c r="FV51" s="42">
        <f t="shared" si="52"/>
        <v>0</v>
      </c>
      <c r="FW51" s="42">
        <f t="shared" si="52"/>
        <v>0</v>
      </c>
      <c r="FX51" s="42">
        <f t="shared" si="52"/>
        <v>0</v>
      </c>
      <c r="FY51" s="42">
        <f t="shared" si="52"/>
        <v>0</v>
      </c>
      <c r="FZ51" s="42">
        <f t="shared" si="52"/>
        <v>0</v>
      </c>
      <c r="GA51" s="42">
        <f t="shared" si="52"/>
        <v>0</v>
      </c>
      <c r="GB51" s="42">
        <f t="shared" si="52"/>
        <v>0</v>
      </c>
      <c r="GC51" s="42">
        <f t="shared" si="52"/>
        <v>0</v>
      </c>
      <c r="GD51" s="42">
        <f t="shared" si="52"/>
        <v>0</v>
      </c>
      <c r="GE51" s="42">
        <f t="shared" si="52"/>
        <v>0</v>
      </c>
      <c r="GF51" s="42">
        <f t="shared" si="52"/>
        <v>0</v>
      </c>
      <c r="GG51" s="42">
        <f t="shared" si="52"/>
        <v>0</v>
      </c>
      <c r="GH51" s="42">
        <f t="shared" si="52"/>
        <v>0</v>
      </c>
    </row>
    <row r="52" spans="1:190" ht="14.5" thickBot="1">
      <c r="B52" s="43" t="s">
        <v>257</v>
      </c>
      <c r="C52" s="31">
        <v>43534</v>
      </c>
      <c r="D52" s="31">
        <v>54492</v>
      </c>
      <c r="E52" s="32">
        <v>2</v>
      </c>
      <c r="F52" s="33" t="s">
        <v>45</v>
      </c>
      <c r="G52" s="34">
        <v>305.47000000000003</v>
      </c>
      <c r="H52" s="34">
        <v>9299</v>
      </c>
      <c r="I52" s="32">
        <v>3.919</v>
      </c>
      <c r="J52" s="35">
        <v>6935.53</v>
      </c>
      <c r="K52" s="44" cm="1">
        <f t="array" ref="K52">_xlfn.LET(
    _xlpm.settle,$B$3,
    _xlpm.mat,$D52,
    _xlpm.coupon,10000*$E52/200,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8.791208791208792</v>
      </c>
      <c r="L52" s="37">
        <f t="shared" si="39"/>
        <v>6944.3212087912088</v>
      </c>
      <c r="M52" s="120">
        <v>0.37428714168118804</v>
      </c>
      <c r="N52" s="45">
        <f t="shared" si="40"/>
        <v>3.8573737653264432E-2</v>
      </c>
      <c r="O52" s="99">
        <f t="shared" si="41"/>
        <v>6944.3216120985671</v>
      </c>
      <c r="P52" s="39">
        <f t="shared" si="42"/>
        <v>4.033073582832003E-4</v>
      </c>
      <c r="R52" s="41">
        <f t="shared" si="44"/>
        <v>305</v>
      </c>
      <c r="S52" s="42">
        <f t="shared" si="25"/>
        <v>0</v>
      </c>
      <c r="T52" s="42">
        <f t="shared" ref="T52:CE55" si="55">IF(
    T$6=$R52,
    10000+10000*$E52/200,
    IF(
        AND(T$6&lt;$R52,MOD($R52-T$6,6)=0),
        10000*$E52/200,
        0
    )
)</f>
        <v>100</v>
      </c>
      <c r="U52" s="42">
        <f t="shared" si="55"/>
        <v>0</v>
      </c>
      <c r="V52" s="42">
        <f t="shared" si="55"/>
        <v>100</v>
      </c>
      <c r="W52" s="42">
        <f t="shared" si="55"/>
        <v>0</v>
      </c>
      <c r="X52" s="42">
        <f t="shared" si="55"/>
        <v>100</v>
      </c>
      <c r="Y52" s="42">
        <f t="shared" si="55"/>
        <v>0</v>
      </c>
      <c r="Z52" s="42">
        <f t="shared" si="55"/>
        <v>100</v>
      </c>
      <c r="AA52" s="42">
        <f t="shared" si="55"/>
        <v>0</v>
      </c>
      <c r="AB52" s="42">
        <f t="shared" si="55"/>
        <v>100</v>
      </c>
      <c r="AC52" s="42">
        <f t="shared" si="55"/>
        <v>0</v>
      </c>
      <c r="AD52" s="42">
        <f t="shared" si="55"/>
        <v>100</v>
      </c>
      <c r="AE52" s="42">
        <f t="shared" si="55"/>
        <v>0</v>
      </c>
      <c r="AF52" s="42">
        <f t="shared" si="55"/>
        <v>100</v>
      </c>
      <c r="AG52" s="42">
        <f t="shared" si="55"/>
        <v>0</v>
      </c>
      <c r="AH52" s="42">
        <f t="shared" si="55"/>
        <v>100</v>
      </c>
      <c r="AI52" s="42">
        <f t="shared" si="55"/>
        <v>0</v>
      </c>
      <c r="AJ52" s="42">
        <f t="shared" si="55"/>
        <v>100</v>
      </c>
      <c r="AK52" s="42">
        <f t="shared" si="55"/>
        <v>0</v>
      </c>
      <c r="AL52" s="42">
        <f t="shared" si="55"/>
        <v>100</v>
      </c>
      <c r="AM52" s="42">
        <f t="shared" si="55"/>
        <v>0</v>
      </c>
      <c r="AN52" s="42">
        <f t="shared" si="55"/>
        <v>100</v>
      </c>
      <c r="AO52" s="42">
        <f t="shared" si="55"/>
        <v>0</v>
      </c>
      <c r="AP52" s="42">
        <f t="shared" si="55"/>
        <v>100</v>
      </c>
      <c r="AQ52" s="42">
        <f t="shared" si="55"/>
        <v>0</v>
      </c>
      <c r="AR52" s="42">
        <f t="shared" si="55"/>
        <v>100</v>
      </c>
      <c r="AS52" s="42">
        <f t="shared" si="55"/>
        <v>0</v>
      </c>
      <c r="AT52" s="42">
        <f t="shared" si="55"/>
        <v>100</v>
      </c>
      <c r="AU52" s="42">
        <f t="shared" si="55"/>
        <v>0</v>
      </c>
      <c r="AV52" s="42">
        <f t="shared" si="55"/>
        <v>100</v>
      </c>
      <c r="AW52" s="42">
        <f t="shared" si="55"/>
        <v>0</v>
      </c>
      <c r="AX52" s="42">
        <f t="shared" si="55"/>
        <v>100</v>
      </c>
      <c r="AY52" s="42">
        <f t="shared" si="55"/>
        <v>0</v>
      </c>
      <c r="AZ52" s="42">
        <f t="shared" si="55"/>
        <v>100</v>
      </c>
      <c r="BA52" s="42">
        <f t="shared" si="55"/>
        <v>0</v>
      </c>
      <c r="BB52" s="42">
        <f t="shared" si="55"/>
        <v>100</v>
      </c>
      <c r="BC52" s="42">
        <f t="shared" si="55"/>
        <v>0</v>
      </c>
      <c r="BD52" s="42">
        <f t="shared" si="55"/>
        <v>100</v>
      </c>
      <c r="BE52" s="42">
        <f t="shared" si="55"/>
        <v>0</v>
      </c>
      <c r="BF52" s="42">
        <f t="shared" si="55"/>
        <v>100</v>
      </c>
      <c r="BG52" s="42">
        <f t="shared" si="55"/>
        <v>0</v>
      </c>
      <c r="BH52" s="42">
        <f t="shared" si="55"/>
        <v>100</v>
      </c>
      <c r="BI52" s="42">
        <f t="shared" si="55"/>
        <v>0</v>
      </c>
      <c r="BJ52" s="42">
        <f t="shared" si="55"/>
        <v>100</v>
      </c>
      <c r="BK52" s="42">
        <f t="shared" si="55"/>
        <v>0</v>
      </c>
      <c r="BL52" s="42">
        <f t="shared" si="55"/>
        <v>100</v>
      </c>
      <c r="BM52" s="42">
        <f t="shared" si="55"/>
        <v>0</v>
      </c>
      <c r="BN52" s="42">
        <f t="shared" si="55"/>
        <v>100</v>
      </c>
      <c r="BO52" s="42">
        <f t="shared" si="55"/>
        <v>0</v>
      </c>
      <c r="BP52" s="42">
        <f t="shared" si="55"/>
        <v>100</v>
      </c>
      <c r="BQ52" s="42">
        <f t="shared" si="55"/>
        <v>0</v>
      </c>
      <c r="BR52" s="42">
        <f t="shared" si="55"/>
        <v>100</v>
      </c>
      <c r="BS52" s="42">
        <f t="shared" si="55"/>
        <v>0</v>
      </c>
      <c r="BT52" s="42">
        <f t="shared" si="55"/>
        <v>100</v>
      </c>
      <c r="BU52" s="42">
        <f t="shared" si="55"/>
        <v>0</v>
      </c>
      <c r="BV52" s="42">
        <f t="shared" si="55"/>
        <v>100</v>
      </c>
      <c r="BW52" s="42">
        <f t="shared" si="55"/>
        <v>0</v>
      </c>
      <c r="BX52" s="42">
        <f t="shared" si="55"/>
        <v>100</v>
      </c>
      <c r="BY52" s="42">
        <f t="shared" si="55"/>
        <v>0</v>
      </c>
      <c r="BZ52" s="42">
        <f t="shared" si="55"/>
        <v>100</v>
      </c>
      <c r="CA52" s="42">
        <f t="shared" si="55"/>
        <v>0</v>
      </c>
      <c r="CB52" s="42">
        <f t="shared" si="55"/>
        <v>100</v>
      </c>
      <c r="CC52" s="42">
        <f t="shared" si="55"/>
        <v>0</v>
      </c>
      <c r="CD52" s="42">
        <f t="shared" si="55"/>
        <v>100</v>
      </c>
      <c r="CE52" s="42">
        <f t="shared" si="55"/>
        <v>0</v>
      </c>
      <c r="CF52" s="42">
        <f t="shared" si="54"/>
        <v>100</v>
      </c>
      <c r="CG52" s="42">
        <f t="shared" si="54"/>
        <v>0</v>
      </c>
      <c r="CH52" s="42">
        <f t="shared" si="54"/>
        <v>100</v>
      </c>
      <c r="CI52" s="42">
        <f t="shared" si="54"/>
        <v>0</v>
      </c>
      <c r="CJ52" s="42">
        <f t="shared" si="54"/>
        <v>100</v>
      </c>
      <c r="CK52" s="42">
        <f t="shared" si="54"/>
        <v>0</v>
      </c>
      <c r="CL52" s="42">
        <f t="shared" si="54"/>
        <v>100</v>
      </c>
      <c r="CM52" s="42">
        <f t="shared" si="54"/>
        <v>0</v>
      </c>
      <c r="CN52" s="42">
        <f t="shared" si="54"/>
        <v>100</v>
      </c>
      <c r="CO52" s="42">
        <f t="shared" si="54"/>
        <v>0</v>
      </c>
      <c r="CP52" s="42">
        <f t="shared" si="54"/>
        <v>100</v>
      </c>
      <c r="CQ52" s="42">
        <f t="shared" si="54"/>
        <v>0</v>
      </c>
      <c r="CR52" s="42">
        <f t="shared" si="54"/>
        <v>100</v>
      </c>
      <c r="CS52" s="42">
        <f t="shared" si="54"/>
        <v>0</v>
      </c>
      <c r="CT52" s="42">
        <f t="shared" si="54"/>
        <v>100</v>
      </c>
      <c r="CU52" s="42">
        <f t="shared" si="54"/>
        <v>0</v>
      </c>
      <c r="CV52" s="42">
        <f t="shared" si="54"/>
        <v>100</v>
      </c>
      <c r="CW52" s="42">
        <f t="shared" si="54"/>
        <v>0</v>
      </c>
      <c r="CX52" s="42">
        <f t="shared" si="54"/>
        <v>100</v>
      </c>
      <c r="CY52" s="42">
        <f t="shared" si="54"/>
        <v>0</v>
      </c>
      <c r="CZ52" s="42">
        <f t="shared" si="54"/>
        <v>100</v>
      </c>
      <c r="DA52" s="42">
        <f t="shared" si="54"/>
        <v>0</v>
      </c>
      <c r="DB52" s="42">
        <f t="shared" si="54"/>
        <v>100</v>
      </c>
      <c r="DC52" s="42">
        <f t="shared" si="54"/>
        <v>0</v>
      </c>
      <c r="DD52" s="42">
        <f t="shared" si="54"/>
        <v>100</v>
      </c>
      <c r="DE52" s="42">
        <f t="shared" si="54"/>
        <v>0</v>
      </c>
      <c r="DF52" s="42">
        <f t="shared" si="54"/>
        <v>100</v>
      </c>
      <c r="DG52" s="42">
        <f t="shared" si="54"/>
        <v>0</v>
      </c>
      <c r="DH52" s="42">
        <f t="shared" si="54"/>
        <v>100</v>
      </c>
      <c r="DI52" s="42">
        <f t="shared" si="54"/>
        <v>0</v>
      </c>
      <c r="DJ52" s="42">
        <f t="shared" si="54"/>
        <v>100</v>
      </c>
      <c r="DK52" s="42">
        <f t="shared" si="54"/>
        <v>0</v>
      </c>
      <c r="DL52" s="42">
        <f t="shared" si="54"/>
        <v>100</v>
      </c>
      <c r="DM52" s="42">
        <f t="shared" si="54"/>
        <v>0</v>
      </c>
      <c r="DN52" s="42">
        <f t="shared" si="54"/>
        <v>100</v>
      </c>
      <c r="DO52" s="42">
        <f t="shared" si="54"/>
        <v>0</v>
      </c>
      <c r="DP52" s="42">
        <f t="shared" si="54"/>
        <v>10100</v>
      </c>
      <c r="DQ52" s="42">
        <f t="shared" si="54"/>
        <v>0</v>
      </c>
      <c r="DR52" s="42">
        <f t="shared" si="54"/>
        <v>0</v>
      </c>
      <c r="DS52" s="42">
        <f t="shared" si="54"/>
        <v>0</v>
      </c>
      <c r="DT52" s="42">
        <f t="shared" si="54"/>
        <v>0</v>
      </c>
      <c r="DU52" s="42">
        <f t="shared" si="54"/>
        <v>0</v>
      </c>
      <c r="DV52" s="42">
        <f t="shared" si="54"/>
        <v>0</v>
      </c>
      <c r="DW52" s="42">
        <f t="shared" si="54"/>
        <v>0</v>
      </c>
      <c r="DX52" s="42">
        <f t="shared" si="54"/>
        <v>0</v>
      </c>
      <c r="DY52" s="42">
        <f t="shared" si="54"/>
        <v>0</v>
      </c>
      <c r="DZ52" s="42">
        <f t="shared" si="54"/>
        <v>0</v>
      </c>
      <c r="EA52" s="42">
        <f t="shared" si="54"/>
        <v>0</v>
      </c>
      <c r="EB52" s="42">
        <f t="shared" si="54"/>
        <v>0</v>
      </c>
      <c r="EC52" s="42">
        <f t="shared" si="54"/>
        <v>0</v>
      </c>
      <c r="ED52" s="42">
        <f t="shared" si="54"/>
        <v>0</v>
      </c>
      <c r="EE52" s="42">
        <f t="shared" si="54"/>
        <v>0</v>
      </c>
      <c r="EF52" s="42">
        <f t="shared" si="54"/>
        <v>0</v>
      </c>
      <c r="EG52" s="42">
        <f t="shared" si="54"/>
        <v>0</v>
      </c>
      <c r="EH52" s="42">
        <f t="shared" si="54"/>
        <v>0</v>
      </c>
      <c r="EI52" s="42">
        <f t="shared" si="54"/>
        <v>0</v>
      </c>
      <c r="EJ52" s="42">
        <f t="shared" si="54"/>
        <v>0</v>
      </c>
      <c r="EK52" s="42">
        <f t="shared" si="54"/>
        <v>0</v>
      </c>
      <c r="EL52" s="42">
        <f t="shared" si="54"/>
        <v>0</v>
      </c>
      <c r="EM52" s="42">
        <f t="shared" si="54"/>
        <v>0</v>
      </c>
      <c r="EN52" s="42">
        <f t="shared" si="54"/>
        <v>0</v>
      </c>
      <c r="EO52" s="42">
        <f t="shared" si="54"/>
        <v>0</v>
      </c>
      <c r="EP52" s="42">
        <f t="shared" si="54"/>
        <v>0</v>
      </c>
      <c r="EQ52" s="42">
        <f t="shared" si="52"/>
        <v>0</v>
      </c>
      <c r="ER52" s="42">
        <f t="shared" si="52"/>
        <v>0</v>
      </c>
      <c r="ES52" s="42">
        <f t="shared" si="52"/>
        <v>0</v>
      </c>
      <c r="ET52" s="42">
        <f t="shared" si="52"/>
        <v>0</v>
      </c>
      <c r="EU52" s="42">
        <f t="shared" si="52"/>
        <v>0</v>
      </c>
      <c r="EV52" s="42">
        <f t="shared" si="52"/>
        <v>0</v>
      </c>
      <c r="EW52" s="42">
        <f t="shared" si="52"/>
        <v>0</v>
      </c>
      <c r="EX52" s="42">
        <f t="shared" si="52"/>
        <v>0</v>
      </c>
      <c r="EY52" s="42">
        <f t="shared" si="52"/>
        <v>0</v>
      </c>
      <c r="EZ52" s="42">
        <f t="shared" si="52"/>
        <v>0</v>
      </c>
      <c r="FA52" s="42">
        <f t="shared" si="52"/>
        <v>0</v>
      </c>
      <c r="FB52" s="42">
        <f t="shared" si="52"/>
        <v>0</v>
      </c>
      <c r="FC52" s="42">
        <f t="shared" si="52"/>
        <v>0</v>
      </c>
      <c r="FD52" s="42">
        <f t="shared" si="52"/>
        <v>0</v>
      </c>
      <c r="FE52" s="42">
        <f t="shared" si="52"/>
        <v>0</v>
      </c>
      <c r="FF52" s="42">
        <f t="shared" si="52"/>
        <v>0</v>
      </c>
      <c r="FG52" s="42">
        <f t="shared" si="52"/>
        <v>0</v>
      </c>
      <c r="FH52" s="42">
        <f t="shared" si="52"/>
        <v>0</v>
      </c>
      <c r="FI52" s="42">
        <f t="shared" si="52"/>
        <v>0</v>
      </c>
      <c r="FJ52" s="42">
        <f t="shared" si="52"/>
        <v>0</v>
      </c>
      <c r="FK52" s="42">
        <f t="shared" si="52"/>
        <v>0</v>
      </c>
      <c r="FL52" s="42">
        <f t="shared" si="52"/>
        <v>0</v>
      </c>
      <c r="FM52" s="42">
        <f t="shared" si="52"/>
        <v>0</v>
      </c>
      <c r="FN52" s="42">
        <f t="shared" si="52"/>
        <v>0</v>
      </c>
      <c r="FO52" s="42">
        <f t="shared" si="52"/>
        <v>0</v>
      </c>
      <c r="FP52" s="42">
        <f t="shared" si="52"/>
        <v>0</v>
      </c>
      <c r="FQ52" s="42">
        <f t="shared" si="52"/>
        <v>0</v>
      </c>
      <c r="FR52" s="42">
        <f t="shared" si="52"/>
        <v>0</v>
      </c>
      <c r="FS52" s="42">
        <f t="shared" si="52"/>
        <v>0</v>
      </c>
      <c r="FT52" s="42">
        <f t="shared" si="52"/>
        <v>0</v>
      </c>
      <c r="FU52" s="42">
        <f t="shared" si="52"/>
        <v>0</v>
      </c>
      <c r="FV52" s="42">
        <f t="shared" si="52"/>
        <v>0</v>
      </c>
      <c r="FW52" s="42">
        <f t="shared" si="52"/>
        <v>0</v>
      </c>
      <c r="FX52" s="42">
        <f t="shared" si="52"/>
        <v>0</v>
      </c>
      <c r="FY52" s="42">
        <f t="shared" si="52"/>
        <v>0</v>
      </c>
      <c r="FZ52" s="42">
        <f t="shared" ref="FZ52:GH52" si="56">IF(
    FZ$6=$R52,
    10000+10000*$E52/200,
    IF(
        AND(FZ$6&lt;$R52,MOD($R52-FZ$6,6)=0),
        10000*$E52/200,
        0
    )
)</f>
        <v>0</v>
      </c>
      <c r="GA52" s="42">
        <f t="shared" si="56"/>
        <v>0</v>
      </c>
      <c r="GB52" s="42">
        <f t="shared" si="56"/>
        <v>0</v>
      </c>
      <c r="GC52" s="42">
        <f t="shared" si="56"/>
        <v>0</v>
      </c>
      <c r="GD52" s="42">
        <f t="shared" si="56"/>
        <v>0</v>
      </c>
      <c r="GE52" s="42">
        <f t="shared" si="56"/>
        <v>0</v>
      </c>
      <c r="GF52" s="42">
        <f t="shared" si="56"/>
        <v>0</v>
      </c>
      <c r="GG52" s="42">
        <f t="shared" si="56"/>
        <v>0</v>
      </c>
      <c r="GH52" s="42">
        <f t="shared" si="56"/>
        <v>0</v>
      </c>
    </row>
    <row r="53" spans="1:190" ht="14.5" thickBot="1">
      <c r="B53" s="43" t="s">
        <v>258</v>
      </c>
      <c r="C53" s="31">
        <v>43900</v>
      </c>
      <c r="D53" s="31">
        <v>54857</v>
      </c>
      <c r="E53" s="32">
        <v>1.5</v>
      </c>
      <c r="F53" s="33" t="s">
        <v>46</v>
      </c>
      <c r="G53" s="34">
        <v>317.47000000000003</v>
      </c>
      <c r="H53" s="34">
        <v>9664</v>
      </c>
      <c r="I53" s="32">
        <v>3.7559999999999998</v>
      </c>
      <c r="J53" s="35">
        <v>6244.89</v>
      </c>
      <c r="K53" s="44" cm="1">
        <f t="array" ref="K53">_xlfn.LET(
    _xlpm.settle,$B$3,
    _xlpm.mat,$D53,
    _xlpm.coupon,10000*$E53/200,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6.5934065934065931</v>
      </c>
      <c r="L53" s="37">
        <f t="shared" si="39"/>
        <v>6251.4834065934065</v>
      </c>
      <c r="M53" s="120">
        <v>0.37936810332262516</v>
      </c>
      <c r="N53" s="45">
        <f t="shared" si="40"/>
        <v>3.6607577419318083E-2</v>
      </c>
      <c r="O53" s="99">
        <f t="shared" si="41"/>
        <v>6251.4827168467527</v>
      </c>
      <c r="P53" s="39">
        <f t="shared" si="42"/>
        <v>-6.8974665373389143E-4</v>
      </c>
      <c r="R53" s="41">
        <f t="shared" si="44"/>
        <v>317</v>
      </c>
      <c r="S53" s="42">
        <f t="shared" si="25"/>
        <v>0</v>
      </c>
      <c r="T53" s="42">
        <f t="shared" si="55"/>
        <v>75</v>
      </c>
      <c r="U53" s="42">
        <f t="shared" si="55"/>
        <v>0</v>
      </c>
      <c r="V53" s="42">
        <f t="shared" si="55"/>
        <v>75</v>
      </c>
      <c r="W53" s="42">
        <f t="shared" si="55"/>
        <v>0</v>
      </c>
      <c r="X53" s="42">
        <f t="shared" si="55"/>
        <v>75</v>
      </c>
      <c r="Y53" s="42">
        <f t="shared" si="55"/>
        <v>0</v>
      </c>
      <c r="Z53" s="42">
        <f t="shared" si="55"/>
        <v>75</v>
      </c>
      <c r="AA53" s="42">
        <f t="shared" si="55"/>
        <v>0</v>
      </c>
      <c r="AB53" s="42">
        <f t="shared" si="55"/>
        <v>75</v>
      </c>
      <c r="AC53" s="42">
        <f t="shared" si="55"/>
        <v>0</v>
      </c>
      <c r="AD53" s="42">
        <f t="shared" si="55"/>
        <v>75</v>
      </c>
      <c r="AE53" s="42">
        <f t="shared" si="55"/>
        <v>0</v>
      </c>
      <c r="AF53" s="42">
        <f t="shared" si="55"/>
        <v>75</v>
      </c>
      <c r="AG53" s="42">
        <f t="shared" si="55"/>
        <v>0</v>
      </c>
      <c r="AH53" s="42">
        <f t="shared" si="55"/>
        <v>75</v>
      </c>
      <c r="AI53" s="42">
        <f t="shared" si="55"/>
        <v>0</v>
      </c>
      <c r="AJ53" s="42">
        <f t="shared" si="55"/>
        <v>75</v>
      </c>
      <c r="AK53" s="42">
        <f t="shared" si="55"/>
        <v>0</v>
      </c>
      <c r="AL53" s="42">
        <f t="shared" si="55"/>
        <v>75</v>
      </c>
      <c r="AM53" s="42">
        <f t="shared" si="55"/>
        <v>0</v>
      </c>
      <c r="AN53" s="42">
        <f t="shared" si="55"/>
        <v>75</v>
      </c>
      <c r="AO53" s="42">
        <f t="shared" si="55"/>
        <v>0</v>
      </c>
      <c r="AP53" s="42">
        <f t="shared" si="55"/>
        <v>75</v>
      </c>
      <c r="AQ53" s="42">
        <f t="shared" si="55"/>
        <v>0</v>
      </c>
      <c r="AR53" s="42">
        <f t="shared" si="55"/>
        <v>75</v>
      </c>
      <c r="AS53" s="42">
        <f t="shared" si="55"/>
        <v>0</v>
      </c>
      <c r="AT53" s="42">
        <f t="shared" si="55"/>
        <v>75</v>
      </c>
      <c r="AU53" s="42">
        <f t="shared" si="55"/>
        <v>0</v>
      </c>
      <c r="AV53" s="42">
        <f t="shared" si="55"/>
        <v>75</v>
      </c>
      <c r="AW53" s="42">
        <f t="shared" si="55"/>
        <v>0</v>
      </c>
      <c r="AX53" s="42">
        <f t="shared" si="55"/>
        <v>75</v>
      </c>
      <c r="AY53" s="42">
        <f t="shared" si="55"/>
        <v>0</v>
      </c>
      <c r="AZ53" s="42">
        <f t="shared" si="55"/>
        <v>75</v>
      </c>
      <c r="BA53" s="42">
        <f t="shared" si="55"/>
        <v>0</v>
      </c>
      <c r="BB53" s="42">
        <f t="shared" si="55"/>
        <v>75</v>
      </c>
      <c r="BC53" s="42">
        <f t="shared" si="55"/>
        <v>0</v>
      </c>
      <c r="BD53" s="42">
        <f t="shared" si="55"/>
        <v>75</v>
      </c>
      <c r="BE53" s="42">
        <f t="shared" si="55"/>
        <v>0</v>
      </c>
      <c r="BF53" s="42">
        <f t="shared" si="55"/>
        <v>75</v>
      </c>
      <c r="BG53" s="42">
        <f t="shared" si="55"/>
        <v>0</v>
      </c>
      <c r="BH53" s="42">
        <f t="shared" si="55"/>
        <v>75</v>
      </c>
      <c r="BI53" s="42">
        <f t="shared" si="55"/>
        <v>0</v>
      </c>
      <c r="BJ53" s="42">
        <f t="shared" si="55"/>
        <v>75</v>
      </c>
      <c r="BK53" s="42">
        <f t="shared" si="55"/>
        <v>0</v>
      </c>
      <c r="BL53" s="42">
        <f t="shared" si="55"/>
        <v>75</v>
      </c>
      <c r="BM53" s="42">
        <f t="shared" si="55"/>
        <v>0</v>
      </c>
      <c r="BN53" s="42">
        <f t="shared" si="55"/>
        <v>75</v>
      </c>
      <c r="BO53" s="42">
        <f t="shared" si="55"/>
        <v>0</v>
      </c>
      <c r="BP53" s="42">
        <f t="shared" si="55"/>
        <v>75</v>
      </c>
      <c r="BQ53" s="42">
        <f t="shared" si="55"/>
        <v>0</v>
      </c>
      <c r="BR53" s="42">
        <f t="shared" si="55"/>
        <v>75</v>
      </c>
      <c r="BS53" s="42">
        <f t="shared" si="55"/>
        <v>0</v>
      </c>
      <c r="BT53" s="42">
        <f t="shared" si="55"/>
        <v>75</v>
      </c>
      <c r="BU53" s="42">
        <f t="shared" si="55"/>
        <v>0</v>
      </c>
      <c r="BV53" s="42">
        <f t="shared" si="55"/>
        <v>75</v>
      </c>
      <c r="BW53" s="42">
        <f t="shared" si="55"/>
        <v>0</v>
      </c>
      <c r="BX53" s="42">
        <f t="shared" si="55"/>
        <v>75</v>
      </c>
      <c r="BY53" s="42">
        <f t="shared" si="55"/>
        <v>0</v>
      </c>
      <c r="BZ53" s="42">
        <f t="shared" si="55"/>
        <v>75</v>
      </c>
      <c r="CA53" s="42">
        <f t="shared" si="55"/>
        <v>0</v>
      </c>
      <c r="CB53" s="42">
        <f t="shared" si="55"/>
        <v>75</v>
      </c>
      <c r="CC53" s="42">
        <f t="shared" si="55"/>
        <v>0</v>
      </c>
      <c r="CD53" s="42">
        <f t="shared" si="55"/>
        <v>75</v>
      </c>
      <c r="CE53" s="42">
        <f t="shared" si="55"/>
        <v>0</v>
      </c>
      <c r="CF53" s="42">
        <f t="shared" si="54"/>
        <v>75</v>
      </c>
      <c r="CG53" s="42">
        <f t="shared" si="54"/>
        <v>0</v>
      </c>
      <c r="CH53" s="42">
        <f t="shared" si="54"/>
        <v>75</v>
      </c>
      <c r="CI53" s="42">
        <f t="shared" si="54"/>
        <v>0</v>
      </c>
      <c r="CJ53" s="42">
        <f t="shared" si="54"/>
        <v>75</v>
      </c>
      <c r="CK53" s="42">
        <f t="shared" si="54"/>
        <v>0</v>
      </c>
      <c r="CL53" s="42">
        <f t="shared" si="54"/>
        <v>75</v>
      </c>
      <c r="CM53" s="42">
        <f t="shared" si="54"/>
        <v>0</v>
      </c>
      <c r="CN53" s="42">
        <f t="shared" si="54"/>
        <v>75</v>
      </c>
      <c r="CO53" s="42">
        <f t="shared" si="54"/>
        <v>0</v>
      </c>
      <c r="CP53" s="42">
        <f t="shared" si="54"/>
        <v>75</v>
      </c>
      <c r="CQ53" s="42">
        <f t="shared" si="54"/>
        <v>0</v>
      </c>
      <c r="CR53" s="42">
        <f t="shared" si="54"/>
        <v>75</v>
      </c>
      <c r="CS53" s="42">
        <f t="shared" si="54"/>
        <v>0</v>
      </c>
      <c r="CT53" s="42">
        <f t="shared" si="54"/>
        <v>75</v>
      </c>
      <c r="CU53" s="42">
        <f t="shared" si="54"/>
        <v>0</v>
      </c>
      <c r="CV53" s="42">
        <f t="shared" si="54"/>
        <v>75</v>
      </c>
      <c r="CW53" s="42">
        <f t="shared" si="54"/>
        <v>0</v>
      </c>
      <c r="CX53" s="42">
        <f t="shared" si="54"/>
        <v>75</v>
      </c>
      <c r="CY53" s="42">
        <f t="shared" si="54"/>
        <v>0</v>
      </c>
      <c r="CZ53" s="42">
        <f t="shared" si="54"/>
        <v>75</v>
      </c>
      <c r="DA53" s="42">
        <f t="shared" si="54"/>
        <v>0</v>
      </c>
      <c r="DB53" s="42">
        <f t="shared" si="54"/>
        <v>75</v>
      </c>
      <c r="DC53" s="42">
        <f t="shared" si="54"/>
        <v>0</v>
      </c>
      <c r="DD53" s="42">
        <f t="shared" si="54"/>
        <v>75</v>
      </c>
      <c r="DE53" s="42">
        <f t="shared" si="54"/>
        <v>0</v>
      </c>
      <c r="DF53" s="42">
        <f t="shared" si="54"/>
        <v>75</v>
      </c>
      <c r="DG53" s="42">
        <f t="shared" si="54"/>
        <v>0</v>
      </c>
      <c r="DH53" s="42">
        <f t="shared" si="54"/>
        <v>75</v>
      </c>
      <c r="DI53" s="42">
        <f t="shared" si="54"/>
        <v>0</v>
      </c>
      <c r="DJ53" s="42">
        <f t="shared" si="54"/>
        <v>75</v>
      </c>
      <c r="DK53" s="42">
        <f t="shared" si="54"/>
        <v>0</v>
      </c>
      <c r="DL53" s="42">
        <f t="shared" si="54"/>
        <v>75</v>
      </c>
      <c r="DM53" s="42">
        <f t="shared" si="54"/>
        <v>0</v>
      </c>
      <c r="DN53" s="42">
        <f t="shared" si="54"/>
        <v>75</v>
      </c>
      <c r="DO53" s="42">
        <f t="shared" si="54"/>
        <v>0</v>
      </c>
      <c r="DP53" s="42">
        <f t="shared" si="54"/>
        <v>75</v>
      </c>
      <c r="DQ53" s="42">
        <f t="shared" si="54"/>
        <v>0</v>
      </c>
      <c r="DR53" s="42">
        <f t="shared" si="54"/>
        <v>75</v>
      </c>
      <c r="DS53" s="42">
        <f t="shared" si="54"/>
        <v>0</v>
      </c>
      <c r="DT53" s="42">
        <f t="shared" si="54"/>
        <v>10075</v>
      </c>
      <c r="DU53" s="42">
        <f t="shared" si="54"/>
        <v>0</v>
      </c>
      <c r="DV53" s="42">
        <f t="shared" si="54"/>
        <v>0</v>
      </c>
      <c r="DW53" s="42">
        <f t="shared" si="54"/>
        <v>0</v>
      </c>
      <c r="DX53" s="42">
        <f t="shared" si="54"/>
        <v>0</v>
      </c>
      <c r="DY53" s="42">
        <f t="shared" si="54"/>
        <v>0</v>
      </c>
      <c r="DZ53" s="42">
        <f t="shared" si="54"/>
        <v>0</v>
      </c>
      <c r="EA53" s="42">
        <f t="shared" si="54"/>
        <v>0</v>
      </c>
      <c r="EB53" s="42">
        <f t="shared" si="54"/>
        <v>0</v>
      </c>
      <c r="EC53" s="42">
        <f t="shared" si="54"/>
        <v>0</v>
      </c>
      <c r="ED53" s="42">
        <f t="shared" si="54"/>
        <v>0</v>
      </c>
      <c r="EE53" s="42">
        <f t="shared" si="54"/>
        <v>0</v>
      </c>
      <c r="EF53" s="42">
        <f t="shared" si="54"/>
        <v>0</v>
      </c>
      <c r="EG53" s="42">
        <f t="shared" si="54"/>
        <v>0</v>
      </c>
      <c r="EH53" s="42">
        <f t="shared" si="54"/>
        <v>0</v>
      </c>
      <c r="EI53" s="42">
        <f t="shared" si="54"/>
        <v>0</v>
      </c>
      <c r="EJ53" s="42">
        <f t="shared" si="54"/>
        <v>0</v>
      </c>
      <c r="EK53" s="42">
        <f t="shared" si="54"/>
        <v>0</v>
      </c>
      <c r="EL53" s="42">
        <f t="shared" si="54"/>
        <v>0</v>
      </c>
      <c r="EM53" s="42">
        <f t="shared" si="54"/>
        <v>0</v>
      </c>
      <c r="EN53" s="42">
        <f t="shared" si="54"/>
        <v>0</v>
      </c>
      <c r="EO53" s="42">
        <f t="shared" si="54"/>
        <v>0</v>
      </c>
      <c r="EP53" s="42">
        <f t="shared" si="54"/>
        <v>0</v>
      </c>
      <c r="EQ53" s="42">
        <f t="shared" ref="EQ53:GH58" si="57">IF(
    EQ$6=$R53,
    10000+10000*$E53/200,
    IF(
        AND(EQ$6&lt;$R53,MOD($R53-EQ$6,6)=0),
        10000*$E53/200,
        0
    )
)</f>
        <v>0</v>
      </c>
      <c r="ER53" s="42">
        <f t="shared" si="57"/>
        <v>0</v>
      </c>
      <c r="ES53" s="42">
        <f t="shared" si="57"/>
        <v>0</v>
      </c>
      <c r="ET53" s="42">
        <f t="shared" si="57"/>
        <v>0</v>
      </c>
      <c r="EU53" s="42">
        <f t="shared" si="57"/>
        <v>0</v>
      </c>
      <c r="EV53" s="42">
        <f t="shared" si="57"/>
        <v>0</v>
      </c>
      <c r="EW53" s="42">
        <f t="shared" si="57"/>
        <v>0</v>
      </c>
      <c r="EX53" s="42">
        <f t="shared" si="57"/>
        <v>0</v>
      </c>
      <c r="EY53" s="42">
        <f t="shared" si="57"/>
        <v>0</v>
      </c>
      <c r="EZ53" s="42">
        <f t="shared" si="57"/>
        <v>0</v>
      </c>
      <c r="FA53" s="42">
        <f t="shared" si="57"/>
        <v>0</v>
      </c>
      <c r="FB53" s="42">
        <f t="shared" si="57"/>
        <v>0</v>
      </c>
      <c r="FC53" s="42">
        <f t="shared" si="57"/>
        <v>0</v>
      </c>
      <c r="FD53" s="42">
        <f t="shared" si="57"/>
        <v>0</v>
      </c>
      <c r="FE53" s="42">
        <f t="shared" si="57"/>
        <v>0</v>
      </c>
      <c r="FF53" s="42">
        <f t="shared" si="57"/>
        <v>0</v>
      </c>
      <c r="FG53" s="42">
        <f t="shared" si="57"/>
        <v>0</v>
      </c>
      <c r="FH53" s="42">
        <f t="shared" si="57"/>
        <v>0</v>
      </c>
      <c r="FI53" s="42">
        <f t="shared" si="57"/>
        <v>0</v>
      </c>
      <c r="FJ53" s="42">
        <f t="shared" si="57"/>
        <v>0</v>
      </c>
      <c r="FK53" s="42">
        <f t="shared" si="57"/>
        <v>0</v>
      </c>
      <c r="FL53" s="42">
        <f t="shared" si="57"/>
        <v>0</v>
      </c>
      <c r="FM53" s="42">
        <f t="shared" si="57"/>
        <v>0</v>
      </c>
      <c r="FN53" s="42">
        <f t="shared" si="57"/>
        <v>0</v>
      </c>
      <c r="FO53" s="42">
        <f t="shared" si="57"/>
        <v>0</v>
      </c>
      <c r="FP53" s="42">
        <f t="shared" si="57"/>
        <v>0</v>
      </c>
      <c r="FQ53" s="42">
        <f t="shared" si="57"/>
        <v>0</v>
      </c>
      <c r="FR53" s="42">
        <f t="shared" si="57"/>
        <v>0</v>
      </c>
      <c r="FS53" s="42">
        <f t="shared" si="57"/>
        <v>0</v>
      </c>
      <c r="FT53" s="42">
        <f t="shared" si="57"/>
        <v>0</v>
      </c>
      <c r="FU53" s="42">
        <f t="shared" si="57"/>
        <v>0</v>
      </c>
      <c r="FV53" s="42">
        <f t="shared" si="57"/>
        <v>0</v>
      </c>
      <c r="FW53" s="42">
        <f t="shared" si="57"/>
        <v>0</v>
      </c>
      <c r="FX53" s="42">
        <f t="shared" si="57"/>
        <v>0</v>
      </c>
      <c r="FY53" s="42">
        <f t="shared" si="57"/>
        <v>0</v>
      </c>
      <c r="FZ53" s="42">
        <f t="shared" si="57"/>
        <v>0</v>
      </c>
      <c r="GA53" s="42">
        <f t="shared" si="57"/>
        <v>0</v>
      </c>
      <c r="GB53" s="42">
        <f t="shared" si="57"/>
        <v>0</v>
      </c>
      <c r="GC53" s="42">
        <f t="shared" si="57"/>
        <v>0</v>
      </c>
      <c r="GD53" s="42">
        <f t="shared" si="57"/>
        <v>0</v>
      </c>
      <c r="GE53" s="42">
        <f t="shared" si="57"/>
        <v>0</v>
      </c>
      <c r="GF53" s="42">
        <f t="shared" si="57"/>
        <v>0</v>
      </c>
      <c r="GG53" s="42">
        <f t="shared" si="57"/>
        <v>0</v>
      </c>
      <c r="GH53" s="42">
        <f t="shared" si="57"/>
        <v>0</v>
      </c>
    </row>
    <row r="54" spans="1:190" ht="14.5" thickBot="1">
      <c r="B54" s="43" t="s">
        <v>259</v>
      </c>
      <c r="C54" s="31">
        <v>44265</v>
      </c>
      <c r="D54" s="31">
        <v>55222</v>
      </c>
      <c r="E54" s="32">
        <v>1.875</v>
      </c>
      <c r="F54" s="33" t="s">
        <v>47</v>
      </c>
      <c r="G54" s="34">
        <v>329.47</v>
      </c>
      <c r="H54" s="34">
        <v>10029</v>
      </c>
      <c r="I54" s="32">
        <v>3.8340000000000001</v>
      </c>
      <c r="J54" s="35">
        <v>6699.35</v>
      </c>
      <c r="K54" s="44" cm="1">
        <f t="array" ref="K54">_xlfn.LET(
    _xlpm.settle,$B$3,
    _xlpm.mat,$D54,
    _xlpm.coupon,10000*$E54/200,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8.2417582417582409</v>
      </c>
      <c r="L54" s="37">
        <f t="shared" si="39"/>
        <v>6707.5917582417587</v>
      </c>
      <c r="M54" s="120">
        <v>0.35674061672946145</v>
      </c>
      <c r="N54" s="45">
        <f t="shared" si="40"/>
        <v>3.7513451854345389E-2</v>
      </c>
      <c r="O54" s="99">
        <f t="shared" si="41"/>
        <v>6707.5914949982507</v>
      </c>
      <c r="P54" s="39">
        <f t="shared" si="42"/>
        <v>-2.632435080158757E-4</v>
      </c>
      <c r="R54" s="41">
        <f t="shared" si="44"/>
        <v>329</v>
      </c>
      <c r="S54" s="42">
        <f t="shared" si="25"/>
        <v>0</v>
      </c>
      <c r="T54" s="42">
        <f t="shared" si="55"/>
        <v>93.75</v>
      </c>
      <c r="U54" s="42">
        <f t="shared" si="55"/>
        <v>0</v>
      </c>
      <c r="V54" s="42">
        <f t="shared" si="55"/>
        <v>93.75</v>
      </c>
      <c r="W54" s="42">
        <f t="shared" si="55"/>
        <v>0</v>
      </c>
      <c r="X54" s="42">
        <f t="shared" si="55"/>
        <v>93.75</v>
      </c>
      <c r="Y54" s="42">
        <f t="shared" si="55"/>
        <v>0</v>
      </c>
      <c r="Z54" s="42">
        <f t="shared" si="55"/>
        <v>93.75</v>
      </c>
      <c r="AA54" s="42">
        <f t="shared" si="55"/>
        <v>0</v>
      </c>
      <c r="AB54" s="42">
        <f t="shared" si="55"/>
        <v>93.75</v>
      </c>
      <c r="AC54" s="42">
        <f t="shared" si="55"/>
        <v>0</v>
      </c>
      <c r="AD54" s="42">
        <f t="shared" si="55"/>
        <v>93.75</v>
      </c>
      <c r="AE54" s="42">
        <f t="shared" si="55"/>
        <v>0</v>
      </c>
      <c r="AF54" s="42">
        <f t="shared" si="55"/>
        <v>93.75</v>
      </c>
      <c r="AG54" s="42">
        <f t="shared" si="55"/>
        <v>0</v>
      </c>
      <c r="AH54" s="42">
        <f t="shared" si="55"/>
        <v>93.75</v>
      </c>
      <c r="AI54" s="42">
        <f t="shared" si="55"/>
        <v>0</v>
      </c>
      <c r="AJ54" s="42">
        <f t="shared" si="55"/>
        <v>93.75</v>
      </c>
      <c r="AK54" s="42">
        <f t="shared" si="55"/>
        <v>0</v>
      </c>
      <c r="AL54" s="42">
        <f t="shared" si="55"/>
        <v>93.75</v>
      </c>
      <c r="AM54" s="42">
        <f t="shared" si="55"/>
        <v>0</v>
      </c>
      <c r="AN54" s="42">
        <f t="shared" si="55"/>
        <v>93.75</v>
      </c>
      <c r="AO54" s="42">
        <f t="shared" si="55"/>
        <v>0</v>
      </c>
      <c r="AP54" s="42">
        <f t="shared" si="55"/>
        <v>93.75</v>
      </c>
      <c r="AQ54" s="42">
        <f t="shared" si="55"/>
        <v>0</v>
      </c>
      <c r="AR54" s="42">
        <f t="shared" si="55"/>
        <v>93.75</v>
      </c>
      <c r="AS54" s="42">
        <f t="shared" si="55"/>
        <v>0</v>
      </c>
      <c r="AT54" s="42">
        <f t="shared" si="55"/>
        <v>93.75</v>
      </c>
      <c r="AU54" s="42">
        <f t="shared" si="55"/>
        <v>0</v>
      </c>
      <c r="AV54" s="42">
        <f t="shared" si="55"/>
        <v>93.75</v>
      </c>
      <c r="AW54" s="42">
        <f t="shared" si="55"/>
        <v>0</v>
      </c>
      <c r="AX54" s="42">
        <f t="shared" si="55"/>
        <v>93.75</v>
      </c>
      <c r="AY54" s="42">
        <f t="shared" si="55"/>
        <v>0</v>
      </c>
      <c r="AZ54" s="42">
        <f t="shared" si="55"/>
        <v>93.75</v>
      </c>
      <c r="BA54" s="42">
        <f t="shared" si="55"/>
        <v>0</v>
      </c>
      <c r="BB54" s="42">
        <f t="shared" si="55"/>
        <v>93.75</v>
      </c>
      <c r="BC54" s="42">
        <f t="shared" si="55"/>
        <v>0</v>
      </c>
      <c r="BD54" s="42">
        <f t="shared" si="55"/>
        <v>93.75</v>
      </c>
      <c r="BE54" s="42">
        <f t="shared" si="55"/>
        <v>0</v>
      </c>
      <c r="BF54" s="42">
        <f t="shared" si="55"/>
        <v>93.75</v>
      </c>
      <c r="BG54" s="42">
        <f t="shared" si="55"/>
        <v>0</v>
      </c>
      <c r="BH54" s="42">
        <f t="shared" si="55"/>
        <v>93.75</v>
      </c>
      <c r="BI54" s="42">
        <f t="shared" si="55"/>
        <v>0</v>
      </c>
      <c r="BJ54" s="42">
        <f t="shared" si="55"/>
        <v>93.75</v>
      </c>
      <c r="BK54" s="42">
        <f t="shared" si="55"/>
        <v>0</v>
      </c>
      <c r="BL54" s="42">
        <f t="shared" si="55"/>
        <v>93.75</v>
      </c>
      <c r="BM54" s="42">
        <f t="shared" si="55"/>
        <v>0</v>
      </c>
      <c r="BN54" s="42">
        <f t="shared" si="55"/>
        <v>93.75</v>
      </c>
      <c r="BO54" s="42">
        <f t="shared" si="55"/>
        <v>0</v>
      </c>
      <c r="BP54" s="42">
        <f t="shared" si="55"/>
        <v>93.75</v>
      </c>
      <c r="BQ54" s="42">
        <f t="shared" si="55"/>
        <v>0</v>
      </c>
      <c r="BR54" s="42">
        <f t="shared" si="55"/>
        <v>93.75</v>
      </c>
      <c r="BS54" s="42">
        <f t="shared" si="55"/>
        <v>0</v>
      </c>
      <c r="BT54" s="42">
        <f t="shared" si="55"/>
        <v>93.75</v>
      </c>
      <c r="BU54" s="42">
        <f t="shared" si="55"/>
        <v>0</v>
      </c>
      <c r="BV54" s="42">
        <f t="shared" si="55"/>
        <v>93.75</v>
      </c>
      <c r="BW54" s="42">
        <f t="shared" si="55"/>
        <v>0</v>
      </c>
      <c r="BX54" s="42">
        <f t="shared" si="55"/>
        <v>93.75</v>
      </c>
      <c r="BY54" s="42">
        <f t="shared" si="55"/>
        <v>0</v>
      </c>
      <c r="BZ54" s="42">
        <f t="shared" si="55"/>
        <v>93.75</v>
      </c>
      <c r="CA54" s="42">
        <f t="shared" si="55"/>
        <v>0</v>
      </c>
      <c r="CB54" s="42">
        <f t="shared" si="55"/>
        <v>93.75</v>
      </c>
      <c r="CC54" s="42">
        <f t="shared" si="55"/>
        <v>0</v>
      </c>
      <c r="CD54" s="42">
        <f t="shared" si="55"/>
        <v>93.75</v>
      </c>
      <c r="CE54" s="42">
        <f t="shared" si="55"/>
        <v>0</v>
      </c>
      <c r="CF54" s="42">
        <f t="shared" si="54"/>
        <v>93.75</v>
      </c>
      <c r="CG54" s="42">
        <f t="shared" si="54"/>
        <v>0</v>
      </c>
      <c r="CH54" s="42">
        <f t="shared" si="54"/>
        <v>93.75</v>
      </c>
      <c r="CI54" s="42">
        <f t="shared" si="54"/>
        <v>0</v>
      </c>
      <c r="CJ54" s="42">
        <f t="shared" si="54"/>
        <v>93.75</v>
      </c>
      <c r="CK54" s="42">
        <f t="shared" si="54"/>
        <v>0</v>
      </c>
      <c r="CL54" s="42">
        <f t="shared" si="54"/>
        <v>93.75</v>
      </c>
      <c r="CM54" s="42">
        <f t="shared" si="54"/>
        <v>0</v>
      </c>
      <c r="CN54" s="42">
        <f t="shared" si="54"/>
        <v>93.75</v>
      </c>
      <c r="CO54" s="42">
        <f t="shared" si="54"/>
        <v>0</v>
      </c>
      <c r="CP54" s="42">
        <f t="shared" si="54"/>
        <v>93.75</v>
      </c>
      <c r="CQ54" s="42">
        <f t="shared" si="54"/>
        <v>0</v>
      </c>
      <c r="CR54" s="42">
        <f t="shared" si="54"/>
        <v>93.75</v>
      </c>
      <c r="CS54" s="42">
        <f t="shared" si="54"/>
        <v>0</v>
      </c>
      <c r="CT54" s="42">
        <f t="shared" si="54"/>
        <v>93.75</v>
      </c>
      <c r="CU54" s="42">
        <f t="shared" si="54"/>
        <v>0</v>
      </c>
      <c r="CV54" s="42">
        <f t="shared" si="54"/>
        <v>93.75</v>
      </c>
      <c r="CW54" s="42">
        <f t="shared" si="54"/>
        <v>0</v>
      </c>
      <c r="CX54" s="42">
        <f t="shared" si="54"/>
        <v>93.75</v>
      </c>
      <c r="CY54" s="42">
        <f t="shared" si="54"/>
        <v>0</v>
      </c>
      <c r="CZ54" s="42">
        <f t="shared" si="54"/>
        <v>93.75</v>
      </c>
      <c r="DA54" s="42">
        <f t="shared" si="54"/>
        <v>0</v>
      </c>
      <c r="DB54" s="42">
        <f t="shared" si="54"/>
        <v>93.75</v>
      </c>
      <c r="DC54" s="42">
        <f t="shared" si="54"/>
        <v>0</v>
      </c>
      <c r="DD54" s="42">
        <f t="shared" si="54"/>
        <v>93.75</v>
      </c>
      <c r="DE54" s="42">
        <f t="shared" si="54"/>
        <v>0</v>
      </c>
      <c r="DF54" s="42">
        <f t="shared" si="54"/>
        <v>93.75</v>
      </c>
      <c r="DG54" s="42">
        <f t="shared" si="54"/>
        <v>0</v>
      </c>
      <c r="DH54" s="42">
        <f t="shared" si="54"/>
        <v>93.75</v>
      </c>
      <c r="DI54" s="42">
        <f t="shared" si="54"/>
        <v>0</v>
      </c>
      <c r="DJ54" s="42">
        <f t="shared" si="54"/>
        <v>93.75</v>
      </c>
      <c r="DK54" s="42">
        <f t="shared" si="54"/>
        <v>0</v>
      </c>
      <c r="DL54" s="42">
        <f t="shared" si="54"/>
        <v>93.75</v>
      </c>
      <c r="DM54" s="42">
        <f t="shared" si="54"/>
        <v>0</v>
      </c>
      <c r="DN54" s="42">
        <f t="shared" si="54"/>
        <v>93.75</v>
      </c>
      <c r="DO54" s="42">
        <f t="shared" si="54"/>
        <v>0</v>
      </c>
      <c r="DP54" s="42">
        <f t="shared" si="54"/>
        <v>93.75</v>
      </c>
      <c r="DQ54" s="42">
        <f t="shared" si="54"/>
        <v>0</v>
      </c>
      <c r="DR54" s="42">
        <f t="shared" si="54"/>
        <v>93.75</v>
      </c>
      <c r="DS54" s="42">
        <f t="shared" si="54"/>
        <v>0</v>
      </c>
      <c r="DT54" s="42">
        <f t="shared" si="54"/>
        <v>93.75</v>
      </c>
      <c r="DU54" s="42">
        <f t="shared" si="54"/>
        <v>0</v>
      </c>
      <c r="DV54" s="42">
        <f t="shared" si="54"/>
        <v>93.75</v>
      </c>
      <c r="DW54" s="42">
        <f t="shared" si="54"/>
        <v>0</v>
      </c>
      <c r="DX54" s="42">
        <f t="shared" si="54"/>
        <v>10093.75</v>
      </c>
      <c r="DY54" s="42">
        <f t="shared" si="54"/>
        <v>0</v>
      </c>
      <c r="DZ54" s="42">
        <f t="shared" si="54"/>
        <v>0</v>
      </c>
      <c r="EA54" s="42">
        <f t="shared" si="54"/>
        <v>0</v>
      </c>
      <c r="EB54" s="42">
        <f t="shared" si="54"/>
        <v>0</v>
      </c>
      <c r="EC54" s="42">
        <f t="shared" si="54"/>
        <v>0</v>
      </c>
      <c r="ED54" s="42">
        <f t="shared" si="54"/>
        <v>0</v>
      </c>
      <c r="EE54" s="42">
        <f t="shared" si="54"/>
        <v>0</v>
      </c>
      <c r="EF54" s="42">
        <f t="shared" si="54"/>
        <v>0</v>
      </c>
      <c r="EG54" s="42">
        <f t="shared" si="54"/>
        <v>0</v>
      </c>
      <c r="EH54" s="42">
        <f t="shared" si="54"/>
        <v>0</v>
      </c>
      <c r="EI54" s="42">
        <f t="shared" si="54"/>
        <v>0</v>
      </c>
      <c r="EJ54" s="42">
        <f t="shared" si="54"/>
        <v>0</v>
      </c>
      <c r="EK54" s="42">
        <f t="shared" si="54"/>
        <v>0</v>
      </c>
      <c r="EL54" s="42">
        <f t="shared" si="54"/>
        <v>0</v>
      </c>
      <c r="EM54" s="42">
        <f t="shared" si="54"/>
        <v>0</v>
      </c>
      <c r="EN54" s="42">
        <f t="shared" si="54"/>
        <v>0</v>
      </c>
      <c r="EO54" s="42">
        <f t="shared" si="54"/>
        <v>0</v>
      </c>
      <c r="EP54" s="42">
        <f t="shared" si="54"/>
        <v>0</v>
      </c>
      <c r="EQ54" s="42">
        <f t="shared" si="57"/>
        <v>0</v>
      </c>
      <c r="ER54" s="42">
        <f t="shared" si="57"/>
        <v>0</v>
      </c>
      <c r="ES54" s="42">
        <f t="shared" si="57"/>
        <v>0</v>
      </c>
      <c r="ET54" s="42">
        <f t="shared" si="57"/>
        <v>0</v>
      </c>
      <c r="EU54" s="42">
        <f t="shared" si="57"/>
        <v>0</v>
      </c>
      <c r="EV54" s="42">
        <f t="shared" si="57"/>
        <v>0</v>
      </c>
      <c r="EW54" s="42">
        <f t="shared" si="57"/>
        <v>0</v>
      </c>
      <c r="EX54" s="42">
        <f t="shared" si="57"/>
        <v>0</v>
      </c>
      <c r="EY54" s="42">
        <f t="shared" si="57"/>
        <v>0</v>
      </c>
      <c r="EZ54" s="42">
        <f t="shared" si="57"/>
        <v>0</v>
      </c>
      <c r="FA54" s="42">
        <f t="shared" si="57"/>
        <v>0</v>
      </c>
      <c r="FB54" s="42">
        <f t="shared" si="57"/>
        <v>0</v>
      </c>
      <c r="FC54" s="42">
        <f t="shared" si="57"/>
        <v>0</v>
      </c>
      <c r="FD54" s="42">
        <f t="shared" si="57"/>
        <v>0</v>
      </c>
      <c r="FE54" s="42">
        <f t="shared" si="57"/>
        <v>0</v>
      </c>
      <c r="FF54" s="42">
        <f t="shared" si="57"/>
        <v>0</v>
      </c>
      <c r="FG54" s="42">
        <f t="shared" si="57"/>
        <v>0</v>
      </c>
      <c r="FH54" s="42">
        <f t="shared" si="57"/>
        <v>0</v>
      </c>
      <c r="FI54" s="42">
        <f t="shared" si="57"/>
        <v>0</v>
      </c>
      <c r="FJ54" s="42">
        <f t="shared" si="57"/>
        <v>0</v>
      </c>
      <c r="FK54" s="42">
        <f t="shared" si="57"/>
        <v>0</v>
      </c>
      <c r="FL54" s="42">
        <f t="shared" si="57"/>
        <v>0</v>
      </c>
      <c r="FM54" s="42">
        <f t="shared" si="57"/>
        <v>0</v>
      </c>
      <c r="FN54" s="42">
        <f t="shared" si="57"/>
        <v>0</v>
      </c>
      <c r="FO54" s="42">
        <f t="shared" si="57"/>
        <v>0</v>
      </c>
      <c r="FP54" s="42">
        <f t="shared" si="57"/>
        <v>0</v>
      </c>
      <c r="FQ54" s="42">
        <f t="shared" si="57"/>
        <v>0</v>
      </c>
      <c r="FR54" s="42">
        <f t="shared" si="57"/>
        <v>0</v>
      </c>
      <c r="FS54" s="42">
        <f t="shared" si="57"/>
        <v>0</v>
      </c>
      <c r="FT54" s="42">
        <f t="shared" si="57"/>
        <v>0</v>
      </c>
      <c r="FU54" s="42">
        <f t="shared" si="57"/>
        <v>0</v>
      </c>
      <c r="FV54" s="42">
        <f t="shared" si="57"/>
        <v>0</v>
      </c>
      <c r="FW54" s="42">
        <f t="shared" si="57"/>
        <v>0</v>
      </c>
      <c r="FX54" s="42">
        <f t="shared" si="57"/>
        <v>0</v>
      </c>
      <c r="FY54" s="42">
        <f t="shared" si="57"/>
        <v>0</v>
      </c>
      <c r="FZ54" s="42">
        <f t="shared" si="57"/>
        <v>0</v>
      </c>
      <c r="GA54" s="42">
        <f t="shared" si="57"/>
        <v>0</v>
      </c>
      <c r="GB54" s="42">
        <f t="shared" si="57"/>
        <v>0</v>
      </c>
      <c r="GC54" s="42">
        <f t="shared" si="57"/>
        <v>0</v>
      </c>
      <c r="GD54" s="42">
        <f t="shared" si="57"/>
        <v>0</v>
      </c>
      <c r="GE54" s="42">
        <f t="shared" si="57"/>
        <v>0</v>
      </c>
      <c r="GF54" s="42">
        <f t="shared" si="57"/>
        <v>0</v>
      </c>
      <c r="GG54" s="42">
        <f t="shared" si="57"/>
        <v>0</v>
      </c>
      <c r="GH54" s="42">
        <f t="shared" si="57"/>
        <v>0</v>
      </c>
    </row>
    <row r="55" spans="1:190" ht="14.5" thickBot="1">
      <c r="B55" s="43" t="s">
        <v>260</v>
      </c>
      <c r="C55" s="31">
        <v>44630</v>
      </c>
      <c r="D55" s="31">
        <v>55588</v>
      </c>
      <c r="E55" s="32">
        <v>2.5</v>
      </c>
      <c r="F55" s="33" t="s">
        <v>48</v>
      </c>
      <c r="G55" s="34">
        <v>341.47</v>
      </c>
      <c r="H55" s="34">
        <v>10394</v>
      </c>
      <c r="I55" s="32">
        <v>3.9249999999999998</v>
      </c>
      <c r="J55" s="35">
        <v>7581.83</v>
      </c>
      <c r="K55" s="44" cm="1">
        <f t="array" ref="K55">_xlfn.LET(
    _xlpm.settle,$B$3,
    _xlpm.mat,$D55,
    _xlpm.coupon,10000*$E55/200,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10.989010989010989</v>
      </c>
      <c r="L55" s="37">
        <f t="shared" si="39"/>
        <v>7592.8190109890111</v>
      </c>
      <c r="M55" s="120">
        <v>0.33213614685437287</v>
      </c>
      <c r="N55" s="45">
        <f t="shared" si="40"/>
        <v>3.8705672920174808E-2</v>
      </c>
      <c r="O55" s="99">
        <f t="shared" si="41"/>
        <v>7592.8195838571992</v>
      </c>
      <c r="P55" s="39">
        <f t="shared" si="42"/>
        <v>5.7286818810098339E-4</v>
      </c>
      <c r="R55" s="41">
        <f t="shared" si="44"/>
        <v>341</v>
      </c>
      <c r="S55" s="42">
        <f t="shared" si="25"/>
        <v>0</v>
      </c>
      <c r="T55" s="42">
        <f t="shared" si="55"/>
        <v>125</v>
      </c>
      <c r="U55" s="42">
        <f t="shared" si="55"/>
        <v>0</v>
      </c>
      <c r="V55" s="42">
        <f t="shared" si="55"/>
        <v>125</v>
      </c>
      <c r="W55" s="42">
        <f t="shared" si="55"/>
        <v>0</v>
      </c>
      <c r="X55" s="42">
        <f t="shared" si="55"/>
        <v>125</v>
      </c>
      <c r="Y55" s="42">
        <f t="shared" si="55"/>
        <v>0</v>
      </c>
      <c r="Z55" s="42">
        <f t="shared" si="55"/>
        <v>125</v>
      </c>
      <c r="AA55" s="42">
        <f t="shared" si="55"/>
        <v>0</v>
      </c>
      <c r="AB55" s="42">
        <f t="shared" si="55"/>
        <v>125</v>
      </c>
      <c r="AC55" s="42">
        <f t="shared" si="55"/>
        <v>0</v>
      </c>
      <c r="AD55" s="42">
        <f t="shared" si="55"/>
        <v>125</v>
      </c>
      <c r="AE55" s="42">
        <f t="shared" si="55"/>
        <v>0</v>
      </c>
      <c r="AF55" s="42">
        <f t="shared" si="55"/>
        <v>125</v>
      </c>
      <c r="AG55" s="42">
        <f t="shared" si="55"/>
        <v>0</v>
      </c>
      <c r="AH55" s="42">
        <f t="shared" si="55"/>
        <v>125</v>
      </c>
      <c r="AI55" s="42">
        <f t="shared" si="55"/>
        <v>0</v>
      </c>
      <c r="AJ55" s="42">
        <f t="shared" si="55"/>
        <v>125</v>
      </c>
      <c r="AK55" s="42">
        <f t="shared" si="55"/>
        <v>0</v>
      </c>
      <c r="AL55" s="42">
        <f t="shared" si="55"/>
        <v>125</v>
      </c>
      <c r="AM55" s="42">
        <f t="shared" si="55"/>
        <v>0</v>
      </c>
      <c r="AN55" s="42">
        <f t="shared" si="55"/>
        <v>125</v>
      </c>
      <c r="AO55" s="42">
        <f t="shared" si="55"/>
        <v>0</v>
      </c>
      <c r="AP55" s="42">
        <f t="shared" si="55"/>
        <v>125</v>
      </c>
      <c r="AQ55" s="42">
        <f t="shared" si="55"/>
        <v>0</v>
      </c>
      <c r="AR55" s="42">
        <f t="shared" si="55"/>
        <v>125</v>
      </c>
      <c r="AS55" s="42">
        <f t="shared" si="55"/>
        <v>0</v>
      </c>
      <c r="AT55" s="42">
        <f t="shared" si="55"/>
        <v>125</v>
      </c>
      <c r="AU55" s="42">
        <f t="shared" si="55"/>
        <v>0</v>
      </c>
      <c r="AV55" s="42">
        <f t="shared" si="55"/>
        <v>125</v>
      </c>
      <c r="AW55" s="42">
        <f t="shared" si="55"/>
        <v>0</v>
      </c>
      <c r="AX55" s="42">
        <f t="shared" si="55"/>
        <v>125</v>
      </c>
      <c r="AY55" s="42">
        <f t="shared" si="55"/>
        <v>0</v>
      </c>
      <c r="AZ55" s="42">
        <f t="shared" si="55"/>
        <v>125</v>
      </c>
      <c r="BA55" s="42">
        <f t="shared" si="55"/>
        <v>0</v>
      </c>
      <c r="BB55" s="42">
        <f t="shared" si="55"/>
        <v>125</v>
      </c>
      <c r="BC55" s="42">
        <f t="shared" si="55"/>
        <v>0</v>
      </c>
      <c r="BD55" s="42">
        <f t="shared" si="55"/>
        <v>125</v>
      </c>
      <c r="BE55" s="42">
        <f t="shared" si="55"/>
        <v>0</v>
      </c>
      <c r="BF55" s="42">
        <f t="shared" si="55"/>
        <v>125</v>
      </c>
      <c r="BG55" s="42">
        <f t="shared" si="55"/>
        <v>0</v>
      </c>
      <c r="BH55" s="42">
        <f t="shared" si="55"/>
        <v>125</v>
      </c>
      <c r="BI55" s="42">
        <f t="shared" si="55"/>
        <v>0</v>
      </c>
      <c r="BJ55" s="42">
        <f t="shared" si="55"/>
        <v>125</v>
      </c>
      <c r="BK55" s="42">
        <f t="shared" si="55"/>
        <v>0</v>
      </c>
      <c r="BL55" s="42">
        <f t="shared" si="55"/>
        <v>125</v>
      </c>
      <c r="BM55" s="42">
        <f t="shared" si="55"/>
        <v>0</v>
      </c>
      <c r="BN55" s="42">
        <f t="shared" si="55"/>
        <v>125</v>
      </c>
      <c r="BO55" s="42">
        <f t="shared" si="55"/>
        <v>0</v>
      </c>
      <c r="BP55" s="42">
        <f t="shared" si="55"/>
        <v>125</v>
      </c>
      <c r="BQ55" s="42">
        <f t="shared" si="55"/>
        <v>0</v>
      </c>
      <c r="BR55" s="42">
        <f t="shared" si="55"/>
        <v>125</v>
      </c>
      <c r="BS55" s="42">
        <f t="shared" si="55"/>
        <v>0</v>
      </c>
      <c r="BT55" s="42">
        <f t="shared" si="55"/>
        <v>125</v>
      </c>
      <c r="BU55" s="42">
        <f t="shared" si="55"/>
        <v>0</v>
      </c>
      <c r="BV55" s="42">
        <f t="shared" si="55"/>
        <v>125</v>
      </c>
      <c r="BW55" s="42">
        <f t="shared" si="55"/>
        <v>0</v>
      </c>
      <c r="BX55" s="42">
        <f t="shared" si="55"/>
        <v>125</v>
      </c>
      <c r="BY55" s="42">
        <f t="shared" si="55"/>
        <v>0</v>
      </c>
      <c r="BZ55" s="42">
        <f t="shared" si="55"/>
        <v>125</v>
      </c>
      <c r="CA55" s="42">
        <f t="shared" si="55"/>
        <v>0</v>
      </c>
      <c r="CB55" s="42">
        <f t="shared" si="55"/>
        <v>125</v>
      </c>
      <c r="CC55" s="42">
        <f t="shared" si="55"/>
        <v>0</v>
      </c>
      <c r="CD55" s="42">
        <f t="shared" si="55"/>
        <v>125</v>
      </c>
      <c r="CE55" s="42">
        <f t="shared" ref="CE55:EP58" si="58">IF(
    CE$6=$R55,
    10000+10000*$E55/200,
    IF(
        AND(CE$6&lt;$R55,MOD($R55-CE$6,6)=0),
        10000*$E55/200,
        0
    )
)</f>
        <v>0</v>
      </c>
      <c r="CF55" s="42">
        <f t="shared" si="58"/>
        <v>125</v>
      </c>
      <c r="CG55" s="42">
        <f t="shared" si="58"/>
        <v>0</v>
      </c>
      <c r="CH55" s="42">
        <f t="shared" si="58"/>
        <v>125</v>
      </c>
      <c r="CI55" s="42">
        <f t="shared" si="58"/>
        <v>0</v>
      </c>
      <c r="CJ55" s="42">
        <f t="shared" si="58"/>
        <v>125</v>
      </c>
      <c r="CK55" s="42">
        <f t="shared" si="58"/>
        <v>0</v>
      </c>
      <c r="CL55" s="42">
        <f t="shared" si="58"/>
        <v>125</v>
      </c>
      <c r="CM55" s="42">
        <f t="shared" si="58"/>
        <v>0</v>
      </c>
      <c r="CN55" s="42">
        <f t="shared" si="58"/>
        <v>125</v>
      </c>
      <c r="CO55" s="42">
        <f t="shared" si="58"/>
        <v>0</v>
      </c>
      <c r="CP55" s="42">
        <f t="shared" si="58"/>
        <v>125</v>
      </c>
      <c r="CQ55" s="42">
        <f t="shared" si="58"/>
        <v>0</v>
      </c>
      <c r="CR55" s="42">
        <f t="shared" si="58"/>
        <v>125</v>
      </c>
      <c r="CS55" s="42">
        <f t="shared" si="58"/>
        <v>0</v>
      </c>
      <c r="CT55" s="42">
        <f t="shared" si="58"/>
        <v>125</v>
      </c>
      <c r="CU55" s="42">
        <f t="shared" si="58"/>
        <v>0</v>
      </c>
      <c r="CV55" s="42">
        <f t="shared" si="58"/>
        <v>125</v>
      </c>
      <c r="CW55" s="42">
        <f t="shared" si="58"/>
        <v>0</v>
      </c>
      <c r="CX55" s="42">
        <f t="shared" si="58"/>
        <v>125</v>
      </c>
      <c r="CY55" s="42">
        <f t="shared" si="58"/>
        <v>0</v>
      </c>
      <c r="CZ55" s="42">
        <f t="shared" si="58"/>
        <v>125</v>
      </c>
      <c r="DA55" s="42">
        <f t="shared" si="58"/>
        <v>0</v>
      </c>
      <c r="DB55" s="42">
        <f t="shared" si="58"/>
        <v>125</v>
      </c>
      <c r="DC55" s="42">
        <f t="shared" si="58"/>
        <v>0</v>
      </c>
      <c r="DD55" s="42">
        <f t="shared" si="58"/>
        <v>125</v>
      </c>
      <c r="DE55" s="42">
        <f t="shared" si="58"/>
        <v>0</v>
      </c>
      <c r="DF55" s="42">
        <f t="shared" si="58"/>
        <v>125</v>
      </c>
      <c r="DG55" s="42">
        <f t="shared" si="58"/>
        <v>0</v>
      </c>
      <c r="DH55" s="42">
        <f t="shared" si="58"/>
        <v>125</v>
      </c>
      <c r="DI55" s="42">
        <f t="shared" si="58"/>
        <v>0</v>
      </c>
      <c r="DJ55" s="42">
        <f t="shared" si="58"/>
        <v>125</v>
      </c>
      <c r="DK55" s="42">
        <f t="shared" si="58"/>
        <v>0</v>
      </c>
      <c r="DL55" s="42">
        <f t="shared" si="58"/>
        <v>125</v>
      </c>
      <c r="DM55" s="42">
        <f t="shared" si="58"/>
        <v>0</v>
      </c>
      <c r="DN55" s="42">
        <f t="shared" si="58"/>
        <v>125</v>
      </c>
      <c r="DO55" s="42">
        <f t="shared" si="58"/>
        <v>0</v>
      </c>
      <c r="DP55" s="42">
        <f t="shared" si="58"/>
        <v>125</v>
      </c>
      <c r="DQ55" s="42">
        <f t="shared" si="58"/>
        <v>0</v>
      </c>
      <c r="DR55" s="42">
        <f t="shared" si="58"/>
        <v>125</v>
      </c>
      <c r="DS55" s="42">
        <f t="shared" si="58"/>
        <v>0</v>
      </c>
      <c r="DT55" s="42">
        <f t="shared" si="58"/>
        <v>125</v>
      </c>
      <c r="DU55" s="42">
        <f t="shared" si="58"/>
        <v>0</v>
      </c>
      <c r="DV55" s="42">
        <f t="shared" si="58"/>
        <v>125</v>
      </c>
      <c r="DW55" s="42">
        <f t="shared" si="58"/>
        <v>0</v>
      </c>
      <c r="DX55" s="42">
        <f t="shared" si="58"/>
        <v>125</v>
      </c>
      <c r="DY55" s="42">
        <f t="shared" si="58"/>
        <v>0</v>
      </c>
      <c r="DZ55" s="42">
        <f t="shared" si="58"/>
        <v>125</v>
      </c>
      <c r="EA55" s="42">
        <f t="shared" si="58"/>
        <v>0</v>
      </c>
      <c r="EB55" s="42">
        <f t="shared" si="58"/>
        <v>10125</v>
      </c>
      <c r="EC55" s="42">
        <f t="shared" si="58"/>
        <v>0</v>
      </c>
      <c r="ED55" s="42">
        <f t="shared" si="58"/>
        <v>0</v>
      </c>
      <c r="EE55" s="42">
        <f t="shared" si="58"/>
        <v>0</v>
      </c>
      <c r="EF55" s="42">
        <f t="shared" si="58"/>
        <v>0</v>
      </c>
      <c r="EG55" s="42">
        <f t="shared" si="58"/>
        <v>0</v>
      </c>
      <c r="EH55" s="42">
        <f t="shared" si="58"/>
        <v>0</v>
      </c>
      <c r="EI55" s="42">
        <f t="shared" si="58"/>
        <v>0</v>
      </c>
      <c r="EJ55" s="42">
        <f t="shared" si="58"/>
        <v>0</v>
      </c>
      <c r="EK55" s="42">
        <f t="shared" si="58"/>
        <v>0</v>
      </c>
      <c r="EL55" s="42">
        <f t="shared" si="58"/>
        <v>0</v>
      </c>
      <c r="EM55" s="42">
        <f t="shared" si="58"/>
        <v>0</v>
      </c>
      <c r="EN55" s="42">
        <f t="shared" si="58"/>
        <v>0</v>
      </c>
      <c r="EO55" s="42">
        <f t="shared" si="58"/>
        <v>0</v>
      </c>
      <c r="EP55" s="42">
        <f t="shared" si="58"/>
        <v>0</v>
      </c>
      <c r="EQ55" s="42">
        <f t="shared" si="57"/>
        <v>0</v>
      </c>
      <c r="ER55" s="42">
        <f t="shared" si="57"/>
        <v>0</v>
      </c>
      <c r="ES55" s="42">
        <f t="shared" si="57"/>
        <v>0</v>
      </c>
      <c r="ET55" s="42">
        <f t="shared" si="57"/>
        <v>0</v>
      </c>
      <c r="EU55" s="42">
        <f t="shared" si="57"/>
        <v>0</v>
      </c>
      <c r="EV55" s="42">
        <f t="shared" si="57"/>
        <v>0</v>
      </c>
      <c r="EW55" s="42">
        <f t="shared" si="57"/>
        <v>0</v>
      </c>
      <c r="EX55" s="42">
        <f t="shared" si="57"/>
        <v>0</v>
      </c>
      <c r="EY55" s="42">
        <f t="shared" si="57"/>
        <v>0</v>
      </c>
      <c r="EZ55" s="42">
        <f t="shared" si="57"/>
        <v>0</v>
      </c>
      <c r="FA55" s="42">
        <f t="shared" si="57"/>
        <v>0</v>
      </c>
      <c r="FB55" s="42">
        <f t="shared" si="57"/>
        <v>0</v>
      </c>
      <c r="FC55" s="42">
        <f t="shared" si="57"/>
        <v>0</v>
      </c>
      <c r="FD55" s="42">
        <f t="shared" si="57"/>
        <v>0</v>
      </c>
      <c r="FE55" s="42">
        <f t="shared" si="57"/>
        <v>0</v>
      </c>
      <c r="FF55" s="42">
        <f t="shared" si="57"/>
        <v>0</v>
      </c>
      <c r="FG55" s="42">
        <f t="shared" si="57"/>
        <v>0</v>
      </c>
      <c r="FH55" s="42">
        <f t="shared" si="57"/>
        <v>0</v>
      </c>
      <c r="FI55" s="42">
        <f t="shared" si="57"/>
        <v>0</v>
      </c>
      <c r="FJ55" s="42">
        <f t="shared" si="57"/>
        <v>0</v>
      </c>
      <c r="FK55" s="42">
        <f t="shared" si="57"/>
        <v>0</v>
      </c>
      <c r="FL55" s="42">
        <f t="shared" si="57"/>
        <v>0</v>
      </c>
      <c r="FM55" s="42">
        <f t="shared" si="57"/>
        <v>0</v>
      </c>
      <c r="FN55" s="42">
        <f t="shared" si="57"/>
        <v>0</v>
      </c>
      <c r="FO55" s="42">
        <f t="shared" si="57"/>
        <v>0</v>
      </c>
      <c r="FP55" s="42">
        <f t="shared" si="57"/>
        <v>0</v>
      </c>
      <c r="FQ55" s="42">
        <f t="shared" si="57"/>
        <v>0</v>
      </c>
      <c r="FR55" s="42">
        <f t="shared" si="57"/>
        <v>0</v>
      </c>
      <c r="FS55" s="42">
        <f t="shared" si="57"/>
        <v>0</v>
      </c>
      <c r="FT55" s="42">
        <f t="shared" si="57"/>
        <v>0</v>
      </c>
      <c r="FU55" s="42">
        <f t="shared" si="57"/>
        <v>0</v>
      </c>
      <c r="FV55" s="42">
        <f t="shared" si="57"/>
        <v>0</v>
      </c>
      <c r="FW55" s="42">
        <f t="shared" si="57"/>
        <v>0</v>
      </c>
      <c r="FX55" s="42">
        <f t="shared" si="57"/>
        <v>0</v>
      </c>
      <c r="FY55" s="42">
        <f t="shared" si="57"/>
        <v>0</v>
      </c>
      <c r="FZ55" s="42">
        <f t="shared" si="57"/>
        <v>0</v>
      </c>
      <c r="GA55" s="42">
        <f t="shared" si="57"/>
        <v>0</v>
      </c>
      <c r="GB55" s="42">
        <f t="shared" si="57"/>
        <v>0</v>
      </c>
      <c r="GC55" s="42">
        <f t="shared" si="57"/>
        <v>0</v>
      </c>
      <c r="GD55" s="42">
        <f t="shared" si="57"/>
        <v>0</v>
      </c>
      <c r="GE55" s="42">
        <f t="shared" si="57"/>
        <v>0</v>
      </c>
      <c r="GF55" s="42">
        <f t="shared" si="57"/>
        <v>0</v>
      </c>
      <c r="GG55" s="42">
        <f t="shared" si="57"/>
        <v>0</v>
      </c>
      <c r="GH55" s="42">
        <f t="shared" si="57"/>
        <v>0</v>
      </c>
    </row>
    <row r="56" spans="1:190" ht="14.5" thickBot="1">
      <c r="B56" s="43" t="s">
        <v>261</v>
      </c>
      <c r="C56" s="31">
        <v>44814</v>
      </c>
      <c r="D56" s="31">
        <v>55772</v>
      </c>
      <c r="E56" s="32">
        <v>3.125</v>
      </c>
      <c r="F56" s="33" t="s">
        <v>49</v>
      </c>
      <c r="G56" s="34">
        <v>347.47</v>
      </c>
      <c r="H56" s="34">
        <v>10576</v>
      </c>
      <c r="I56" s="32">
        <v>3.9289999999999998</v>
      </c>
      <c r="J56" s="35">
        <v>8631.32</v>
      </c>
      <c r="K56" s="44" cm="1">
        <f t="array" ref="K56">_xlfn.LET(
    _xlpm.settle,$B$3,
    _xlpm.mat,$D56,
    _xlpm.coupon,10000*$E56/200,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13.736263736263735</v>
      </c>
      <c r="L56" s="37">
        <f t="shared" si="39"/>
        <v>8645.0562637362636</v>
      </c>
      <c r="M56" s="120">
        <v>0.32548767189974692</v>
      </c>
      <c r="N56" s="45">
        <f t="shared" si="40"/>
        <v>3.8737443525484631E-2</v>
      </c>
      <c r="O56" s="99">
        <f t="shared" si="41"/>
        <v>8645.0568118736446</v>
      </c>
      <c r="P56" s="39">
        <f t="shared" si="42"/>
        <v>5.4813738097436726E-4</v>
      </c>
      <c r="R56" s="41">
        <f t="shared" si="44"/>
        <v>347</v>
      </c>
      <c r="S56" s="42">
        <f t="shared" si="25"/>
        <v>0</v>
      </c>
      <c r="T56" s="42">
        <f t="shared" ref="T56:CE59" si="59">IF(
    T$6=$R56,
    10000+10000*$E56/200,
    IF(
        AND(T$6&lt;$R56,MOD($R56-T$6,6)=0),
        10000*$E56/200,
        0
    )
)</f>
        <v>156.25</v>
      </c>
      <c r="U56" s="42">
        <f t="shared" si="59"/>
        <v>0</v>
      </c>
      <c r="V56" s="42">
        <f t="shared" si="59"/>
        <v>156.25</v>
      </c>
      <c r="W56" s="42">
        <f t="shared" si="59"/>
        <v>0</v>
      </c>
      <c r="X56" s="42">
        <f t="shared" si="59"/>
        <v>156.25</v>
      </c>
      <c r="Y56" s="42">
        <f t="shared" si="59"/>
        <v>0</v>
      </c>
      <c r="Z56" s="42">
        <f t="shared" si="59"/>
        <v>156.25</v>
      </c>
      <c r="AA56" s="42">
        <f t="shared" si="59"/>
        <v>0</v>
      </c>
      <c r="AB56" s="42">
        <f t="shared" si="59"/>
        <v>156.25</v>
      </c>
      <c r="AC56" s="42">
        <f t="shared" si="59"/>
        <v>0</v>
      </c>
      <c r="AD56" s="42">
        <f t="shared" si="59"/>
        <v>156.25</v>
      </c>
      <c r="AE56" s="42">
        <f t="shared" si="59"/>
        <v>0</v>
      </c>
      <c r="AF56" s="42">
        <f t="shared" si="59"/>
        <v>156.25</v>
      </c>
      <c r="AG56" s="42">
        <f t="shared" si="59"/>
        <v>0</v>
      </c>
      <c r="AH56" s="42">
        <f t="shared" si="59"/>
        <v>156.25</v>
      </c>
      <c r="AI56" s="42">
        <f t="shared" si="59"/>
        <v>0</v>
      </c>
      <c r="AJ56" s="42">
        <f t="shared" si="59"/>
        <v>156.25</v>
      </c>
      <c r="AK56" s="42">
        <f t="shared" si="59"/>
        <v>0</v>
      </c>
      <c r="AL56" s="42">
        <f t="shared" si="59"/>
        <v>156.25</v>
      </c>
      <c r="AM56" s="42">
        <f t="shared" si="59"/>
        <v>0</v>
      </c>
      <c r="AN56" s="42">
        <f t="shared" si="59"/>
        <v>156.25</v>
      </c>
      <c r="AO56" s="42">
        <f t="shared" si="59"/>
        <v>0</v>
      </c>
      <c r="AP56" s="42">
        <f t="shared" si="59"/>
        <v>156.25</v>
      </c>
      <c r="AQ56" s="42">
        <f t="shared" si="59"/>
        <v>0</v>
      </c>
      <c r="AR56" s="42">
        <f t="shared" si="59"/>
        <v>156.25</v>
      </c>
      <c r="AS56" s="42">
        <f t="shared" si="59"/>
        <v>0</v>
      </c>
      <c r="AT56" s="42">
        <f t="shared" si="59"/>
        <v>156.25</v>
      </c>
      <c r="AU56" s="42">
        <f t="shared" si="59"/>
        <v>0</v>
      </c>
      <c r="AV56" s="42">
        <f t="shared" si="59"/>
        <v>156.25</v>
      </c>
      <c r="AW56" s="42">
        <f t="shared" si="59"/>
        <v>0</v>
      </c>
      <c r="AX56" s="42">
        <f t="shared" si="59"/>
        <v>156.25</v>
      </c>
      <c r="AY56" s="42">
        <f t="shared" si="59"/>
        <v>0</v>
      </c>
      <c r="AZ56" s="42">
        <f t="shared" si="59"/>
        <v>156.25</v>
      </c>
      <c r="BA56" s="42">
        <f t="shared" si="59"/>
        <v>0</v>
      </c>
      <c r="BB56" s="42">
        <f t="shared" si="59"/>
        <v>156.25</v>
      </c>
      <c r="BC56" s="42">
        <f t="shared" si="59"/>
        <v>0</v>
      </c>
      <c r="BD56" s="42">
        <f t="shared" si="59"/>
        <v>156.25</v>
      </c>
      <c r="BE56" s="42">
        <f t="shared" si="59"/>
        <v>0</v>
      </c>
      <c r="BF56" s="42">
        <f t="shared" si="59"/>
        <v>156.25</v>
      </c>
      <c r="BG56" s="42">
        <f t="shared" si="59"/>
        <v>0</v>
      </c>
      <c r="BH56" s="42">
        <f t="shared" si="59"/>
        <v>156.25</v>
      </c>
      <c r="BI56" s="42">
        <f t="shared" si="59"/>
        <v>0</v>
      </c>
      <c r="BJ56" s="42">
        <f t="shared" si="59"/>
        <v>156.25</v>
      </c>
      <c r="BK56" s="42">
        <f t="shared" si="59"/>
        <v>0</v>
      </c>
      <c r="BL56" s="42">
        <f t="shared" si="59"/>
        <v>156.25</v>
      </c>
      <c r="BM56" s="42">
        <f t="shared" si="59"/>
        <v>0</v>
      </c>
      <c r="BN56" s="42">
        <f t="shared" si="59"/>
        <v>156.25</v>
      </c>
      <c r="BO56" s="42">
        <f t="shared" si="59"/>
        <v>0</v>
      </c>
      <c r="BP56" s="42">
        <f t="shared" si="59"/>
        <v>156.25</v>
      </c>
      <c r="BQ56" s="42">
        <f t="shared" si="59"/>
        <v>0</v>
      </c>
      <c r="BR56" s="42">
        <f t="shared" si="59"/>
        <v>156.25</v>
      </c>
      <c r="BS56" s="42">
        <f t="shared" si="59"/>
        <v>0</v>
      </c>
      <c r="BT56" s="42">
        <f t="shared" si="59"/>
        <v>156.25</v>
      </c>
      <c r="BU56" s="42">
        <f t="shared" si="59"/>
        <v>0</v>
      </c>
      <c r="BV56" s="42">
        <f t="shared" si="59"/>
        <v>156.25</v>
      </c>
      <c r="BW56" s="42">
        <f t="shared" si="59"/>
        <v>0</v>
      </c>
      <c r="BX56" s="42">
        <f t="shared" si="59"/>
        <v>156.25</v>
      </c>
      <c r="BY56" s="42">
        <f t="shared" si="59"/>
        <v>0</v>
      </c>
      <c r="BZ56" s="42">
        <f t="shared" si="59"/>
        <v>156.25</v>
      </c>
      <c r="CA56" s="42">
        <f t="shared" si="59"/>
        <v>0</v>
      </c>
      <c r="CB56" s="42">
        <f t="shared" si="59"/>
        <v>156.25</v>
      </c>
      <c r="CC56" s="42">
        <f t="shared" si="59"/>
        <v>0</v>
      </c>
      <c r="CD56" s="42">
        <f t="shared" si="59"/>
        <v>156.25</v>
      </c>
      <c r="CE56" s="42">
        <f t="shared" si="59"/>
        <v>0</v>
      </c>
      <c r="CF56" s="42">
        <f t="shared" si="58"/>
        <v>156.25</v>
      </c>
      <c r="CG56" s="42">
        <f t="shared" si="58"/>
        <v>0</v>
      </c>
      <c r="CH56" s="42">
        <f t="shared" si="58"/>
        <v>156.25</v>
      </c>
      <c r="CI56" s="42">
        <f t="shared" si="58"/>
        <v>0</v>
      </c>
      <c r="CJ56" s="42">
        <f t="shared" si="58"/>
        <v>156.25</v>
      </c>
      <c r="CK56" s="42">
        <f t="shared" si="58"/>
        <v>0</v>
      </c>
      <c r="CL56" s="42">
        <f t="shared" si="58"/>
        <v>156.25</v>
      </c>
      <c r="CM56" s="42">
        <f t="shared" si="58"/>
        <v>0</v>
      </c>
      <c r="CN56" s="42">
        <f t="shared" si="58"/>
        <v>156.25</v>
      </c>
      <c r="CO56" s="42">
        <f t="shared" si="58"/>
        <v>0</v>
      </c>
      <c r="CP56" s="42">
        <f t="shared" si="58"/>
        <v>156.25</v>
      </c>
      <c r="CQ56" s="42">
        <f t="shared" si="58"/>
        <v>0</v>
      </c>
      <c r="CR56" s="42">
        <f t="shared" si="58"/>
        <v>156.25</v>
      </c>
      <c r="CS56" s="42">
        <f t="shared" si="58"/>
        <v>0</v>
      </c>
      <c r="CT56" s="42">
        <f t="shared" si="58"/>
        <v>156.25</v>
      </c>
      <c r="CU56" s="42">
        <f t="shared" si="58"/>
        <v>0</v>
      </c>
      <c r="CV56" s="42">
        <f t="shared" si="58"/>
        <v>156.25</v>
      </c>
      <c r="CW56" s="42">
        <f t="shared" si="58"/>
        <v>0</v>
      </c>
      <c r="CX56" s="42">
        <f t="shared" si="58"/>
        <v>156.25</v>
      </c>
      <c r="CY56" s="42">
        <f t="shared" si="58"/>
        <v>0</v>
      </c>
      <c r="CZ56" s="42">
        <f t="shared" si="58"/>
        <v>156.25</v>
      </c>
      <c r="DA56" s="42">
        <f t="shared" si="58"/>
        <v>0</v>
      </c>
      <c r="DB56" s="42">
        <f t="shared" si="58"/>
        <v>156.25</v>
      </c>
      <c r="DC56" s="42">
        <f t="shared" si="58"/>
        <v>0</v>
      </c>
      <c r="DD56" s="42">
        <f t="shared" si="58"/>
        <v>156.25</v>
      </c>
      <c r="DE56" s="42">
        <f t="shared" si="58"/>
        <v>0</v>
      </c>
      <c r="DF56" s="42">
        <f t="shared" si="58"/>
        <v>156.25</v>
      </c>
      <c r="DG56" s="42">
        <f t="shared" si="58"/>
        <v>0</v>
      </c>
      <c r="DH56" s="42">
        <f t="shared" si="58"/>
        <v>156.25</v>
      </c>
      <c r="DI56" s="42">
        <f t="shared" si="58"/>
        <v>0</v>
      </c>
      <c r="DJ56" s="42">
        <f t="shared" si="58"/>
        <v>156.25</v>
      </c>
      <c r="DK56" s="42">
        <f t="shared" si="58"/>
        <v>0</v>
      </c>
      <c r="DL56" s="42">
        <f t="shared" si="58"/>
        <v>156.25</v>
      </c>
      <c r="DM56" s="42">
        <f t="shared" si="58"/>
        <v>0</v>
      </c>
      <c r="DN56" s="42">
        <f t="shared" si="58"/>
        <v>156.25</v>
      </c>
      <c r="DO56" s="42">
        <f t="shared" si="58"/>
        <v>0</v>
      </c>
      <c r="DP56" s="42">
        <f t="shared" si="58"/>
        <v>156.25</v>
      </c>
      <c r="DQ56" s="42">
        <f t="shared" si="58"/>
        <v>0</v>
      </c>
      <c r="DR56" s="42">
        <f t="shared" si="58"/>
        <v>156.25</v>
      </c>
      <c r="DS56" s="42">
        <f t="shared" si="58"/>
        <v>0</v>
      </c>
      <c r="DT56" s="42">
        <f t="shared" si="58"/>
        <v>156.25</v>
      </c>
      <c r="DU56" s="42">
        <f t="shared" si="58"/>
        <v>0</v>
      </c>
      <c r="DV56" s="42">
        <f t="shared" si="58"/>
        <v>156.25</v>
      </c>
      <c r="DW56" s="42">
        <f t="shared" si="58"/>
        <v>0</v>
      </c>
      <c r="DX56" s="42">
        <f t="shared" si="58"/>
        <v>156.25</v>
      </c>
      <c r="DY56" s="42">
        <f t="shared" si="58"/>
        <v>0</v>
      </c>
      <c r="DZ56" s="42">
        <f t="shared" si="58"/>
        <v>156.25</v>
      </c>
      <c r="EA56" s="42">
        <f t="shared" si="58"/>
        <v>0</v>
      </c>
      <c r="EB56" s="42">
        <f t="shared" si="58"/>
        <v>156.25</v>
      </c>
      <c r="EC56" s="42">
        <f t="shared" si="58"/>
        <v>0</v>
      </c>
      <c r="ED56" s="42">
        <f t="shared" si="58"/>
        <v>10156.25</v>
      </c>
      <c r="EE56" s="42">
        <f t="shared" si="58"/>
        <v>0</v>
      </c>
      <c r="EF56" s="42">
        <f t="shared" si="58"/>
        <v>0</v>
      </c>
      <c r="EG56" s="42">
        <f t="shared" si="58"/>
        <v>0</v>
      </c>
      <c r="EH56" s="42">
        <f t="shared" si="58"/>
        <v>0</v>
      </c>
      <c r="EI56" s="42">
        <f t="shared" si="58"/>
        <v>0</v>
      </c>
      <c r="EJ56" s="42">
        <f t="shared" si="58"/>
        <v>0</v>
      </c>
      <c r="EK56" s="42">
        <f t="shared" si="58"/>
        <v>0</v>
      </c>
      <c r="EL56" s="42">
        <f t="shared" si="58"/>
        <v>0</v>
      </c>
      <c r="EM56" s="42">
        <f t="shared" si="58"/>
        <v>0</v>
      </c>
      <c r="EN56" s="42">
        <f t="shared" si="58"/>
        <v>0</v>
      </c>
      <c r="EO56" s="42">
        <f t="shared" si="58"/>
        <v>0</v>
      </c>
      <c r="EP56" s="42">
        <f t="shared" si="58"/>
        <v>0</v>
      </c>
      <c r="EQ56" s="42">
        <f t="shared" si="57"/>
        <v>0</v>
      </c>
      <c r="ER56" s="42">
        <f t="shared" si="57"/>
        <v>0</v>
      </c>
      <c r="ES56" s="42">
        <f t="shared" si="57"/>
        <v>0</v>
      </c>
      <c r="ET56" s="42">
        <f t="shared" si="57"/>
        <v>0</v>
      </c>
      <c r="EU56" s="42">
        <f t="shared" si="57"/>
        <v>0</v>
      </c>
      <c r="EV56" s="42">
        <f t="shared" si="57"/>
        <v>0</v>
      </c>
      <c r="EW56" s="42">
        <f t="shared" si="57"/>
        <v>0</v>
      </c>
      <c r="EX56" s="42">
        <f t="shared" si="57"/>
        <v>0</v>
      </c>
      <c r="EY56" s="42">
        <f t="shared" si="57"/>
        <v>0</v>
      </c>
      <c r="EZ56" s="42">
        <f t="shared" si="57"/>
        <v>0</v>
      </c>
      <c r="FA56" s="42">
        <f t="shared" si="57"/>
        <v>0</v>
      </c>
      <c r="FB56" s="42">
        <f t="shared" si="57"/>
        <v>0</v>
      </c>
      <c r="FC56" s="42">
        <f t="shared" si="57"/>
        <v>0</v>
      </c>
      <c r="FD56" s="42">
        <f t="shared" si="57"/>
        <v>0</v>
      </c>
      <c r="FE56" s="42">
        <f t="shared" si="57"/>
        <v>0</v>
      </c>
      <c r="FF56" s="42">
        <f t="shared" si="57"/>
        <v>0</v>
      </c>
      <c r="FG56" s="42">
        <f t="shared" si="57"/>
        <v>0</v>
      </c>
      <c r="FH56" s="42">
        <f t="shared" si="57"/>
        <v>0</v>
      </c>
      <c r="FI56" s="42">
        <f t="shared" si="57"/>
        <v>0</v>
      </c>
      <c r="FJ56" s="42">
        <f t="shared" si="57"/>
        <v>0</v>
      </c>
      <c r="FK56" s="42">
        <f t="shared" si="57"/>
        <v>0</v>
      </c>
      <c r="FL56" s="42">
        <f t="shared" si="57"/>
        <v>0</v>
      </c>
      <c r="FM56" s="42">
        <f t="shared" si="57"/>
        <v>0</v>
      </c>
      <c r="FN56" s="42">
        <f t="shared" si="57"/>
        <v>0</v>
      </c>
      <c r="FO56" s="42">
        <f t="shared" si="57"/>
        <v>0</v>
      </c>
      <c r="FP56" s="42">
        <f t="shared" si="57"/>
        <v>0</v>
      </c>
      <c r="FQ56" s="42">
        <f t="shared" si="57"/>
        <v>0</v>
      </c>
      <c r="FR56" s="42">
        <f t="shared" si="57"/>
        <v>0</v>
      </c>
      <c r="FS56" s="42">
        <f t="shared" si="57"/>
        <v>0</v>
      </c>
      <c r="FT56" s="42">
        <f t="shared" si="57"/>
        <v>0</v>
      </c>
      <c r="FU56" s="42">
        <f t="shared" si="57"/>
        <v>0</v>
      </c>
      <c r="FV56" s="42">
        <f t="shared" si="57"/>
        <v>0</v>
      </c>
      <c r="FW56" s="42">
        <f t="shared" si="57"/>
        <v>0</v>
      </c>
      <c r="FX56" s="42">
        <f t="shared" si="57"/>
        <v>0</v>
      </c>
      <c r="FY56" s="42">
        <f t="shared" si="57"/>
        <v>0</v>
      </c>
      <c r="FZ56" s="42">
        <f t="shared" si="57"/>
        <v>0</v>
      </c>
      <c r="GA56" s="42">
        <f t="shared" si="57"/>
        <v>0</v>
      </c>
      <c r="GB56" s="42">
        <f t="shared" si="57"/>
        <v>0</v>
      </c>
      <c r="GC56" s="42">
        <f t="shared" si="57"/>
        <v>0</v>
      </c>
      <c r="GD56" s="42">
        <f t="shared" si="57"/>
        <v>0</v>
      </c>
      <c r="GE56" s="42">
        <f t="shared" si="57"/>
        <v>0</v>
      </c>
      <c r="GF56" s="42">
        <f t="shared" si="57"/>
        <v>0</v>
      </c>
      <c r="GG56" s="42">
        <f t="shared" si="57"/>
        <v>0</v>
      </c>
      <c r="GH56" s="42">
        <f t="shared" si="57"/>
        <v>0</v>
      </c>
    </row>
    <row r="57" spans="1:190" ht="14.5" thickBot="1">
      <c r="B57" s="43" t="s">
        <v>262</v>
      </c>
      <c r="C57" s="31">
        <v>44995</v>
      </c>
      <c r="D57" s="31">
        <v>55953</v>
      </c>
      <c r="E57" s="32">
        <v>3.25</v>
      </c>
      <c r="F57" s="33" t="s">
        <v>50</v>
      </c>
      <c r="G57" s="34">
        <v>353.47</v>
      </c>
      <c r="H57" s="34">
        <v>10760</v>
      </c>
      <c r="I57" s="32">
        <v>3.927</v>
      </c>
      <c r="J57" s="35">
        <v>8838.11</v>
      </c>
      <c r="K57" s="44" cm="1">
        <f t="array" ref="K57">_xlfn.LET(
    _xlpm.settle,$B$3,
    _xlpm.mat,$D57,
    _xlpm.coupon,10000*$E57/200,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14.285714285714286</v>
      </c>
      <c r="L57" s="37">
        <f t="shared" si="39"/>
        <v>8852.3957142857143</v>
      </c>
      <c r="M57" s="120">
        <v>0.31946951511352029</v>
      </c>
      <c r="N57" s="45">
        <f t="shared" si="40"/>
        <v>3.8708094775675418E-2</v>
      </c>
      <c r="O57" s="99">
        <f t="shared" si="41"/>
        <v>8852.3962439323732</v>
      </c>
      <c r="P57" s="39">
        <f t="shared" si="42"/>
        <v>5.2964665883337148E-4</v>
      </c>
      <c r="R57" s="41">
        <f t="shared" si="44"/>
        <v>353</v>
      </c>
      <c r="S57" s="42">
        <f t="shared" si="25"/>
        <v>0</v>
      </c>
      <c r="T57" s="42">
        <f t="shared" si="59"/>
        <v>162.5</v>
      </c>
      <c r="U57" s="42">
        <f t="shared" si="59"/>
        <v>0</v>
      </c>
      <c r="V57" s="42">
        <f t="shared" si="59"/>
        <v>162.5</v>
      </c>
      <c r="W57" s="42">
        <f t="shared" si="59"/>
        <v>0</v>
      </c>
      <c r="X57" s="42">
        <f t="shared" si="59"/>
        <v>162.5</v>
      </c>
      <c r="Y57" s="42">
        <f t="shared" si="59"/>
        <v>0</v>
      </c>
      <c r="Z57" s="42">
        <f t="shared" si="59"/>
        <v>162.5</v>
      </c>
      <c r="AA57" s="42">
        <f t="shared" si="59"/>
        <v>0</v>
      </c>
      <c r="AB57" s="42">
        <f t="shared" si="59"/>
        <v>162.5</v>
      </c>
      <c r="AC57" s="42">
        <f t="shared" si="59"/>
        <v>0</v>
      </c>
      <c r="AD57" s="42">
        <f t="shared" si="59"/>
        <v>162.5</v>
      </c>
      <c r="AE57" s="42">
        <f t="shared" si="59"/>
        <v>0</v>
      </c>
      <c r="AF57" s="42">
        <f t="shared" si="59"/>
        <v>162.5</v>
      </c>
      <c r="AG57" s="42">
        <f t="shared" si="59"/>
        <v>0</v>
      </c>
      <c r="AH57" s="42">
        <f t="shared" si="59"/>
        <v>162.5</v>
      </c>
      <c r="AI57" s="42">
        <f t="shared" si="59"/>
        <v>0</v>
      </c>
      <c r="AJ57" s="42">
        <f t="shared" si="59"/>
        <v>162.5</v>
      </c>
      <c r="AK57" s="42">
        <f t="shared" si="59"/>
        <v>0</v>
      </c>
      <c r="AL57" s="42">
        <f t="shared" si="59"/>
        <v>162.5</v>
      </c>
      <c r="AM57" s="42">
        <f t="shared" si="59"/>
        <v>0</v>
      </c>
      <c r="AN57" s="42">
        <f t="shared" si="59"/>
        <v>162.5</v>
      </c>
      <c r="AO57" s="42">
        <f t="shared" si="59"/>
        <v>0</v>
      </c>
      <c r="AP57" s="42">
        <f t="shared" si="59"/>
        <v>162.5</v>
      </c>
      <c r="AQ57" s="42">
        <f t="shared" si="59"/>
        <v>0</v>
      </c>
      <c r="AR57" s="42">
        <f t="shared" si="59"/>
        <v>162.5</v>
      </c>
      <c r="AS57" s="42">
        <f t="shared" si="59"/>
        <v>0</v>
      </c>
      <c r="AT57" s="42">
        <f t="shared" si="59"/>
        <v>162.5</v>
      </c>
      <c r="AU57" s="42">
        <f t="shared" si="59"/>
        <v>0</v>
      </c>
      <c r="AV57" s="42">
        <f t="shared" si="59"/>
        <v>162.5</v>
      </c>
      <c r="AW57" s="42">
        <f t="shared" si="59"/>
        <v>0</v>
      </c>
      <c r="AX57" s="42">
        <f t="shared" si="59"/>
        <v>162.5</v>
      </c>
      <c r="AY57" s="42">
        <f t="shared" si="59"/>
        <v>0</v>
      </c>
      <c r="AZ57" s="42">
        <f t="shared" si="59"/>
        <v>162.5</v>
      </c>
      <c r="BA57" s="42">
        <f t="shared" si="59"/>
        <v>0</v>
      </c>
      <c r="BB57" s="42">
        <f t="shared" si="59"/>
        <v>162.5</v>
      </c>
      <c r="BC57" s="42">
        <f t="shared" si="59"/>
        <v>0</v>
      </c>
      <c r="BD57" s="42">
        <f t="shared" si="59"/>
        <v>162.5</v>
      </c>
      <c r="BE57" s="42">
        <f t="shared" si="59"/>
        <v>0</v>
      </c>
      <c r="BF57" s="42">
        <f t="shared" si="59"/>
        <v>162.5</v>
      </c>
      <c r="BG57" s="42">
        <f t="shared" si="59"/>
        <v>0</v>
      </c>
      <c r="BH57" s="42">
        <f t="shared" si="59"/>
        <v>162.5</v>
      </c>
      <c r="BI57" s="42">
        <f t="shared" si="59"/>
        <v>0</v>
      </c>
      <c r="BJ57" s="42">
        <f t="shared" si="59"/>
        <v>162.5</v>
      </c>
      <c r="BK57" s="42">
        <f t="shared" si="59"/>
        <v>0</v>
      </c>
      <c r="BL57" s="42">
        <f t="shared" si="59"/>
        <v>162.5</v>
      </c>
      <c r="BM57" s="42">
        <f t="shared" si="59"/>
        <v>0</v>
      </c>
      <c r="BN57" s="42">
        <f t="shared" si="59"/>
        <v>162.5</v>
      </c>
      <c r="BO57" s="42">
        <f t="shared" si="59"/>
        <v>0</v>
      </c>
      <c r="BP57" s="42">
        <f t="shared" si="59"/>
        <v>162.5</v>
      </c>
      <c r="BQ57" s="42">
        <f t="shared" si="59"/>
        <v>0</v>
      </c>
      <c r="BR57" s="42">
        <f t="shared" si="59"/>
        <v>162.5</v>
      </c>
      <c r="BS57" s="42">
        <f t="shared" si="59"/>
        <v>0</v>
      </c>
      <c r="BT57" s="42">
        <f t="shared" si="59"/>
        <v>162.5</v>
      </c>
      <c r="BU57" s="42">
        <f t="shared" si="59"/>
        <v>0</v>
      </c>
      <c r="BV57" s="42">
        <f t="shared" si="59"/>
        <v>162.5</v>
      </c>
      <c r="BW57" s="42">
        <f t="shared" si="59"/>
        <v>0</v>
      </c>
      <c r="BX57" s="42">
        <f t="shared" si="59"/>
        <v>162.5</v>
      </c>
      <c r="BY57" s="42">
        <f t="shared" si="59"/>
        <v>0</v>
      </c>
      <c r="BZ57" s="42">
        <f t="shared" si="59"/>
        <v>162.5</v>
      </c>
      <c r="CA57" s="42">
        <f t="shared" si="59"/>
        <v>0</v>
      </c>
      <c r="CB57" s="42">
        <f t="shared" si="59"/>
        <v>162.5</v>
      </c>
      <c r="CC57" s="42">
        <f t="shared" si="59"/>
        <v>0</v>
      </c>
      <c r="CD57" s="42">
        <f t="shared" si="59"/>
        <v>162.5</v>
      </c>
      <c r="CE57" s="42">
        <f t="shared" si="59"/>
        <v>0</v>
      </c>
      <c r="CF57" s="42">
        <f t="shared" si="58"/>
        <v>162.5</v>
      </c>
      <c r="CG57" s="42">
        <f t="shared" si="58"/>
        <v>0</v>
      </c>
      <c r="CH57" s="42">
        <f t="shared" si="58"/>
        <v>162.5</v>
      </c>
      <c r="CI57" s="42">
        <f t="shared" si="58"/>
        <v>0</v>
      </c>
      <c r="CJ57" s="42">
        <f t="shared" si="58"/>
        <v>162.5</v>
      </c>
      <c r="CK57" s="42">
        <f t="shared" si="58"/>
        <v>0</v>
      </c>
      <c r="CL57" s="42">
        <f t="shared" si="58"/>
        <v>162.5</v>
      </c>
      <c r="CM57" s="42">
        <f t="shared" si="58"/>
        <v>0</v>
      </c>
      <c r="CN57" s="42">
        <f t="shared" si="58"/>
        <v>162.5</v>
      </c>
      <c r="CO57" s="42">
        <f t="shared" si="58"/>
        <v>0</v>
      </c>
      <c r="CP57" s="42">
        <f t="shared" si="58"/>
        <v>162.5</v>
      </c>
      <c r="CQ57" s="42">
        <f t="shared" si="58"/>
        <v>0</v>
      </c>
      <c r="CR57" s="42">
        <f t="shared" si="58"/>
        <v>162.5</v>
      </c>
      <c r="CS57" s="42">
        <f t="shared" si="58"/>
        <v>0</v>
      </c>
      <c r="CT57" s="42">
        <f t="shared" si="58"/>
        <v>162.5</v>
      </c>
      <c r="CU57" s="42">
        <f t="shared" si="58"/>
        <v>0</v>
      </c>
      <c r="CV57" s="42">
        <f t="shared" si="58"/>
        <v>162.5</v>
      </c>
      <c r="CW57" s="42">
        <f t="shared" si="58"/>
        <v>0</v>
      </c>
      <c r="CX57" s="42">
        <f t="shared" si="58"/>
        <v>162.5</v>
      </c>
      <c r="CY57" s="42">
        <f t="shared" si="58"/>
        <v>0</v>
      </c>
      <c r="CZ57" s="42">
        <f t="shared" si="58"/>
        <v>162.5</v>
      </c>
      <c r="DA57" s="42">
        <f t="shared" si="58"/>
        <v>0</v>
      </c>
      <c r="DB57" s="42">
        <f t="shared" si="58"/>
        <v>162.5</v>
      </c>
      <c r="DC57" s="42">
        <f t="shared" si="58"/>
        <v>0</v>
      </c>
      <c r="DD57" s="42">
        <f t="shared" si="58"/>
        <v>162.5</v>
      </c>
      <c r="DE57" s="42">
        <f t="shared" si="58"/>
        <v>0</v>
      </c>
      <c r="DF57" s="42">
        <f t="shared" si="58"/>
        <v>162.5</v>
      </c>
      <c r="DG57" s="42">
        <f t="shared" si="58"/>
        <v>0</v>
      </c>
      <c r="DH57" s="42">
        <f t="shared" si="58"/>
        <v>162.5</v>
      </c>
      <c r="DI57" s="42">
        <f t="shared" si="58"/>
        <v>0</v>
      </c>
      <c r="DJ57" s="42">
        <f t="shared" si="58"/>
        <v>162.5</v>
      </c>
      <c r="DK57" s="42">
        <f t="shared" si="58"/>
        <v>0</v>
      </c>
      <c r="DL57" s="42">
        <f t="shared" si="58"/>
        <v>162.5</v>
      </c>
      <c r="DM57" s="42">
        <f t="shared" si="58"/>
        <v>0</v>
      </c>
      <c r="DN57" s="42">
        <f t="shared" si="58"/>
        <v>162.5</v>
      </c>
      <c r="DO57" s="42">
        <f t="shared" si="58"/>
        <v>0</v>
      </c>
      <c r="DP57" s="42">
        <f t="shared" si="58"/>
        <v>162.5</v>
      </c>
      <c r="DQ57" s="42">
        <f t="shared" si="58"/>
        <v>0</v>
      </c>
      <c r="DR57" s="42">
        <f t="shared" si="58"/>
        <v>162.5</v>
      </c>
      <c r="DS57" s="42">
        <f t="shared" si="58"/>
        <v>0</v>
      </c>
      <c r="DT57" s="42">
        <f t="shared" si="58"/>
        <v>162.5</v>
      </c>
      <c r="DU57" s="42">
        <f t="shared" si="58"/>
        <v>0</v>
      </c>
      <c r="DV57" s="42">
        <f t="shared" si="58"/>
        <v>162.5</v>
      </c>
      <c r="DW57" s="42">
        <f t="shared" si="58"/>
        <v>0</v>
      </c>
      <c r="DX57" s="42">
        <f t="shared" si="58"/>
        <v>162.5</v>
      </c>
      <c r="DY57" s="42">
        <f t="shared" si="58"/>
        <v>0</v>
      </c>
      <c r="DZ57" s="42">
        <f t="shared" si="58"/>
        <v>162.5</v>
      </c>
      <c r="EA57" s="42">
        <f t="shared" si="58"/>
        <v>0</v>
      </c>
      <c r="EB57" s="42">
        <f t="shared" si="58"/>
        <v>162.5</v>
      </c>
      <c r="EC57" s="42">
        <f t="shared" si="58"/>
        <v>0</v>
      </c>
      <c r="ED57" s="42">
        <f t="shared" si="58"/>
        <v>162.5</v>
      </c>
      <c r="EE57" s="42">
        <f t="shared" si="58"/>
        <v>0</v>
      </c>
      <c r="EF57" s="42">
        <f t="shared" si="58"/>
        <v>10162.5</v>
      </c>
      <c r="EG57" s="42">
        <f t="shared" si="58"/>
        <v>0</v>
      </c>
      <c r="EH57" s="42">
        <f t="shared" si="58"/>
        <v>0</v>
      </c>
      <c r="EI57" s="42">
        <f t="shared" si="58"/>
        <v>0</v>
      </c>
      <c r="EJ57" s="42">
        <f t="shared" si="58"/>
        <v>0</v>
      </c>
      <c r="EK57" s="42">
        <f t="shared" si="58"/>
        <v>0</v>
      </c>
      <c r="EL57" s="42">
        <f t="shared" si="58"/>
        <v>0</v>
      </c>
      <c r="EM57" s="42">
        <f t="shared" si="58"/>
        <v>0</v>
      </c>
      <c r="EN57" s="42">
        <f t="shared" si="58"/>
        <v>0</v>
      </c>
      <c r="EO57" s="42">
        <f t="shared" si="58"/>
        <v>0</v>
      </c>
      <c r="EP57" s="42">
        <f t="shared" si="58"/>
        <v>0</v>
      </c>
      <c r="EQ57" s="42">
        <f t="shared" si="57"/>
        <v>0</v>
      </c>
      <c r="ER57" s="42">
        <f t="shared" si="57"/>
        <v>0</v>
      </c>
      <c r="ES57" s="42">
        <f t="shared" si="57"/>
        <v>0</v>
      </c>
      <c r="ET57" s="42">
        <f t="shared" si="57"/>
        <v>0</v>
      </c>
      <c r="EU57" s="42">
        <f t="shared" si="57"/>
        <v>0</v>
      </c>
      <c r="EV57" s="42">
        <f t="shared" si="57"/>
        <v>0</v>
      </c>
      <c r="EW57" s="42">
        <f t="shared" si="57"/>
        <v>0</v>
      </c>
      <c r="EX57" s="42">
        <f t="shared" si="57"/>
        <v>0</v>
      </c>
      <c r="EY57" s="42">
        <f t="shared" si="57"/>
        <v>0</v>
      </c>
      <c r="EZ57" s="42">
        <f t="shared" si="57"/>
        <v>0</v>
      </c>
      <c r="FA57" s="42">
        <f t="shared" si="57"/>
        <v>0</v>
      </c>
      <c r="FB57" s="42">
        <f t="shared" si="57"/>
        <v>0</v>
      </c>
      <c r="FC57" s="42">
        <f t="shared" si="57"/>
        <v>0</v>
      </c>
      <c r="FD57" s="42">
        <f t="shared" si="57"/>
        <v>0</v>
      </c>
      <c r="FE57" s="42">
        <f t="shared" si="57"/>
        <v>0</v>
      </c>
      <c r="FF57" s="42">
        <f t="shared" si="57"/>
        <v>0</v>
      </c>
      <c r="FG57" s="42">
        <f t="shared" si="57"/>
        <v>0</v>
      </c>
      <c r="FH57" s="42">
        <f t="shared" si="57"/>
        <v>0</v>
      </c>
      <c r="FI57" s="42">
        <f t="shared" si="57"/>
        <v>0</v>
      </c>
      <c r="FJ57" s="42">
        <f t="shared" si="57"/>
        <v>0</v>
      </c>
      <c r="FK57" s="42">
        <f t="shared" si="57"/>
        <v>0</v>
      </c>
      <c r="FL57" s="42">
        <f t="shared" si="57"/>
        <v>0</v>
      </c>
      <c r="FM57" s="42">
        <f t="shared" si="57"/>
        <v>0</v>
      </c>
      <c r="FN57" s="42">
        <f t="shared" si="57"/>
        <v>0</v>
      </c>
      <c r="FO57" s="42">
        <f t="shared" si="57"/>
        <v>0</v>
      </c>
      <c r="FP57" s="42">
        <f t="shared" si="57"/>
        <v>0</v>
      </c>
      <c r="FQ57" s="42">
        <f t="shared" si="57"/>
        <v>0</v>
      </c>
      <c r="FR57" s="42">
        <f t="shared" si="57"/>
        <v>0</v>
      </c>
      <c r="FS57" s="42">
        <f t="shared" si="57"/>
        <v>0</v>
      </c>
      <c r="FT57" s="42">
        <f t="shared" si="57"/>
        <v>0</v>
      </c>
      <c r="FU57" s="42">
        <f t="shared" si="57"/>
        <v>0</v>
      </c>
      <c r="FV57" s="42">
        <f t="shared" si="57"/>
        <v>0</v>
      </c>
      <c r="FW57" s="42">
        <f t="shared" si="57"/>
        <v>0</v>
      </c>
      <c r="FX57" s="42">
        <f t="shared" si="57"/>
        <v>0</v>
      </c>
      <c r="FY57" s="42">
        <f t="shared" si="57"/>
        <v>0</v>
      </c>
      <c r="FZ57" s="42">
        <f t="shared" si="57"/>
        <v>0</v>
      </c>
      <c r="GA57" s="42">
        <f t="shared" si="57"/>
        <v>0</v>
      </c>
      <c r="GB57" s="42">
        <f t="shared" si="57"/>
        <v>0</v>
      </c>
      <c r="GC57" s="42">
        <f t="shared" si="57"/>
        <v>0</v>
      </c>
      <c r="GD57" s="42">
        <f t="shared" si="57"/>
        <v>0</v>
      </c>
      <c r="GE57" s="42">
        <f t="shared" si="57"/>
        <v>0</v>
      </c>
      <c r="GF57" s="42">
        <f t="shared" si="57"/>
        <v>0</v>
      </c>
      <c r="GG57" s="42">
        <f t="shared" si="57"/>
        <v>0</v>
      </c>
      <c r="GH57" s="42">
        <f t="shared" si="57"/>
        <v>0</v>
      </c>
    </row>
    <row r="58" spans="1:190" ht="14.5" thickBot="1">
      <c r="B58" s="43" t="s">
        <v>263</v>
      </c>
      <c r="C58" s="31">
        <v>45179</v>
      </c>
      <c r="D58" s="31">
        <v>56137</v>
      </c>
      <c r="E58" s="32">
        <v>3.625</v>
      </c>
      <c r="F58" s="33" t="s">
        <v>51</v>
      </c>
      <c r="G58" s="34">
        <v>359.47</v>
      </c>
      <c r="H58" s="34">
        <v>10941</v>
      </c>
      <c r="I58" s="32">
        <v>3.915</v>
      </c>
      <c r="J58" s="35">
        <v>9507.7900000000009</v>
      </c>
      <c r="K58" s="44" cm="1">
        <f t="array" ref="K58">_xlfn.LET(
    _xlpm.settle,$B$3,
    _xlpm.mat,$D58,
    _xlpm.coupon,10000*$E58/200,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15.934065934065934</v>
      </c>
      <c r="L58" s="37">
        <f t="shared" si="39"/>
        <v>9523.7240659340659</v>
      </c>
      <c r="M58" s="120">
        <v>0.31560089040344391</v>
      </c>
      <c r="N58" s="45">
        <f t="shared" si="40"/>
        <v>3.8474184908089668E-2</v>
      </c>
      <c r="O58" s="99">
        <f t="shared" si="41"/>
        <v>9523.724322770755</v>
      </c>
      <c r="P58" s="39">
        <f t="shared" si="42"/>
        <v>2.5683668900455814E-4</v>
      </c>
      <c r="R58" s="41">
        <f t="shared" si="44"/>
        <v>359</v>
      </c>
      <c r="S58" s="42">
        <f t="shared" si="25"/>
        <v>0</v>
      </c>
      <c r="T58" s="42">
        <f t="shared" si="59"/>
        <v>181.25</v>
      </c>
      <c r="U58" s="42">
        <f t="shared" si="59"/>
        <v>0</v>
      </c>
      <c r="V58" s="42">
        <f t="shared" si="59"/>
        <v>181.25</v>
      </c>
      <c r="W58" s="42">
        <f t="shared" si="59"/>
        <v>0</v>
      </c>
      <c r="X58" s="42">
        <f t="shared" si="59"/>
        <v>181.25</v>
      </c>
      <c r="Y58" s="42">
        <f t="shared" si="59"/>
        <v>0</v>
      </c>
      <c r="Z58" s="42">
        <f t="shared" si="59"/>
        <v>181.25</v>
      </c>
      <c r="AA58" s="42">
        <f t="shared" si="59"/>
        <v>0</v>
      </c>
      <c r="AB58" s="42">
        <f t="shared" si="59"/>
        <v>181.25</v>
      </c>
      <c r="AC58" s="42">
        <f t="shared" si="59"/>
        <v>0</v>
      </c>
      <c r="AD58" s="42">
        <f t="shared" si="59"/>
        <v>181.25</v>
      </c>
      <c r="AE58" s="42">
        <f t="shared" si="59"/>
        <v>0</v>
      </c>
      <c r="AF58" s="42">
        <f t="shared" si="59"/>
        <v>181.25</v>
      </c>
      <c r="AG58" s="42">
        <f t="shared" si="59"/>
        <v>0</v>
      </c>
      <c r="AH58" s="42">
        <f t="shared" si="59"/>
        <v>181.25</v>
      </c>
      <c r="AI58" s="42">
        <f t="shared" si="59"/>
        <v>0</v>
      </c>
      <c r="AJ58" s="42">
        <f t="shared" si="59"/>
        <v>181.25</v>
      </c>
      <c r="AK58" s="42">
        <f t="shared" si="59"/>
        <v>0</v>
      </c>
      <c r="AL58" s="42">
        <f t="shared" si="59"/>
        <v>181.25</v>
      </c>
      <c r="AM58" s="42">
        <f t="shared" si="59"/>
        <v>0</v>
      </c>
      <c r="AN58" s="42">
        <f t="shared" si="59"/>
        <v>181.25</v>
      </c>
      <c r="AO58" s="42">
        <f t="shared" si="59"/>
        <v>0</v>
      </c>
      <c r="AP58" s="42">
        <f t="shared" si="59"/>
        <v>181.25</v>
      </c>
      <c r="AQ58" s="42">
        <f t="shared" si="59"/>
        <v>0</v>
      </c>
      <c r="AR58" s="42">
        <f t="shared" si="59"/>
        <v>181.25</v>
      </c>
      <c r="AS58" s="42">
        <f t="shared" si="59"/>
        <v>0</v>
      </c>
      <c r="AT58" s="42">
        <f t="shared" si="59"/>
        <v>181.25</v>
      </c>
      <c r="AU58" s="42">
        <f t="shared" si="59"/>
        <v>0</v>
      </c>
      <c r="AV58" s="42">
        <f t="shared" si="59"/>
        <v>181.25</v>
      </c>
      <c r="AW58" s="42">
        <f t="shared" si="59"/>
        <v>0</v>
      </c>
      <c r="AX58" s="42">
        <f t="shared" si="59"/>
        <v>181.25</v>
      </c>
      <c r="AY58" s="42">
        <f t="shared" si="59"/>
        <v>0</v>
      </c>
      <c r="AZ58" s="42">
        <f t="shared" si="59"/>
        <v>181.25</v>
      </c>
      <c r="BA58" s="42">
        <f t="shared" si="59"/>
        <v>0</v>
      </c>
      <c r="BB58" s="42">
        <f t="shared" si="59"/>
        <v>181.25</v>
      </c>
      <c r="BC58" s="42">
        <f t="shared" si="59"/>
        <v>0</v>
      </c>
      <c r="BD58" s="42">
        <f t="shared" si="59"/>
        <v>181.25</v>
      </c>
      <c r="BE58" s="42">
        <f t="shared" si="59"/>
        <v>0</v>
      </c>
      <c r="BF58" s="42">
        <f t="shared" si="59"/>
        <v>181.25</v>
      </c>
      <c r="BG58" s="42">
        <f t="shared" si="59"/>
        <v>0</v>
      </c>
      <c r="BH58" s="42">
        <f t="shared" si="59"/>
        <v>181.25</v>
      </c>
      <c r="BI58" s="42">
        <f t="shared" si="59"/>
        <v>0</v>
      </c>
      <c r="BJ58" s="42">
        <f t="shared" si="59"/>
        <v>181.25</v>
      </c>
      <c r="BK58" s="42">
        <f t="shared" si="59"/>
        <v>0</v>
      </c>
      <c r="BL58" s="42">
        <f t="shared" si="59"/>
        <v>181.25</v>
      </c>
      <c r="BM58" s="42">
        <f t="shared" si="59"/>
        <v>0</v>
      </c>
      <c r="BN58" s="42">
        <f t="shared" si="59"/>
        <v>181.25</v>
      </c>
      <c r="BO58" s="42">
        <f t="shared" si="59"/>
        <v>0</v>
      </c>
      <c r="BP58" s="42">
        <f t="shared" si="59"/>
        <v>181.25</v>
      </c>
      <c r="BQ58" s="42">
        <f t="shared" si="59"/>
        <v>0</v>
      </c>
      <c r="BR58" s="42">
        <f t="shared" si="59"/>
        <v>181.25</v>
      </c>
      <c r="BS58" s="42">
        <f t="shared" si="59"/>
        <v>0</v>
      </c>
      <c r="BT58" s="42">
        <f t="shared" si="59"/>
        <v>181.25</v>
      </c>
      <c r="BU58" s="42">
        <f t="shared" si="59"/>
        <v>0</v>
      </c>
      <c r="BV58" s="42">
        <f t="shared" si="59"/>
        <v>181.25</v>
      </c>
      <c r="BW58" s="42">
        <f t="shared" si="59"/>
        <v>0</v>
      </c>
      <c r="BX58" s="42">
        <f t="shared" si="59"/>
        <v>181.25</v>
      </c>
      <c r="BY58" s="42">
        <f t="shared" si="59"/>
        <v>0</v>
      </c>
      <c r="BZ58" s="42">
        <f t="shared" si="59"/>
        <v>181.25</v>
      </c>
      <c r="CA58" s="42">
        <f t="shared" si="59"/>
        <v>0</v>
      </c>
      <c r="CB58" s="42">
        <f t="shared" si="59"/>
        <v>181.25</v>
      </c>
      <c r="CC58" s="42">
        <f t="shared" si="59"/>
        <v>0</v>
      </c>
      <c r="CD58" s="42">
        <f t="shared" si="59"/>
        <v>181.25</v>
      </c>
      <c r="CE58" s="42">
        <f t="shared" si="59"/>
        <v>0</v>
      </c>
      <c r="CF58" s="42">
        <f t="shared" si="58"/>
        <v>181.25</v>
      </c>
      <c r="CG58" s="42">
        <f t="shared" si="58"/>
        <v>0</v>
      </c>
      <c r="CH58" s="42">
        <f t="shared" si="58"/>
        <v>181.25</v>
      </c>
      <c r="CI58" s="42">
        <f t="shared" si="58"/>
        <v>0</v>
      </c>
      <c r="CJ58" s="42">
        <f t="shared" si="58"/>
        <v>181.25</v>
      </c>
      <c r="CK58" s="42">
        <f t="shared" si="58"/>
        <v>0</v>
      </c>
      <c r="CL58" s="42">
        <f t="shared" si="58"/>
        <v>181.25</v>
      </c>
      <c r="CM58" s="42">
        <f t="shared" si="58"/>
        <v>0</v>
      </c>
      <c r="CN58" s="42">
        <f t="shared" si="58"/>
        <v>181.25</v>
      </c>
      <c r="CO58" s="42">
        <f t="shared" si="58"/>
        <v>0</v>
      </c>
      <c r="CP58" s="42">
        <f t="shared" si="58"/>
        <v>181.25</v>
      </c>
      <c r="CQ58" s="42">
        <f t="shared" si="58"/>
        <v>0</v>
      </c>
      <c r="CR58" s="42">
        <f t="shared" si="58"/>
        <v>181.25</v>
      </c>
      <c r="CS58" s="42">
        <f t="shared" si="58"/>
        <v>0</v>
      </c>
      <c r="CT58" s="42">
        <f t="shared" si="58"/>
        <v>181.25</v>
      </c>
      <c r="CU58" s="42">
        <f t="shared" si="58"/>
        <v>0</v>
      </c>
      <c r="CV58" s="42">
        <f t="shared" si="58"/>
        <v>181.25</v>
      </c>
      <c r="CW58" s="42">
        <f t="shared" si="58"/>
        <v>0</v>
      </c>
      <c r="CX58" s="42">
        <f t="shared" si="58"/>
        <v>181.25</v>
      </c>
      <c r="CY58" s="42">
        <f t="shared" si="58"/>
        <v>0</v>
      </c>
      <c r="CZ58" s="42">
        <f t="shared" si="58"/>
        <v>181.25</v>
      </c>
      <c r="DA58" s="42">
        <f t="shared" si="58"/>
        <v>0</v>
      </c>
      <c r="DB58" s="42">
        <f t="shared" si="58"/>
        <v>181.25</v>
      </c>
      <c r="DC58" s="42">
        <f t="shared" si="58"/>
        <v>0</v>
      </c>
      <c r="DD58" s="42">
        <f t="shared" si="58"/>
        <v>181.25</v>
      </c>
      <c r="DE58" s="42">
        <f t="shared" si="58"/>
        <v>0</v>
      </c>
      <c r="DF58" s="42">
        <f t="shared" si="58"/>
        <v>181.25</v>
      </c>
      <c r="DG58" s="42">
        <f t="shared" si="58"/>
        <v>0</v>
      </c>
      <c r="DH58" s="42">
        <f t="shared" si="58"/>
        <v>181.25</v>
      </c>
      <c r="DI58" s="42">
        <f t="shared" si="58"/>
        <v>0</v>
      </c>
      <c r="DJ58" s="42">
        <f t="shared" si="58"/>
        <v>181.25</v>
      </c>
      <c r="DK58" s="42">
        <f t="shared" si="58"/>
        <v>0</v>
      </c>
      <c r="DL58" s="42">
        <f t="shared" si="58"/>
        <v>181.25</v>
      </c>
      <c r="DM58" s="42">
        <f t="shared" si="58"/>
        <v>0</v>
      </c>
      <c r="DN58" s="42">
        <f t="shared" si="58"/>
        <v>181.25</v>
      </c>
      <c r="DO58" s="42">
        <f t="shared" si="58"/>
        <v>0</v>
      </c>
      <c r="DP58" s="42">
        <f t="shared" si="58"/>
        <v>181.25</v>
      </c>
      <c r="DQ58" s="42">
        <f t="shared" si="58"/>
        <v>0</v>
      </c>
      <c r="DR58" s="42">
        <f t="shared" si="58"/>
        <v>181.25</v>
      </c>
      <c r="DS58" s="42">
        <f t="shared" si="58"/>
        <v>0</v>
      </c>
      <c r="DT58" s="42">
        <f t="shared" si="58"/>
        <v>181.25</v>
      </c>
      <c r="DU58" s="42">
        <f t="shared" si="58"/>
        <v>0</v>
      </c>
      <c r="DV58" s="42">
        <f t="shared" si="58"/>
        <v>181.25</v>
      </c>
      <c r="DW58" s="42">
        <f t="shared" si="58"/>
        <v>0</v>
      </c>
      <c r="DX58" s="42">
        <f t="shared" si="58"/>
        <v>181.25</v>
      </c>
      <c r="DY58" s="42">
        <f t="shared" si="58"/>
        <v>0</v>
      </c>
      <c r="DZ58" s="42">
        <f t="shared" si="58"/>
        <v>181.25</v>
      </c>
      <c r="EA58" s="42">
        <f t="shared" si="58"/>
        <v>0</v>
      </c>
      <c r="EB58" s="42">
        <f t="shared" si="58"/>
        <v>181.25</v>
      </c>
      <c r="EC58" s="42">
        <f t="shared" si="58"/>
        <v>0</v>
      </c>
      <c r="ED58" s="42">
        <f t="shared" si="58"/>
        <v>181.25</v>
      </c>
      <c r="EE58" s="42">
        <f t="shared" si="58"/>
        <v>0</v>
      </c>
      <c r="EF58" s="42">
        <f t="shared" si="58"/>
        <v>181.25</v>
      </c>
      <c r="EG58" s="42">
        <f t="shared" si="58"/>
        <v>0</v>
      </c>
      <c r="EH58" s="42">
        <f t="shared" si="58"/>
        <v>10181.25</v>
      </c>
      <c r="EI58" s="42">
        <f t="shared" si="58"/>
        <v>0</v>
      </c>
      <c r="EJ58" s="42">
        <f t="shared" si="58"/>
        <v>0</v>
      </c>
      <c r="EK58" s="42">
        <f t="shared" si="58"/>
        <v>0</v>
      </c>
      <c r="EL58" s="42">
        <f t="shared" si="58"/>
        <v>0</v>
      </c>
      <c r="EM58" s="42">
        <f t="shared" si="58"/>
        <v>0</v>
      </c>
      <c r="EN58" s="42">
        <f t="shared" si="58"/>
        <v>0</v>
      </c>
      <c r="EO58" s="42">
        <f t="shared" si="58"/>
        <v>0</v>
      </c>
      <c r="EP58" s="42">
        <f t="shared" si="58"/>
        <v>0</v>
      </c>
      <c r="EQ58" s="42">
        <f t="shared" si="57"/>
        <v>0</v>
      </c>
      <c r="ER58" s="42">
        <f t="shared" si="57"/>
        <v>0</v>
      </c>
      <c r="ES58" s="42">
        <f t="shared" si="57"/>
        <v>0</v>
      </c>
      <c r="ET58" s="42">
        <f t="shared" si="57"/>
        <v>0</v>
      </c>
      <c r="EU58" s="42">
        <f t="shared" si="57"/>
        <v>0</v>
      </c>
      <c r="EV58" s="42">
        <f t="shared" si="57"/>
        <v>0</v>
      </c>
      <c r="EW58" s="42">
        <f t="shared" si="57"/>
        <v>0</v>
      </c>
      <c r="EX58" s="42">
        <f t="shared" si="57"/>
        <v>0</v>
      </c>
      <c r="EY58" s="42">
        <f t="shared" si="57"/>
        <v>0</v>
      </c>
      <c r="EZ58" s="42">
        <f t="shared" si="57"/>
        <v>0</v>
      </c>
      <c r="FA58" s="42">
        <f t="shared" si="57"/>
        <v>0</v>
      </c>
      <c r="FB58" s="42">
        <f t="shared" si="57"/>
        <v>0</v>
      </c>
      <c r="FC58" s="42">
        <f t="shared" si="57"/>
        <v>0</v>
      </c>
      <c r="FD58" s="42">
        <f t="shared" si="57"/>
        <v>0</v>
      </c>
      <c r="FE58" s="42">
        <f t="shared" si="57"/>
        <v>0</v>
      </c>
      <c r="FF58" s="42">
        <f t="shared" si="57"/>
        <v>0</v>
      </c>
      <c r="FG58" s="42">
        <f t="shared" si="57"/>
        <v>0</v>
      </c>
      <c r="FH58" s="42">
        <f t="shared" si="57"/>
        <v>0</v>
      </c>
      <c r="FI58" s="42">
        <f t="shared" si="57"/>
        <v>0</v>
      </c>
      <c r="FJ58" s="42">
        <f t="shared" si="57"/>
        <v>0</v>
      </c>
      <c r="FK58" s="42">
        <f t="shared" si="57"/>
        <v>0</v>
      </c>
      <c r="FL58" s="42">
        <f t="shared" si="57"/>
        <v>0</v>
      </c>
      <c r="FM58" s="42">
        <f t="shared" si="57"/>
        <v>0</v>
      </c>
      <c r="FN58" s="42">
        <f t="shared" si="57"/>
        <v>0</v>
      </c>
      <c r="FO58" s="42">
        <f t="shared" si="57"/>
        <v>0</v>
      </c>
      <c r="FP58" s="42">
        <f t="shared" si="57"/>
        <v>0</v>
      </c>
      <c r="FQ58" s="42">
        <f t="shared" si="57"/>
        <v>0</v>
      </c>
      <c r="FR58" s="42">
        <f t="shared" si="57"/>
        <v>0</v>
      </c>
      <c r="FS58" s="42">
        <f t="shared" si="57"/>
        <v>0</v>
      </c>
      <c r="FT58" s="42">
        <f t="shared" si="57"/>
        <v>0</v>
      </c>
      <c r="FU58" s="42">
        <f t="shared" si="57"/>
        <v>0</v>
      </c>
      <c r="FV58" s="42">
        <f t="shared" si="57"/>
        <v>0</v>
      </c>
      <c r="FW58" s="42">
        <f t="shared" si="57"/>
        <v>0</v>
      </c>
      <c r="FX58" s="42">
        <f t="shared" si="57"/>
        <v>0</v>
      </c>
      <c r="FY58" s="42">
        <f t="shared" si="57"/>
        <v>0</v>
      </c>
      <c r="FZ58" s="42">
        <f t="shared" ref="FZ58:GH58" si="60">IF(
    FZ$6=$R58,
    10000+10000*$E58/200,
    IF(
        AND(FZ$6&lt;$R58,MOD($R58-FZ$6,6)=0),
        10000*$E58/200,
        0
    )
)</f>
        <v>0</v>
      </c>
      <c r="GA58" s="42">
        <f t="shared" si="60"/>
        <v>0</v>
      </c>
      <c r="GB58" s="42">
        <f t="shared" si="60"/>
        <v>0</v>
      </c>
      <c r="GC58" s="42">
        <f t="shared" si="60"/>
        <v>0</v>
      </c>
      <c r="GD58" s="42">
        <f t="shared" si="60"/>
        <v>0</v>
      </c>
      <c r="GE58" s="42">
        <f t="shared" si="60"/>
        <v>0</v>
      </c>
      <c r="GF58" s="42">
        <f t="shared" si="60"/>
        <v>0</v>
      </c>
      <c r="GG58" s="42">
        <f t="shared" si="60"/>
        <v>0</v>
      </c>
      <c r="GH58" s="42">
        <f t="shared" si="60"/>
        <v>0</v>
      </c>
    </row>
    <row r="59" spans="1:190" ht="14.5" thickBot="1">
      <c r="B59" s="43" t="s">
        <v>264</v>
      </c>
      <c r="C59" s="31">
        <v>42623</v>
      </c>
      <c r="D59" s="31">
        <v>60885</v>
      </c>
      <c r="E59" s="32">
        <v>1.5</v>
      </c>
      <c r="F59" s="33" t="s">
        <v>175</v>
      </c>
      <c r="G59" s="47">
        <v>515.47</v>
      </c>
      <c r="H59" s="47">
        <v>15689</v>
      </c>
      <c r="I59" s="32">
        <v>3.8980000000000001</v>
      </c>
      <c r="J59" s="35">
        <v>5026.79</v>
      </c>
      <c r="K59" s="48" cm="1">
        <f t="array" ref="K59">_xlfn.LET(
    _xlpm.settle,$B$3,
    _xlpm.mat,$D59,
    _xlpm.coupon,10000*$E59/200,
    _xlpm.p,_xlfn.SEQUENCE(200,1,0),
    _xlpm.coupon_dates,EDATE(_xlpm.mat,-6*_xlpm.p),
    _xlpm.prev_coupon,MAX(_xlfn._xlws.FILTER(_xlpm.coupon_dates,_xlpm.coupon_dates&lt;=_xlpm.settle)),
    _xlpm.next_coupon,MIN(_xlfn._xlws.FILTER(_xlpm.coupon_dates,_xlpm.coupon_dates&gt;_xlpm.settle)),
    _xlpm.coupon*(_xlpm.settle-_xlpm.prev_coupon)/(_xlpm.next_coupon-_xlpm.prev_coupon)
)</f>
        <v>6.5934065934065931</v>
      </c>
      <c r="L59" s="37">
        <f t="shared" si="39"/>
        <v>5033.3834065934061</v>
      </c>
      <c r="M59" s="121">
        <v>0.19183188859018074</v>
      </c>
      <c r="N59" s="49">
        <f t="shared" si="40"/>
        <v>3.8413193500332447E-2</v>
      </c>
      <c r="O59" s="99">
        <f t="shared" si="41"/>
        <v>5033.3839968769107</v>
      </c>
      <c r="P59" s="39">
        <f t="shared" si="42"/>
        <v>5.9028350460721413E-4</v>
      </c>
      <c r="R59" s="50">
        <f t="shared" si="44"/>
        <v>515</v>
      </c>
      <c r="S59" s="42">
        <f t="shared" si="25"/>
        <v>0</v>
      </c>
      <c r="T59" s="42">
        <f t="shared" si="59"/>
        <v>75</v>
      </c>
      <c r="U59" s="42">
        <f t="shared" si="59"/>
        <v>0</v>
      </c>
      <c r="V59" s="42">
        <f t="shared" si="59"/>
        <v>75</v>
      </c>
      <c r="W59" s="42">
        <f t="shared" si="59"/>
        <v>0</v>
      </c>
      <c r="X59" s="42">
        <f t="shared" si="59"/>
        <v>75</v>
      </c>
      <c r="Y59" s="42">
        <f t="shared" si="59"/>
        <v>0</v>
      </c>
      <c r="Z59" s="42">
        <f t="shared" si="59"/>
        <v>75</v>
      </c>
      <c r="AA59" s="42">
        <f t="shared" si="59"/>
        <v>0</v>
      </c>
      <c r="AB59" s="42">
        <f t="shared" si="59"/>
        <v>75</v>
      </c>
      <c r="AC59" s="42">
        <f t="shared" si="59"/>
        <v>0</v>
      </c>
      <c r="AD59" s="42">
        <f t="shared" si="59"/>
        <v>75</v>
      </c>
      <c r="AE59" s="42">
        <f t="shared" si="59"/>
        <v>0</v>
      </c>
      <c r="AF59" s="42">
        <f t="shared" si="59"/>
        <v>75</v>
      </c>
      <c r="AG59" s="42">
        <f t="shared" si="59"/>
        <v>0</v>
      </c>
      <c r="AH59" s="42">
        <f t="shared" si="59"/>
        <v>75</v>
      </c>
      <c r="AI59" s="42">
        <f t="shared" si="59"/>
        <v>0</v>
      </c>
      <c r="AJ59" s="42">
        <f t="shared" si="59"/>
        <v>75</v>
      </c>
      <c r="AK59" s="42">
        <f t="shared" si="59"/>
        <v>0</v>
      </c>
      <c r="AL59" s="42">
        <f t="shared" si="59"/>
        <v>75</v>
      </c>
      <c r="AM59" s="42">
        <f t="shared" si="59"/>
        <v>0</v>
      </c>
      <c r="AN59" s="42">
        <f t="shared" si="59"/>
        <v>75</v>
      </c>
      <c r="AO59" s="42">
        <f t="shared" si="59"/>
        <v>0</v>
      </c>
      <c r="AP59" s="42">
        <f t="shared" si="59"/>
        <v>75</v>
      </c>
      <c r="AQ59" s="42">
        <f t="shared" si="59"/>
        <v>0</v>
      </c>
      <c r="AR59" s="42">
        <f t="shared" si="59"/>
        <v>75</v>
      </c>
      <c r="AS59" s="42">
        <f t="shared" si="59"/>
        <v>0</v>
      </c>
      <c r="AT59" s="42">
        <f t="shared" si="59"/>
        <v>75</v>
      </c>
      <c r="AU59" s="42">
        <f t="shared" si="59"/>
        <v>0</v>
      </c>
      <c r="AV59" s="42">
        <f t="shared" si="59"/>
        <v>75</v>
      </c>
      <c r="AW59" s="42">
        <f t="shared" si="59"/>
        <v>0</v>
      </c>
      <c r="AX59" s="42">
        <f t="shared" si="59"/>
        <v>75</v>
      </c>
      <c r="AY59" s="42">
        <f t="shared" si="59"/>
        <v>0</v>
      </c>
      <c r="AZ59" s="42">
        <f t="shared" si="59"/>
        <v>75</v>
      </c>
      <c r="BA59" s="42">
        <f t="shared" si="59"/>
        <v>0</v>
      </c>
      <c r="BB59" s="42">
        <f t="shared" si="59"/>
        <v>75</v>
      </c>
      <c r="BC59" s="42">
        <f t="shared" si="59"/>
        <v>0</v>
      </c>
      <c r="BD59" s="42">
        <f t="shared" si="59"/>
        <v>75</v>
      </c>
      <c r="BE59" s="42">
        <f t="shared" si="59"/>
        <v>0</v>
      </c>
      <c r="BF59" s="42">
        <f t="shared" si="59"/>
        <v>75</v>
      </c>
      <c r="BG59" s="42">
        <f t="shared" si="59"/>
        <v>0</v>
      </c>
      <c r="BH59" s="42">
        <f t="shared" si="59"/>
        <v>75</v>
      </c>
      <c r="BI59" s="42">
        <f t="shared" si="59"/>
        <v>0</v>
      </c>
      <c r="BJ59" s="42">
        <f t="shared" si="59"/>
        <v>75</v>
      </c>
      <c r="BK59" s="42">
        <f t="shared" si="59"/>
        <v>0</v>
      </c>
      <c r="BL59" s="42">
        <f t="shared" si="59"/>
        <v>75</v>
      </c>
      <c r="BM59" s="42">
        <f t="shared" si="59"/>
        <v>0</v>
      </c>
      <c r="BN59" s="42">
        <f t="shared" si="59"/>
        <v>75</v>
      </c>
      <c r="BO59" s="42">
        <f t="shared" si="59"/>
        <v>0</v>
      </c>
      <c r="BP59" s="42">
        <f t="shared" si="59"/>
        <v>75</v>
      </c>
      <c r="BQ59" s="42">
        <f t="shared" si="59"/>
        <v>0</v>
      </c>
      <c r="BR59" s="42">
        <f t="shared" si="59"/>
        <v>75</v>
      </c>
      <c r="BS59" s="42">
        <f t="shared" si="59"/>
        <v>0</v>
      </c>
      <c r="BT59" s="42">
        <f t="shared" si="59"/>
        <v>75</v>
      </c>
      <c r="BU59" s="42">
        <f t="shared" si="59"/>
        <v>0</v>
      </c>
      <c r="BV59" s="42">
        <f t="shared" si="59"/>
        <v>75</v>
      </c>
      <c r="BW59" s="42">
        <f t="shared" si="59"/>
        <v>0</v>
      </c>
      <c r="BX59" s="42">
        <f t="shared" si="59"/>
        <v>75</v>
      </c>
      <c r="BY59" s="42">
        <f t="shared" si="59"/>
        <v>0</v>
      </c>
      <c r="BZ59" s="42">
        <f t="shared" si="59"/>
        <v>75</v>
      </c>
      <c r="CA59" s="42">
        <f t="shared" si="59"/>
        <v>0</v>
      </c>
      <c r="CB59" s="42">
        <f t="shared" si="59"/>
        <v>75</v>
      </c>
      <c r="CC59" s="42">
        <f t="shared" si="59"/>
        <v>0</v>
      </c>
      <c r="CD59" s="42">
        <f t="shared" si="59"/>
        <v>75</v>
      </c>
      <c r="CE59" s="42">
        <f t="shared" ref="CE59:EP59" si="61">IF(
    CE$6=$R59,
    10000+10000*$E59/200,
    IF(
        AND(CE$6&lt;$R59,MOD($R59-CE$6,6)=0),
        10000*$E59/200,
        0
    )
)</f>
        <v>0</v>
      </c>
      <c r="CF59" s="42">
        <f t="shared" si="61"/>
        <v>75</v>
      </c>
      <c r="CG59" s="42">
        <f t="shared" si="61"/>
        <v>0</v>
      </c>
      <c r="CH59" s="42">
        <f t="shared" si="61"/>
        <v>75</v>
      </c>
      <c r="CI59" s="42">
        <f t="shared" si="61"/>
        <v>0</v>
      </c>
      <c r="CJ59" s="42">
        <f t="shared" si="61"/>
        <v>75</v>
      </c>
      <c r="CK59" s="42">
        <f t="shared" si="61"/>
        <v>0</v>
      </c>
      <c r="CL59" s="42">
        <f t="shared" si="61"/>
        <v>75</v>
      </c>
      <c r="CM59" s="42">
        <f t="shared" si="61"/>
        <v>0</v>
      </c>
      <c r="CN59" s="42">
        <f t="shared" si="61"/>
        <v>75</v>
      </c>
      <c r="CO59" s="42">
        <f t="shared" si="61"/>
        <v>0</v>
      </c>
      <c r="CP59" s="42">
        <f t="shared" si="61"/>
        <v>75</v>
      </c>
      <c r="CQ59" s="42">
        <f t="shared" si="61"/>
        <v>0</v>
      </c>
      <c r="CR59" s="42">
        <f t="shared" si="61"/>
        <v>75</v>
      </c>
      <c r="CS59" s="42">
        <f t="shared" si="61"/>
        <v>0</v>
      </c>
      <c r="CT59" s="42">
        <f t="shared" si="61"/>
        <v>75</v>
      </c>
      <c r="CU59" s="42">
        <f t="shared" si="61"/>
        <v>0</v>
      </c>
      <c r="CV59" s="42">
        <f t="shared" si="61"/>
        <v>75</v>
      </c>
      <c r="CW59" s="42">
        <f t="shared" si="61"/>
        <v>0</v>
      </c>
      <c r="CX59" s="42">
        <f t="shared" si="61"/>
        <v>75</v>
      </c>
      <c r="CY59" s="42">
        <f t="shared" si="61"/>
        <v>0</v>
      </c>
      <c r="CZ59" s="42">
        <f t="shared" si="61"/>
        <v>75</v>
      </c>
      <c r="DA59" s="42">
        <f t="shared" si="61"/>
        <v>0</v>
      </c>
      <c r="DB59" s="42">
        <f t="shared" si="61"/>
        <v>75</v>
      </c>
      <c r="DC59" s="42">
        <f t="shared" si="61"/>
        <v>0</v>
      </c>
      <c r="DD59" s="42">
        <f t="shared" si="61"/>
        <v>75</v>
      </c>
      <c r="DE59" s="42">
        <f t="shared" si="61"/>
        <v>0</v>
      </c>
      <c r="DF59" s="42">
        <f t="shared" si="61"/>
        <v>75</v>
      </c>
      <c r="DG59" s="42">
        <f t="shared" si="61"/>
        <v>0</v>
      </c>
      <c r="DH59" s="42">
        <f t="shared" si="61"/>
        <v>75</v>
      </c>
      <c r="DI59" s="42">
        <f t="shared" si="61"/>
        <v>0</v>
      </c>
      <c r="DJ59" s="42">
        <f t="shared" si="61"/>
        <v>75</v>
      </c>
      <c r="DK59" s="42">
        <f t="shared" si="61"/>
        <v>0</v>
      </c>
      <c r="DL59" s="42">
        <f t="shared" si="61"/>
        <v>75</v>
      </c>
      <c r="DM59" s="42">
        <f t="shared" si="61"/>
        <v>0</v>
      </c>
      <c r="DN59" s="42">
        <f t="shared" si="61"/>
        <v>75</v>
      </c>
      <c r="DO59" s="42">
        <f t="shared" si="61"/>
        <v>0</v>
      </c>
      <c r="DP59" s="42">
        <f t="shared" si="61"/>
        <v>75</v>
      </c>
      <c r="DQ59" s="42">
        <f t="shared" si="61"/>
        <v>0</v>
      </c>
      <c r="DR59" s="42">
        <f t="shared" si="61"/>
        <v>75</v>
      </c>
      <c r="DS59" s="42">
        <f t="shared" si="61"/>
        <v>0</v>
      </c>
      <c r="DT59" s="42">
        <f t="shared" si="61"/>
        <v>75</v>
      </c>
      <c r="DU59" s="42">
        <f t="shared" si="61"/>
        <v>0</v>
      </c>
      <c r="DV59" s="42">
        <f t="shared" si="61"/>
        <v>75</v>
      </c>
      <c r="DW59" s="42">
        <f t="shared" si="61"/>
        <v>0</v>
      </c>
      <c r="DX59" s="42">
        <f t="shared" si="61"/>
        <v>75</v>
      </c>
      <c r="DY59" s="42">
        <f t="shared" si="61"/>
        <v>0</v>
      </c>
      <c r="DZ59" s="42">
        <f t="shared" si="61"/>
        <v>75</v>
      </c>
      <c r="EA59" s="42">
        <f t="shared" si="61"/>
        <v>0</v>
      </c>
      <c r="EB59" s="42">
        <f t="shared" si="61"/>
        <v>75</v>
      </c>
      <c r="EC59" s="42">
        <f t="shared" si="61"/>
        <v>0</v>
      </c>
      <c r="ED59" s="42">
        <f t="shared" si="61"/>
        <v>75</v>
      </c>
      <c r="EE59" s="42">
        <f t="shared" si="61"/>
        <v>0</v>
      </c>
      <c r="EF59" s="42">
        <f t="shared" si="61"/>
        <v>75</v>
      </c>
      <c r="EG59" s="42">
        <f t="shared" si="61"/>
        <v>0</v>
      </c>
      <c r="EH59" s="42">
        <f t="shared" si="61"/>
        <v>75</v>
      </c>
      <c r="EI59" s="42">
        <f t="shared" si="61"/>
        <v>0</v>
      </c>
      <c r="EJ59" s="42">
        <f t="shared" si="61"/>
        <v>75</v>
      </c>
      <c r="EK59" s="42">
        <f t="shared" si="61"/>
        <v>0</v>
      </c>
      <c r="EL59" s="42">
        <f t="shared" si="61"/>
        <v>75</v>
      </c>
      <c r="EM59" s="42">
        <f t="shared" si="61"/>
        <v>0</v>
      </c>
      <c r="EN59" s="42">
        <f t="shared" si="61"/>
        <v>75</v>
      </c>
      <c r="EO59" s="42">
        <f t="shared" si="61"/>
        <v>0</v>
      </c>
      <c r="EP59" s="42">
        <f t="shared" si="61"/>
        <v>75</v>
      </c>
      <c r="EQ59" s="42">
        <f t="shared" ref="EQ59:GH59" si="62">IF(
    EQ$6=$R59,
    10000+10000*$E59/200,
    IF(
        AND(EQ$6&lt;$R59,MOD($R59-EQ$6,6)=0),
        10000*$E59/200,
        0
    )
)</f>
        <v>0</v>
      </c>
      <c r="ER59" s="42">
        <f t="shared" si="62"/>
        <v>75</v>
      </c>
      <c r="ES59" s="42">
        <f t="shared" si="62"/>
        <v>0</v>
      </c>
      <c r="ET59" s="42">
        <f t="shared" si="62"/>
        <v>75</v>
      </c>
      <c r="EU59" s="42">
        <f t="shared" si="62"/>
        <v>0</v>
      </c>
      <c r="EV59" s="42">
        <f t="shared" si="62"/>
        <v>75</v>
      </c>
      <c r="EW59" s="42">
        <f t="shared" si="62"/>
        <v>0</v>
      </c>
      <c r="EX59" s="42">
        <f t="shared" si="62"/>
        <v>75</v>
      </c>
      <c r="EY59" s="42">
        <f t="shared" si="62"/>
        <v>0</v>
      </c>
      <c r="EZ59" s="42">
        <f t="shared" si="62"/>
        <v>75</v>
      </c>
      <c r="FA59" s="42">
        <f t="shared" si="62"/>
        <v>0</v>
      </c>
      <c r="FB59" s="42">
        <f t="shared" si="62"/>
        <v>75</v>
      </c>
      <c r="FC59" s="42">
        <f t="shared" si="62"/>
        <v>0</v>
      </c>
      <c r="FD59" s="42">
        <f t="shared" si="62"/>
        <v>75</v>
      </c>
      <c r="FE59" s="42">
        <f t="shared" si="62"/>
        <v>0</v>
      </c>
      <c r="FF59" s="42">
        <f t="shared" si="62"/>
        <v>75</v>
      </c>
      <c r="FG59" s="42">
        <f t="shared" si="62"/>
        <v>0</v>
      </c>
      <c r="FH59" s="42">
        <f t="shared" si="62"/>
        <v>75</v>
      </c>
      <c r="FI59" s="42">
        <f t="shared" si="62"/>
        <v>0</v>
      </c>
      <c r="FJ59" s="42">
        <f t="shared" si="62"/>
        <v>75</v>
      </c>
      <c r="FK59" s="42">
        <f t="shared" si="62"/>
        <v>0</v>
      </c>
      <c r="FL59" s="42">
        <f t="shared" si="62"/>
        <v>75</v>
      </c>
      <c r="FM59" s="42">
        <f t="shared" si="62"/>
        <v>0</v>
      </c>
      <c r="FN59" s="42">
        <f t="shared" si="62"/>
        <v>75</v>
      </c>
      <c r="FO59" s="42">
        <f t="shared" si="62"/>
        <v>0</v>
      </c>
      <c r="FP59" s="42">
        <f t="shared" si="62"/>
        <v>75</v>
      </c>
      <c r="FQ59" s="42">
        <f t="shared" si="62"/>
        <v>0</v>
      </c>
      <c r="FR59" s="42">
        <f t="shared" si="62"/>
        <v>75</v>
      </c>
      <c r="FS59" s="42">
        <f t="shared" si="62"/>
        <v>0</v>
      </c>
      <c r="FT59" s="42">
        <f t="shared" si="62"/>
        <v>75</v>
      </c>
      <c r="FU59" s="42">
        <f t="shared" si="62"/>
        <v>0</v>
      </c>
      <c r="FV59" s="42">
        <f t="shared" si="62"/>
        <v>75</v>
      </c>
      <c r="FW59" s="42">
        <f t="shared" si="62"/>
        <v>0</v>
      </c>
      <c r="FX59" s="42">
        <f t="shared" si="62"/>
        <v>75</v>
      </c>
      <c r="FY59" s="42">
        <f t="shared" si="62"/>
        <v>0</v>
      </c>
      <c r="FZ59" s="42">
        <f t="shared" si="62"/>
        <v>75</v>
      </c>
      <c r="GA59" s="42">
        <f t="shared" si="62"/>
        <v>0</v>
      </c>
      <c r="GB59" s="42">
        <f t="shared" si="62"/>
        <v>75</v>
      </c>
      <c r="GC59" s="42">
        <f t="shared" si="62"/>
        <v>0</v>
      </c>
      <c r="GD59" s="42">
        <f t="shared" si="62"/>
        <v>75</v>
      </c>
      <c r="GE59" s="42">
        <f t="shared" si="62"/>
        <v>0</v>
      </c>
      <c r="GF59" s="42">
        <f t="shared" si="62"/>
        <v>75</v>
      </c>
      <c r="GG59" s="42">
        <f t="shared" si="62"/>
        <v>0</v>
      </c>
      <c r="GH59" s="42">
        <f t="shared" si="62"/>
        <v>10075</v>
      </c>
    </row>
    <row r="60" spans="1:190">
      <c r="B60" s="51"/>
      <c r="C60" s="52"/>
      <c r="D60" s="52"/>
      <c r="E60" s="53"/>
      <c r="F60" s="54"/>
      <c r="G60" s="55"/>
      <c r="H60" s="55"/>
      <c r="I60" s="53"/>
      <c r="J60" s="56"/>
      <c r="K60" s="37"/>
      <c r="L60" s="37"/>
      <c r="M60" s="57"/>
      <c r="N60" s="58"/>
      <c r="O60" s="23" t="s">
        <v>265</v>
      </c>
      <c r="P60" s="59">
        <f>SUMSQ(P7:P59)</f>
        <v>7.686942378772705E-5</v>
      </c>
      <c r="Q60" s="12" t="s">
        <v>266</v>
      </c>
    </row>
    <row r="61" spans="1:190">
      <c r="B61" s="51"/>
      <c r="C61" s="52"/>
      <c r="D61" s="52"/>
      <c r="E61" s="53"/>
      <c r="F61" s="54"/>
      <c r="G61" s="55"/>
      <c r="H61" s="55"/>
      <c r="I61" s="53"/>
      <c r="J61" s="56"/>
      <c r="K61" s="37"/>
      <c r="L61" s="37"/>
      <c r="M61" s="57"/>
      <c r="N61" s="58"/>
      <c r="O61" s="60" t="s">
        <v>190</v>
      </c>
      <c r="P61" s="23" t="s">
        <v>267</v>
      </c>
      <c r="Q61" s="12" t="s">
        <v>268</v>
      </c>
      <c r="R61" s="12" t="s">
        <v>269</v>
      </c>
    </row>
    <row r="62" spans="1:190">
      <c r="B62" s="51"/>
      <c r="C62" s="52"/>
      <c r="D62" s="52"/>
      <c r="E62" s="53"/>
      <c r="F62" s="54"/>
      <c r="G62" s="55"/>
      <c r="H62" s="55"/>
      <c r="I62" s="53"/>
      <c r="J62" s="56"/>
      <c r="K62" s="37"/>
      <c r="L62" s="37"/>
      <c r="M62" s="57"/>
      <c r="N62" s="58"/>
      <c r="O62" s="60"/>
      <c r="Q62" s="12" t="s">
        <v>270</v>
      </c>
      <c r="R62" s="12" t="s">
        <v>192</v>
      </c>
    </row>
    <row r="63" spans="1:190">
      <c r="Q63" s="12" t="s">
        <v>271</v>
      </c>
      <c r="R63" s="12" t="s">
        <v>193</v>
      </c>
    </row>
    <row r="64" spans="1:190" s="15" customFormat="1" ht="19">
      <c r="A64" s="12" t="s">
        <v>136</v>
      </c>
      <c r="B64" s="14" t="s">
        <v>177</v>
      </c>
    </row>
    <row r="65" spans="2:24" ht="19">
      <c r="B65" s="61"/>
    </row>
    <row r="66" spans="2:24">
      <c r="B66" s="62"/>
      <c r="C66" s="12" t="s">
        <v>172</v>
      </c>
    </row>
    <row r="67" spans="2:24">
      <c r="B67" s="63"/>
      <c r="C67" s="12" t="s">
        <v>173</v>
      </c>
      <c r="F67" s="12" t="s">
        <v>130</v>
      </c>
      <c r="G67" s="64">
        <v>10000</v>
      </c>
      <c r="H67" s="64"/>
      <c r="I67" s="65" t="s">
        <v>281</v>
      </c>
      <c r="J67" s="65" t="s">
        <v>282</v>
      </c>
      <c r="K67" s="65" t="s">
        <v>283</v>
      </c>
      <c r="L67" s="65" t="s">
        <v>284</v>
      </c>
      <c r="M67" s="66">
        <v>0</v>
      </c>
      <c r="N67" s="67">
        <v>0</v>
      </c>
      <c r="O67" s="12">
        <v>0</v>
      </c>
      <c r="P67" s="12">
        <v>0</v>
      </c>
      <c r="Q67" s="12">
        <v>0</v>
      </c>
      <c r="R67" s="12">
        <v>0</v>
      </c>
      <c r="V67" s="68"/>
      <c r="W67" s="68"/>
      <c r="X67" s="68"/>
    </row>
    <row r="68" spans="2:24">
      <c r="E68" s="12" t="s">
        <v>272</v>
      </c>
      <c r="I68" s="69">
        <v>3.0652723116379019</v>
      </c>
      <c r="J68" s="69">
        <v>0</v>
      </c>
      <c r="K68" s="69">
        <v>3.3146105073013064</v>
      </c>
      <c r="L68" s="69">
        <v>6.0259066262840149</v>
      </c>
      <c r="M68" s="70"/>
      <c r="V68" s="71"/>
      <c r="W68" s="71"/>
      <c r="X68" s="71"/>
    </row>
    <row r="69" spans="2:24" ht="14.5" thickBot="1">
      <c r="C69" s="12" t="s">
        <v>273</v>
      </c>
      <c r="D69" s="22" t="s">
        <v>278</v>
      </c>
      <c r="E69" s="22" t="s">
        <v>279</v>
      </c>
      <c r="F69" s="22"/>
      <c r="G69" s="22" t="s">
        <v>280</v>
      </c>
      <c r="J69" s="22"/>
      <c r="K69" s="22"/>
      <c r="L69" s="22"/>
      <c r="V69" s="71"/>
      <c r="W69" s="71"/>
      <c r="X69" s="71"/>
    </row>
    <row r="70" spans="2:24" ht="14.5" thickBot="1">
      <c r="B70" s="72" t="s">
        <v>205</v>
      </c>
      <c r="C70" s="72" t="s">
        <v>53</v>
      </c>
      <c r="D70" s="72" t="s">
        <v>131</v>
      </c>
      <c r="E70" s="72" t="s">
        <v>208</v>
      </c>
      <c r="F70" s="72" t="s">
        <v>132</v>
      </c>
      <c r="G70" s="72" t="s">
        <v>166</v>
      </c>
      <c r="H70" s="72" t="s">
        <v>194</v>
      </c>
      <c r="I70" s="72" t="s">
        <v>133</v>
      </c>
      <c r="J70" s="26"/>
      <c r="K70" s="122">
        <v>0.99991600282685866</v>
      </c>
      <c r="V70" s="71"/>
      <c r="W70" s="71"/>
      <c r="X70" s="71"/>
    </row>
    <row r="71" spans="2:24">
      <c r="B71" s="73" t="s">
        <v>54</v>
      </c>
      <c r="C71" s="74">
        <f>1/365</f>
        <v>2.7397260273972603E-3</v>
      </c>
      <c r="D71" s="122">
        <f>F71</f>
        <v>3.0660255902041804</v>
      </c>
      <c r="E71" s="122">
        <f>G71</f>
        <v>0.99991600282685866</v>
      </c>
      <c r="F71" s="122">
        <f>$I$68+$J$68*(1-EXP(-C71/$L$68))/(C71/$L$68)+$K$68*((1-EXP(-C71/$L$68))/(C71/$L$68)-EXP(-C71/$L$68))</f>
        <v>3.0660255902041804</v>
      </c>
      <c r="G71" s="122">
        <f>EXP(-F71/100*C71)</f>
        <v>0.99991600282685866</v>
      </c>
      <c r="H71" s="75"/>
      <c r="I71" s="76"/>
      <c r="J71" s="46"/>
      <c r="K71" s="123">
        <v>0.99941130349296248</v>
      </c>
      <c r="V71" s="71"/>
      <c r="W71" s="71"/>
      <c r="X71" s="71"/>
    </row>
    <row r="72" spans="2:24">
      <c r="B72" s="77" t="s">
        <v>55</v>
      </c>
      <c r="C72" s="63">
        <f>7/365</f>
        <v>1.9178082191780823E-2</v>
      </c>
      <c r="D72" s="123">
        <f t="shared" ref="D72:D76" si="63">F72</f>
        <v>3.0705356822152554</v>
      </c>
      <c r="E72" s="123">
        <f t="shared" ref="E72:E76" si="64">G72</f>
        <v>0.99941130349296248</v>
      </c>
      <c r="F72" s="123">
        <f t="shared" ref="F72:F135" si="65">$I$68+$J$68*(1-EXP(-C72/$L$68))/(C72/$L$68)+$K$68*((1-EXP(-C72/$L$68))/(C72/$L$68)-EXP(-C72/$L$68))</f>
        <v>3.0705356822152554</v>
      </c>
      <c r="G72" s="123">
        <f t="shared" ref="G72:G135" si="66">EXP(-F72/100*C72)</f>
        <v>0.99941130349296248</v>
      </c>
      <c r="H72" s="78"/>
      <c r="I72" s="79"/>
      <c r="J72" s="46"/>
      <c r="K72" s="123">
        <v>0.9988209456449898</v>
      </c>
      <c r="V72" s="71"/>
      <c r="W72" s="71"/>
      <c r="X72" s="71"/>
    </row>
    <row r="73" spans="2:24">
      <c r="B73" s="77" t="s">
        <v>56</v>
      </c>
      <c r="C73" s="63">
        <f>14/365</f>
        <v>3.8356164383561646E-2</v>
      </c>
      <c r="D73" s="123">
        <f t="shared" si="63"/>
        <v>3.0757767503653084</v>
      </c>
      <c r="E73" s="123">
        <f t="shared" si="64"/>
        <v>0.9988209456449898</v>
      </c>
      <c r="F73" s="123">
        <f t="shared" si="65"/>
        <v>3.0757767503653084</v>
      </c>
      <c r="G73" s="123">
        <f t="shared" si="66"/>
        <v>0.9988209456449898</v>
      </c>
      <c r="H73" s="78"/>
      <c r="I73" s="79"/>
      <c r="J73" s="46"/>
      <c r="K73" s="123">
        <v>0.99822894257331884</v>
      </c>
      <c r="V73" s="71"/>
      <c r="W73" s="71"/>
      <c r="X73" s="71"/>
    </row>
    <row r="74" spans="2:24">
      <c r="B74" s="77" t="s">
        <v>57</v>
      </c>
      <c r="C74" s="63">
        <f>21/365</f>
        <v>5.7534246575342465E-2</v>
      </c>
      <c r="D74" s="123">
        <f t="shared" si="63"/>
        <v>3.0809955958197301</v>
      </c>
      <c r="E74" s="123">
        <f t="shared" si="64"/>
        <v>0.99822894257331884</v>
      </c>
      <c r="F74" s="123">
        <f t="shared" si="65"/>
        <v>3.0809955958197301</v>
      </c>
      <c r="G74" s="123">
        <f t="shared" si="66"/>
        <v>0.99822894257331884</v>
      </c>
      <c r="H74" s="78"/>
      <c r="I74" s="79"/>
      <c r="J74" s="46"/>
      <c r="K74" s="123">
        <v>0.99742999041878266</v>
      </c>
      <c r="V74" s="71"/>
      <c r="W74" s="71"/>
      <c r="X74" s="71"/>
    </row>
    <row r="75" spans="2:24" ht="14.5" thickBot="1">
      <c r="B75" s="77" t="s">
        <v>58</v>
      </c>
      <c r="C75" s="63">
        <f>1/12</f>
        <v>8.3333333333333329E-2</v>
      </c>
      <c r="D75" s="123">
        <f t="shared" si="63"/>
        <v>3.0879812700371123</v>
      </c>
      <c r="E75" s="123">
        <f t="shared" si="64"/>
        <v>0.99742999041878266</v>
      </c>
      <c r="F75" s="123">
        <f t="shared" si="65"/>
        <v>3.0879812700371123</v>
      </c>
      <c r="G75" s="123">
        <f t="shared" si="66"/>
        <v>0.99742999041878266</v>
      </c>
      <c r="H75" s="78"/>
      <c r="I75" s="79"/>
      <c r="J75" s="46"/>
      <c r="K75" s="124">
        <v>0.9948296224166937</v>
      </c>
      <c r="V75" s="71"/>
      <c r="W75" s="71"/>
      <c r="X75" s="71"/>
    </row>
    <row r="76" spans="2:24" ht="14.5" thickBot="1">
      <c r="B76" s="80" t="s">
        <v>135</v>
      </c>
      <c r="C76" s="81">
        <f>2/12</f>
        <v>0.16666666666666666</v>
      </c>
      <c r="D76" s="124">
        <f t="shared" si="63"/>
        <v>3.1102741426701699</v>
      </c>
      <c r="E76" s="124">
        <f t="shared" si="64"/>
        <v>0.9948296224166937</v>
      </c>
      <c r="F76" s="124">
        <f t="shared" si="65"/>
        <v>3.1102741426701699</v>
      </c>
      <c r="G76" s="124">
        <f t="shared" si="66"/>
        <v>0.9948296224166937</v>
      </c>
      <c r="H76" s="82"/>
      <c r="I76" s="83"/>
      <c r="J76" s="46" t="s">
        <v>274</v>
      </c>
      <c r="K76" s="93">
        <v>0.991474282298066</v>
      </c>
      <c r="V76" s="71"/>
      <c r="W76" s="71"/>
      <c r="X76" s="71"/>
    </row>
    <row r="77" spans="2:24">
      <c r="B77" s="84" t="s">
        <v>82</v>
      </c>
      <c r="C77" s="85">
        <f>2/12+14/365</f>
        <v>0.20502283105022831</v>
      </c>
      <c r="D77" s="86"/>
      <c r="E77" s="86"/>
      <c r="F77" s="62">
        <f t="shared" si="65"/>
        <v>3.1203969166002423</v>
      </c>
      <c r="G77" s="62">
        <f t="shared" si="66"/>
        <v>0.99362289450135921</v>
      </c>
      <c r="H77" s="86">
        <f>F77-D77</f>
        <v>3.1203969166002423</v>
      </c>
      <c r="I77" s="87"/>
      <c r="J77" s="88"/>
      <c r="K77" s="93">
        <v>0.98826615739433732</v>
      </c>
      <c r="L77" s="88"/>
      <c r="M77" s="89"/>
      <c r="N77" s="88"/>
      <c r="V77" s="90"/>
      <c r="W77" s="71"/>
      <c r="X77" s="71"/>
    </row>
    <row r="78" spans="2:24">
      <c r="B78" s="91" t="s">
        <v>59</v>
      </c>
      <c r="C78" s="92">
        <f>3/12</f>
        <v>0.25</v>
      </c>
      <c r="D78" s="93">
        <f t="shared" ref="D78:D141" si="67">-LN(E78)/C78*100</f>
        <v>3.4249078140481539</v>
      </c>
      <c r="E78" s="93" cm="1">
        <f t="array" ref="E78">EXP(LN(_xlfn.XLOOKUP(C78,$G$7:$G$59/12,$M$7:$M$59,,-1))+(C78-_xlfn.XLOOKUP(C78,$G$7:$G$59/12,$G$7:$G$59/12,,-1))/(_xlfn.XLOOKUP(C78,$G$7:$G$59/12,$G$7:$G$59/12,,1)-_xlfn.XLOOKUP(C78,$G$7:$G$59/12,$G$7:$G$59/12,,-1))*(LN(_xlfn.XLOOKUP(C78,$G$7:$G$59/12,$M$7:$M$59,,1))-LN(_xlfn.XLOOKUP(C78,$G$7:$G$59/12,$M$7:$M$59,,-1))))</f>
        <v>0.991474282298066</v>
      </c>
      <c r="F78" s="63">
        <f t="shared" si="65"/>
        <v>3.1321573605944475</v>
      </c>
      <c r="G78" s="63">
        <f t="shared" si="66"/>
        <v>0.99220018426515266</v>
      </c>
      <c r="H78" s="63">
        <f t="shared" ref="H78:H141" si="68">F78-D78</f>
        <v>-0.29275045345370643</v>
      </c>
      <c r="I78" s="94"/>
      <c r="J78" s="88"/>
      <c r="K78" s="93">
        <v>0.98506841305779191</v>
      </c>
      <c r="L78" s="88"/>
      <c r="M78" s="89"/>
      <c r="N78" s="88"/>
      <c r="V78" s="90"/>
      <c r="W78" s="71"/>
      <c r="X78" s="71"/>
    </row>
    <row r="79" spans="2:24">
      <c r="B79" s="91" t="s">
        <v>60</v>
      </c>
      <c r="C79" s="92">
        <f>4/12</f>
        <v>0.33333333333333331</v>
      </c>
      <c r="D79" s="93">
        <f t="shared" si="67"/>
        <v>3.5409682314060111</v>
      </c>
      <c r="E79" s="93" cm="1">
        <f t="array" ref="E79">EXP(LN(_xlfn.XLOOKUP(C79,$G$7:$G$59/12,$M$7:$M$59,,-1))+(C79-_xlfn.XLOOKUP(C79,$G$7:$G$59/12,$G$7:$G$59/12,,-1))/(_xlfn.XLOOKUP(C79,$G$7:$G$59/12,$G$7:$G$59/12,,1)-_xlfn.XLOOKUP(C79,$G$7:$G$59/12,$G$7:$G$59/12,,-1))*(LN(_xlfn.XLOOKUP(C79,$G$7:$G$59/12,$M$7:$M$59,,1))-LN(_xlfn.XLOOKUP(C79,$G$7:$G$59/12,$M$7:$M$59,,-1))))</f>
        <v>0.98826615739433732</v>
      </c>
      <c r="F79" s="63">
        <f t="shared" si="65"/>
        <v>3.1536372606331597</v>
      </c>
      <c r="G79" s="63">
        <f t="shared" si="66"/>
        <v>0.98954293507662749</v>
      </c>
      <c r="H79" s="63">
        <f t="shared" si="68"/>
        <v>-0.38733097077285139</v>
      </c>
      <c r="I79" s="94"/>
      <c r="J79" s="88"/>
      <c r="K79" s="93">
        <v>0.98271974582459953</v>
      </c>
      <c r="L79" s="88"/>
      <c r="M79" s="89"/>
      <c r="N79" s="88"/>
      <c r="V79" s="90"/>
      <c r="W79" s="71"/>
      <c r="X79" s="71"/>
    </row>
    <row r="80" spans="2:24">
      <c r="B80" s="91" t="s">
        <v>61</v>
      </c>
      <c r="C80" s="92">
        <f>5/12</f>
        <v>0.41666666666666669</v>
      </c>
      <c r="D80" s="93">
        <f t="shared" si="67"/>
        <v>3.610604481820733</v>
      </c>
      <c r="E80" s="93" cm="1">
        <f t="array" ref="E80">EXP(LN(_xlfn.XLOOKUP(C80,$G$7:$G$59/12,$M$7:$M$59,,-1))+(C80-_xlfn.XLOOKUP(C80,$G$7:$G$59/12,$G$7:$G$59/12,,-1))/(_xlfn.XLOOKUP(C80,$G$7:$G$59/12,$G$7:$G$59/12,,1)-_xlfn.XLOOKUP(C80,$G$7:$G$59/12,$G$7:$G$59/12,,-1))*(LN(_xlfn.XLOOKUP(C80,$G$7:$G$59/12,$M$7:$M$59,,1))-LN(_xlfn.XLOOKUP(C80,$G$7:$G$59/12,$M$7:$M$59,,-1))))</f>
        <v>0.98506841305779191</v>
      </c>
      <c r="F80" s="63">
        <f t="shared" si="65"/>
        <v>3.1747200867237759</v>
      </c>
      <c r="G80" s="63">
        <f t="shared" si="66"/>
        <v>0.98685910513524344</v>
      </c>
      <c r="H80" s="63">
        <f t="shared" si="68"/>
        <v>-0.43588439509695709</v>
      </c>
      <c r="I80" s="94"/>
      <c r="J80" s="88"/>
      <c r="K80" s="93">
        <v>0.97674342781781609</v>
      </c>
      <c r="L80" s="88"/>
      <c r="M80" s="89"/>
      <c r="N80" s="88"/>
      <c r="V80" s="90"/>
      <c r="W80" s="71"/>
      <c r="X80" s="71"/>
    </row>
    <row r="81" spans="2:24">
      <c r="B81" s="84" t="s">
        <v>81</v>
      </c>
      <c r="C81" s="85">
        <f>5/12+14/365</f>
        <v>0.45502283105022834</v>
      </c>
      <c r="D81" s="86">
        <f t="shared" si="67"/>
        <v>3.6340844418200633</v>
      </c>
      <c r="E81" s="86" cm="1">
        <f t="array" ref="E81">EXP(LN(_xlfn.XLOOKUP(C81,$G$7:$G$59/12,$M$7:$M$59,,-1))+(C81-_xlfn.XLOOKUP(C81,$G$7:$G$59/12,$G$7:$G$59/12,,-1))/(_xlfn.XLOOKUP(C81,$G$7:$G$59/12,$G$7:$G$59/12,,1)-_xlfn.XLOOKUP(C81,$G$7:$G$59/12,$G$7:$G$59/12,,-1))*(LN(_xlfn.XLOOKUP(C81,$G$7:$G$59/12,$M$7:$M$59,,1))-LN(_xlfn.XLOOKUP(C81,$G$7:$G$59/12,$M$7:$M$59,,-1))))</f>
        <v>0.98360005383260063</v>
      </c>
      <c r="F81" s="62">
        <f t="shared" si="65"/>
        <v>3.1842922199414736</v>
      </c>
      <c r="G81" s="62">
        <f t="shared" si="66"/>
        <v>0.98561520752594955</v>
      </c>
      <c r="H81" s="62">
        <f t="shared" si="68"/>
        <v>-0.44979222187858969</v>
      </c>
      <c r="I81" s="87"/>
      <c r="J81" s="88"/>
      <c r="K81" s="93">
        <v>0.96636205899686201</v>
      </c>
      <c r="L81" s="88"/>
      <c r="M81" s="89"/>
      <c r="V81" s="90"/>
      <c r="W81" s="71"/>
      <c r="X81" s="71"/>
    </row>
    <row r="82" spans="2:24">
      <c r="B82" s="91" t="s">
        <v>62</v>
      </c>
      <c r="C82" s="92">
        <f>0.5</f>
        <v>0.5</v>
      </c>
      <c r="D82" s="93">
        <f t="shared" si="67"/>
        <v>3.4862600748990515</v>
      </c>
      <c r="E82" s="93" cm="1">
        <f t="array" ref="E82">EXP(LN(_xlfn.XLOOKUP(C82,$G$7:$G$59/12,$M$7:$M$59,,-1))+(C82-_xlfn.XLOOKUP(C82,$G$7:$G$59/12,$G$7:$G$59/12,,-1))/(_xlfn.XLOOKUP(C82,$G$7:$G$59/12,$G$7:$G$59/12,,1)-_xlfn.XLOOKUP(C82,$G$7:$G$59/12,$G$7:$G$59/12,,-1))*(LN(_xlfn.XLOOKUP(C82,$G$7:$G$59/12,$M$7:$M$59,,1))-LN(_xlfn.XLOOKUP(C82,$G$7:$G$59/12,$M$7:$M$59,,-1))))</f>
        <v>0.98271974582459953</v>
      </c>
      <c r="F82" s="63">
        <f t="shared" si="65"/>
        <v>3.1954119912473442</v>
      </c>
      <c r="G82" s="63">
        <f t="shared" si="66"/>
        <v>0.98414989623802418</v>
      </c>
      <c r="H82" s="63">
        <f t="shared" si="68"/>
        <v>-0.29084808365170733</v>
      </c>
      <c r="I82" s="94"/>
      <c r="J82" s="88"/>
      <c r="K82" s="93">
        <v>0.9468547917869119</v>
      </c>
      <c r="L82" s="88"/>
      <c r="M82" s="89"/>
      <c r="V82" s="90"/>
      <c r="W82" s="71"/>
      <c r="X82" s="71"/>
    </row>
    <row r="83" spans="2:24">
      <c r="B83" s="84" t="s">
        <v>80</v>
      </c>
      <c r="C83" s="85">
        <f>8/12+14/365</f>
        <v>0.70502283105022823</v>
      </c>
      <c r="D83" s="86">
        <f t="shared" si="67"/>
        <v>3.0412325240242026</v>
      </c>
      <c r="E83" s="86" cm="1">
        <f t="array" ref="E83">EXP(LN(_xlfn.XLOOKUP(C83,$G$7:$G$59/12,$M$7:$M$59,,-1))+(C83-_xlfn.XLOOKUP(C83,$G$7:$G$59/12,$G$7:$G$59/12,,-1))/(_xlfn.XLOOKUP(C83,$G$7:$G$59/12,$G$7:$G$59/12,,1)-_xlfn.XLOOKUP(C83,$G$7:$G$59/12,$G$7:$G$59/12,,-1))*(LN(_xlfn.XLOOKUP(C83,$G$7:$G$59/12,$M$7:$M$59,,1))-LN(_xlfn.XLOOKUP(C83,$G$7:$G$59/12,$M$7:$M$59,,-1))))</f>
        <v>0.97878684871026955</v>
      </c>
      <c r="F83" s="62">
        <f t="shared" si="65"/>
        <v>3.2446939036331752</v>
      </c>
      <c r="G83" s="62">
        <f t="shared" si="66"/>
        <v>0.97738383523543837</v>
      </c>
      <c r="H83" s="62">
        <f t="shared" si="68"/>
        <v>0.20346137960897259</v>
      </c>
      <c r="I83" s="87"/>
      <c r="J83" s="88"/>
      <c r="K83" s="93">
        <v>0.92736694017595145</v>
      </c>
      <c r="L83" s="88"/>
      <c r="M83" s="89"/>
      <c r="V83" s="51"/>
      <c r="W83" s="71"/>
      <c r="X83" s="71"/>
    </row>
    <row r="84" spans="2:24">
      <c r="B84" s="91" t="s">
        <v>63</v>
      </c>
      <c r="C84" s="92">
        <f>9/12</f>
        <v>0.75</v>
      </c>
      <c r="D84" s="93">
        <f t="shared" si="67"/>
        <v>3.1375031589673523</v>
      </c>
      <c r="E84" s="93" cm="1">
        <f t="array" ref="E84">EXP(LN(_xlfn.XLOOKUP(C84,$G$7:$G$59/12,$M$7:$M$59,,-1))+(C84-_xlfn.XLOOKUP(C84,$G$7:$G$59/12,$G$7:$G$59/12,,-1))/(_xlfn.XLOOKUP(C84,$G$7:$G$59/12,$G$7:$G$59/12,,1)-_xlfn.XLOOKUP(C84,$G$7:$G$59/12,$G$7:$G$59/12,,-1))*(LN(_xlfn.XLOOKUP(C84,$G$7:$G$59/12,$M$7:$M$59,,1))-LN(_xlfn.XLOOKUP(C84,$G$7:$G$59/12,$M$7:$M$59,,-1))))</f>
        <v>0.97674342781781609</v>
      </c>
      <c r="F84" s="63">
        <f t="shared" si="65"/>
        <v>3.2552023532712382</v>
      </c>
      <c r="G84" s="63">
        <f t="shared" si="66"/>
        <v>0.97588159390440177</v>
      </c>
      <c r="H84" s="63">
        <f t="shared" si="68"/>
        <v>0.11769919430388587</v>
      </c>
      <c r="I84" s="94"/>
      <c r="J84" s="88"/>
      <c r="K84" s="93">
        <v>0.89114946518438631</v>
      </c>
      <c r="L84" s="88"/>
      <c r="M84" s="89"/>
      <c r="V84" s="51"/>
      <c r="W84" s="71"/>
      <c r="X84" s="71"/>
    </row>
    <row r="85" spans="2:24">
      <c r="B85" s="84" t="s">
        <v>79</v>
      </c>
      <c r="C85" s="85">
        <f>11/12+14/365</f>
        <v>0.95502283105022823</v>
      </c>
      <c r="D85" s="86">
        <f t="shared" si="67"/>
        <v>3.4720645744222436</v>
      </c>
      <c r="E85" s="86" cm="1">
        <f t="array" ref="E85">EXP(LN(_xlfn.XLOOKUP(C85,$G$7:$G$59/12,$M$7:$M$59,,-1))+(C85-_xlfn.XLOOKUP(C85,$G$7:$G$59/12,$G$7:$G$59/12,,-1))/(_xlfn.XLOOKUP(C85,$G$7:$G$59/12,$G$7:$G$59/12,,1)-_xlfn.XLOOKUP(C85,$G$7:$G$59/12,$G$7:$G$59/12,,-1))*(LN(_xlfn.XLOOKUP(C85,$G$7:$G$59/12,$M$7:$M$59,,1))-LN(_xlfn.XLOOKUP(C85,$G$7:$G$59/12,$M$7:$M$59,,-1))))</f>
        <v>0.96738472409944642</v>
      </c>
      <c r="F85" s="62">
        <f t="shared" si="65"/>
        <v>3.3017621838587745</v>
      </c>
      <c r="G85" s="62">
        <f t="shared" si="66"/>
        <v>0.96895938464308662</v>
      </c>
      <c r="H85" s="62">
        <f t="shared" si="68"/>
        <v>-0.17030239056346907</v>
      </c>
      <c r="I85" s="87"/>
      <c r="J85" s="88"/>
      <c r="K85" s="93">
        <v>0.85700303995325589</v>
      </c>
      <c r="L85" s="88"/>
      <c r="M85" s="89"/>
      <c r="V85" s="51"/>
      <c r="W85" s="71"/>
      <c r="X85" s="71"/>
    </row>
    <row r="86" spans="2:24">
      <c r="B86" s="91" t="s">
        <v>64</v>
      </c>
      <c r="C86" s="92">
        <f>1</f>
        <v>1</v>
      </c>
      <c r="D86" s="93">
        <f t="shared" si="67"/>
        <v>3.4216712716261748</v>
      </c>
      <c r="E86" s="93" cm="1">
        <f t="array" ref="E86">EXP(LN(_xlfn.XLOOKUP(C86,$G$7:$G$59/12,$M$7:$M$59,,-1))+(C86-_xlfn.XLOOKUP(C86,$G$7:$G$59/12,$G$7:$G$59/12,,-1))/(_xlfn.XLOOKUP(C86,$G$7:$G$59/12,$G$7:$G$59/12,,1)-_xlfn.XLOOKUP(C86,$G$7:$G$59/12,$G$7:$G$59/12,,-1))*(LN(_xlfn.XLOOKUP(C86,$G$7:$G$59/12,$M$7:$M$59,,1))-LN(_xlfn.XLOOKUP(C86,$G$7:$G$59/12,$M$7:$M$59,,-1))))</f>
        <v>0.96636205899686201</v>
      </c>
      <c r="F86" s="63">
        <f t="shared" si="65"/>
        <v>3.3116873891021164</v>
      </c>
      <c r="G86" s="63">
        <f t="shared" si="66"/>
        <v>0.96742548620065194</v>
      </c>
      <c r="H86" s="63">
        <f t="shared" si="68"/>
        <v>-0.10998388252405844</v>
      </c>
      <c r="I86" s="94"/>
      <c r="J86" s="88"/>
      <c r="K86" s="93">
        <v>0.82386386834969771</v>
      </c>
      <c r="L86" s="88"/>
      <c r="M86" s="89"/>
      <c r="V86" s="51"/>
      <c r="W86" s="71"/>
      <c r="X86" s="71"/>
    </row>
    <row r="87" spans="2:24">
      <c r="B87" s="84" t="s">
        <v>137</v>
      </c>
      <c r="C87" s="85">
        <f>C77+1</f>
        <v>1.2050228310502282</v>
      </c>
      <c r="D87" s="86">
        <f t="shared" si="67"/>
        <v>3.2322973379529225</v>
      </c>
      <c r="E87" s="86" cm="1">
        <f t="array" ref="E87">EXP(LN(_xlfn.XLOOKUP(C87,$G$7:$G$59/12,$M$7:$M$59,,-1))+(C87-_xlfn.XLOOKUP(C87,$G$7:$G$59/12,$G$7:$G$59/12,,-1))/(_xlfn.XLOOKUP(C87,$G$7:$G$59/12,$G$7:$G$59/12,,1)-_xlfn.XLOOKUP(C87,$G$7:$G$59/12,$G$7:$G$59/12,,-1))*(LN(_xlfn.XLOOKUP(C87,$G$7:$G$59/12,$M$7:$M$59,,1))-LN(_xlfn.XLOOKUP(C87,$G$7:$G$59/12,$M$7:$M$59,,-1))))</f>
        <v>0.96179887397216779</v>
      </c>
      <c r="F87" s="62">
        <f t="shared" si="65"/>
        <v>3.3556503208515323</v>
      </c>
      <c r="G87" s="62">
        <f t="shared" si="66"/>
        <v>0.96037028773749966</v>
      </c>
      <c r="H87" s="62">
        <f t="shared" si="68"/>
        <v>0.12335298289860974</v>
      </c>
      <c r="I87" s="87"/>
      <c r="J87" s="88"/>
      <c r="K87" s="93">
        <v>0.79137464317417738</v>
      </c>
      <c r="L87" s="88"/>
      <c r="M87" s="89"/>
      <c r="V87" s="51"/>
      <c r="W87" s="71"/>
      <c r="X87" s="71"/>
    </row>
    <row r="88" spans="2:24">
      <c r="B88" s="84" t="s">
        <v>83</v>
      </c>
      <c r="C88" s="85">
        <f>C81+1</f>
        <v>1.4550228310502282</v>
      </c>
      <c r="D88" s="86">
        <f t="shared" si="67"/>
        <v>3.7315041295392959</v>
      </c>
      <c r="E88" s="86" cm="1">
        <f t="array" ref="E88">EXP(LN(_xlfn.XLOOKUP(C88,$G$7:$G$59/12,$M$7:$M$59,,-1))+(C88-_xlfn.XLOOKUP(C88,$G$7:$G$59/12,$G$7:$G$59/12,,-1))/(_xlfn.XLOOKUP(C88,$G$7:$G$59/12,$G$7:$G$59/12,,1)-_xlfn.XLOOKUP(C88,$G$7:$G$59/12,$G$7:$G$59/12,,-1))*(LN(_xlfn.XLOOKUP(C88,$G$7:$G$59/12,$M$7:$M$59,,1))-LN(_xlfn.XLOOKUP(C88,$G$7:$G$59/12,$M$7:$M$59,,-1))))</f>
        <v>0.94715337790423315</v>
      </c>
      <c r="F88" s="62">
        <f t="shared" si="65"/>
        <v>3.4065049136350458</v>
      </c>
      <c r="G88" s="62">
        <f t="shared" si="66"/>
        <v>0.95164289559203286</v>
      </c>
      <c r="H88" s="62">
        <f t="shared" si="68"/>
        <v>-0.32499921590425007</v>
      </c>
      <c r="I88" s="87"/>
      <c r="J88" s="88"/>
      <c r="K88" s="93">
        <v>0.75947113849370773</v>
      </c>
      <c r="L88" s="88"/>
      <c r="M88" s="89"/>
      <c r="V88" s="51"/>
      <c r="W88" s="71"/>
      <c r="X88" s="71"/>
    </row>
    <row r="89" spans="2:24">
      <c r="B89" s="95" t="s">
        <v>138</v>
      </c>
      <c r="C89" s="92">
        <f>1.5</f>
        <v>1.5</v>
      </c>
      <c r="D89" s="93">
        <f t="shared" si="67"/>
        <v>3.6406355012912486</v>
      </c>
      <c r="E89" s="93" cm="1">
        <f t="array" ref="E89">EXP(LN(_xlfn.XLOOKUP(C89,$G$7:$G$59/12,$M$7:$M$59,,-1))+(C89-_xlfn.XLOOKUP(C89,$G$7:$G$59/12,$G$7:$G$59/12,,-1))/(_xlfn.XLOOKUP(C89,$G$7:$G$59/12,$G$7:$G$59/12,,1)-_xlfn.XLOOKUP(C89,$G$7:$G$59/12,$G$7:$G$59/12,,-1))*(LN(_xlfn.XLOOKUP(C89,$G$7:$G$59/12,$M$7:$M$59,,1))-LN(_xlfn.XLOOKUP(C89,$G$7:$G$59/12,$M$7:$M$59,,-1))))</f>
        <v>0.9468547917869119</v>
      </c>
      <c r="F89" s="63">
        <f t="shared" si="65"/>
        <v>3.4153430344588185</v>
      </c>
      <c r="G89" s="63">
        <f t="shared" si="66"/>
        <v>0.95005999332137014</v>
      </c>
      <c r="H89" s="63">
        <f t="shared" si="68"/>
        <v>-0.22529246683243009</v>
      </c>
      <c r="I89" s="94"/>
      <c r="J89" s="88"/>
      <c r="K89" s="93">
        <v>0.67708863206411596</v>
      </c>
      <c r="L89" s="88"/>
      <c r="M89" s="89"/>
      <c r="V89" s="51"/>
      <c r="W89" s="71"/>
      <c r="X89" s="71"/>
    </row>
    <row r="90" spans="2:24">
      <c r="B90" s="84" t="s">
        <v>84</v>
      </c>
      <c r="C90" s="85">
        <f>1+8/12+14/365</f>
        <v>1.7050228310502282</v>
      </c>
      <c r="D90" s="86">
        <f t="shared" si="67"/>
        <v>3.2751320834456581</v>
      </c>
      <c r="E90" s="86" cm="1">
        <f t="array" ref="E90">EXP(LN(_xlfn.XLOOKUP(C90,$G$7:$G$59/12,$M$7:$M$59,,-1))+(C90-_xlfn.XLOOKUP(C90,$G$7:$G$59/12,$G$7:$G$59/12,,-1))/(_xlfn.XLOOKUP(C90,$G$7:$G$59/12,$G$7:$G$59/12,,1)-_xlfn.XLOOKUP(C90,$G$7:$G$59/12,$G$7:$G$59/12,,-1))*(LN(_xlfn.XLOOKUP(C90,$G$7:$G$59/12,$M$7:$M$59,,1))-LN(_xlfn.XLOOKUP(C90,$G$7:$G$59/12,$M$7:$M$59,,-1))))</f>
        <v>0.94568877951657138</v>
      </c>
      <c r="F90" s="62">
        <f t="shared" si="65"/>
        <v>3.4544661824356986</v>
      </c>
      <c r="G90" s="62">
        <f t="shared" si="66"/>
        <v>0.94280157524920816</v>
      </c>
      <c r="H90" s="62">
        <f t="shared" si="68"/>
        <v>0.17933409899004049</v>
      </c>
      <c r="I90" s="87"/>
      <c r="J90" s="88"/>
      <c r="K90" s="93">
        <v>0.55248632090095928</v>
      </c>
      <c r="L90" s="88"/>
      <c r="M90" s="89"/>
      <c r="V90" s="51"/>
      <c r="W90" s="71"/>
      <c r="X90" s="71"/>
    </row>
    <row r="91" spans="2:24">
      <c r="B91" s="84" t="s">
        <v>85</v>
      </c>
      <c r="C91" s="85">
        <f>1+11/12+14/365</f>
        <v>1.9550228310502282</v>
      </c>
      <c r="D91" s="86">
        <f t="shared" si="67"/>
        <v>3.8159890252104876</v>
      </c>
      <c r="E91" s="86" cm="1">
        <f t="array" ref="E91">EXP(LN(_xlfn.XLOOKUP(C91,$G$7:$G$59/12,$M$7:$M$59,,-1))+(C91-_xlfn.XLOOKUP(C91,$G$7:$G$59/12,$G$7:$G$59/12,,-1))/(_xlfn.XLOOKUP(C91,$G$7:$G$59/12,$G$7:$G$59/12,,1)-_xlfn.XLOOKUP(C91,$G$7:$G$59/12,$G$7:$G$59/12,,-1))*(LN(_xlfn.XLOOKUP(C91,$G$7:$G$59/12,$M$7:$M$59,,1))-LN(_xlfn.XLOOKUP(C91,$G$7:$G$59/12,$M$7:$M$59,,-1))))</f>
        <v>0.9281114497689068</v>
      </c>
      <c r="F91" s="62">
        <f t="shared" si="65"/>
        <v>3.499668239278789</v>
      </c>
      <c r="G91" s="62">
        <f t="shared" si="66"/>
        <v>0.93386880805316674</v>
      </c>
      <c r="H91" s="62">
        <f t="shared" si="68"/>
        <v>-0.31632078593169854</v>
      </c>
      <c r="I91" s="87"/>
      <c r="J91" s="88"/>
      <c r="K91" s="93">
        <v>0.45781344804449881</v>
      </c>
      <c r="L91" s="88"/>
      <c r="M91" s="89"/>
      <c r="V91" s="51"/>
      <c r="W91" s="71"/>
      <c r="X91" s="71"/>
    </row>
    <row r="92" spans="2:24">
      <c r="B92" s="95" t="s">
        <v>139</v>
      </c>
      <c r="C92" s="92">
        <f>2</f>
        <v>2</v>
      </c>
      <c r="D92" s="93">
        <f t="shared" si="67"/>
        <v>3.7702977759379093</v>
      </c>
      <c r="E92" s="93" cm="1">
        <f t="array" ref="E92">EXP(LN(_xlfn.XLOOKUP(C92,$G$7:$G$59/12,$M$7:$M$59,,-1))+(C92-_xlfn.XLOOKUP(C92,$G$7:$G$59/12,$G$7:$G$59/12,,-1))/(_xlfn.XLOOKUP(C92,$G$7:$G$59/12,$G$7:$G$59/12,,1)-_xlfn.XLOOKUP(C92,$G$7:$G$59/12,$G$7:$G$59/12,,-1))*(LN(_xlfn.XLOOKUP(C92,$G$7:$G$59/12,$M$7:$M$59,,1))-LN(_xlfn.XLOOKUP(C92,$G$7:$G$59/12,$M$7:$M$59,,-1))))</f>
        <v>0.92736694017595145</v>
      </c>
      <c r="F92" s="63">
        <f t="shared" si="65"/>
        <v>3.5075176065667386</v>
      </c>
      <c r="G92" s="63">
        <f t="shared" si="66"/>
        <v>0.93225364304609093</v>
      </c>
      <c r="H92" s="63">
        <f t="shared" si="68"/>
        <v>-0.26278016937117066</v>
      </c>
      <c r="I92" s="94"/>
      <c r="J92" s="88"/>
      <c r="K92" s="93">
        <v>0.37983265334162641</v>
      </c>
      <c r="L92" s="88"/>
      <c r="M92" s="89"/>
      <c r="V92" s="51"/>
      <c r="W92" s="71"/>
      <c r="X92" s="71"/>
    </row>
    <row r="93" spans="2:24">
      <c r="B93" s="84" t="s">
        <v>86</v>
      </c>
      <c r="C93" s="85">
        <f>1+C87</f>
        <v>2.2050228310502282</v>
      </c>
      <c r="D93" s="86">
        <f t="shared" si="67"/>
        <v>3.5758349630922726</v>
      </c>
      <c r="E93" s="86" cm="1">
        <f t="array" ref="E93">EXP(LN(_xlfn.XLOOKUP(C93,$G$7:$G$59/12,$M$7:$M$59,,-1))+(C93-_xlfn.XLOOKUP(C93,$G$7:$G$59/12,$G$7:$G$59/12,,-1))/(_xlfn.XLOOKUP(C93,$G$7:$G$59/12,$G$7:$G$59/12,,1)-_xlfn.XLOOKUP(C93,$G$7:$G$59/12,$G$7:$G$59/12,,-1))*(LN(_xlfn.XLOOKUP(C93,$G$7:$G$59/12,$M$7:$M$59,,1))-LN(_xlfn.XLOOKUP(C93,$G$7:$G$59/12,$M$7:$M$59,,-1))))</f>
        <v>0.92418041013348129</v>
      </c>
      <c r="F93" s="62">
        <f t="shared" si="65"/>
        <v>3.5422393472588061</v>
      </c>
      <c r="G93" s="62">
        <f t="shared" si="66"/>
        <v>0.9248652883075662</v>
      </c>
      <c r="H93" s="62">
        <f t="shared" si="68"/>
        <v>-3.3595615833466486E-2</v>
      </c>
      <c r="I93" s="87"/>
      <c r="J93" s="88"/>
      <c r="K93" s="93">
        <v>0.31506752036659252</v>
      </c>
      <c r="L93" s="88"/>
      <c r="M93" s="89"/>
      <c r="V93" s="51"/>
      <c r="W93" s="71"/>
      <c r="X93" s="71"/>
    </row>
    <row r="94" spans="2:24">
      <c r="B94" s="84" t="s">
        <v>87</v>
      </c>
      <c r="C94" s="85">
        <f>C93+C78</f>
        <v>2.4550228310502282</v>
      </c>
      <c r="D94" s="86">
        <f t="shared" si="67"/>
        <v>3.8425602535536258</v>
      </c>
      <c r="E94" s="86" cm="1">
        <f t="array" ref="E94">EXP(LN(_xlfn.XLOOKUP(C94,$G$7:$G$59/12,$M$7:$M$59,,-1))+(C94-_xlfn.XLOOKUP(C94,$G$7:$G$59/12,$G$7:$G$59/12,,-1))/(_xlfn.XLOOKUP(C94,$G$7:$G$59/12,$G$7:$G$59/12,,1)-_xlfn.XLOOKUP(C94,$G$7:$G$59/12,$G$7:$G$59/12,,-1))*(LN(_xlfn.XLOOKUP(C94,$G$7:$G$59/12,$M$7:$M$59,,1))-LN(_xlfn.XLOOKUP(C94,$G$7:$G$59/12,$M$7:$M$59,,-1))))</f>
        <v>0.90997720291972883</v>
      </c>
      <c r="F94" s="62">
        <f t="shared" si="65"/>
        <v>3.5823021689541736</v>
      </c>
      <c r="G94" s="62">
        <f t="shared" si="66"/>
        <v>0.91581002131914713</v>
      </c>
      <c r="H94" s="62">
        <f t="shared" si="68"/>
        <v>-0.26025808459945221</v>
      </c>
      <c r="I94" s="87"/>
      <c r="J94" s="88"/>
      <c r="L94" s="88"/>
      <c r="M94" s="89"/>
      <c r="V94" s="51"/>
      <c r="W94" s="71"/>
      <c r="X94" s="71"/>
    </row>
    <row r="95" spans="2:24">
      <c r="B95" s="84" t="s">
        <v>88</v>
      </c>
      <c r="C95" s="85">
        <f>C94+C78</f>
        <v>2.7050228310502282</v>
      </c>
      <c r="D95" s="86">
        <f t="shared" si="67"/>
        <v>3.6832950395796127</v>
      </c>
      <c r="E95" s="86" cm="1">
        <f t="array" ref="E95">EXP(LN(_xlfn.XLOOKUP(C95,$G$7:$G$59/12,$M$7:$M$59,,-1))+(C95-_xlfn.XLOOKUP(C95,$G$7:$G$59/12,$G$7:$G$59/12,,-1))/(_xlfn.XLOOKUP(C95,$G$7:$G$59/12,$G$7:$G$59/12,,1)-_xlfn.XLOOKUP(C95,$G$7:$G$59/12,$G$7:$G$59/12,,-1))*(LN(_xlfn.XLOOKUP(C95,$G$7:$G$59/12,$M$7:$M$59,,1))-LN(_xlfn.XLOOKUP(C95,$G$7:$G$59/12,$M$7:$M$59,,-1))))</f>
        <v>0.90516867470852946</v>
      </c>
      <c r="F95" s="62">
        <f t="shared" si="65"/>
        <v>3.619974004437299</v>
      </c>
      <c r="G95" s="62">
        <f t="shared" si="66"/>
        <v>0.90672042004966691</v>
      </c>
      <c r="H95" s="62">
        <f t="shared" si="68"/>
        <v>-6.3321035142313686E-2</v>
      </c>
      <c r="I95" s="87"/>
      <c r="J95" s="88"/>
      <c r="L95" s="88"/>
      <c r="M95" s="89"/>
      <c r="V95" s="71"/>
      <c r="W95" s="71"/>
      <c r="X95" s="71"/>
    </row>
    <row r="96" spans="2:24">
      <c r="B96" s="84" t="s">
        <v>89</v>
      </c>
      <c r="C96" s="85">
        <f>C95+C78</f>
        <v>2.9550228310502282</v>
      </c>
      <c r="D96" s="86">
        <f t="shared" si="67"/>
        <v>3.861175509311626</v>
      </c>
      <c r="E96" s="86" cm="1">
        <f t="array" ref="E96">EXP(LN(_xlfn.XLOOKUP(C96,$G$7:$G$59/12,$M$7:$M$59,,-1))+(C96-_xlfn.XLOOKUP(C96,$G$7:$G$59/12,$G$7:$G$59/12,,-1))/(_xlfn.XLOOKUP(C96,$G$7:$G$59/12,$G$7:$G$59/12,,1)-_xlfn.XLOOKUP(C96,$G$7:$G$59/12,$G$7:$G$59/12,,-1))*(LN(_xlfn.XLOOKUP(C96,$G$7:$G$59/12,$M$7:$M$59,,1))-LN(_xlfn.XLOOKUP(C96,$G$7:$G$59/12,$M$7:$M$59,,-1))))</f>
        <v>0.89216996766243628</v>
      </c>
      <c r="F96" s="62">
        <f t="shared" si="65"/>
        <v>3.6553670193121528</v>
      </c>
      <c r="G96" s="62">
        <f t="shared" si="66"/>
        <v>0.89761239974239959</v>
      </c>
      <c r="H96" s="62">
        <f t="shared" si="68"/>
        <v>-0.20580848999947321</v>
      </c>
      <c r="I96" s="87"/>
      <c r="J96" s="88"/>
      <c r="L96" s="88"/>
      <c r="M96" s="89"/>
      <c r="V96" s="71"/>
      <c r="W96" s="71"/>
      <c r="X96" s="71"/>
    </row>
    <row r="97" spans="2:24">
      <c r="B97" s="95" t="s">
        <v>140</v>
      </c>
      <c r="C97" s="92">
        <f>3</f>
        <v>3</v>
      </c>
      <c r="D97" s="93">
        <f t="shared" si="67"/>
        <v>3.8414371884471286</v>
      </c>
      <c r="E97" s="93" cm="1">
        <f t="array" ref="E97">EXP(LN(_xlfn.XLOOKUP(C97,$G$7:$G$59/12,$M$7:$M$59,,-1))+(C97-_xlfn.XLOOKUP(C97,$G$7:$G$59/12,$G$7:$G$59/12,,-1))/(_xlfn.XLOOKUP(C97,$G$7:$G$59/12,$G$7:$G$59/12,,1)-_xlfn.XLOOKUP(C97,$G$7:$G$59/12,$G$7:$G$59/12,,-1))*(LN(_xlfn.XLOOKUP(C97,$G$7:$G$59/12,$M$7:$M$59,,1))-LN(_xlfn.XLOOKUP(C97,$G$7:$G$59/12,$M$7:$M$59,,-1))))</f>
        <v>0.89114946518438631</v>
      </c>
      <c r="F97" s="63">
        <f t="shared" si="65"/>
        <v>3.6615010075897905</v>
      </c>
      <c r="G97" s="63">
        <f t="shared" si="66"/>
        <v>0.89597297326606573</v>
      </c>
      <c r="H97" s="63">
        <f t="shared" si="68"/>
        <v>-0.17993618085733809</v>
      </c>
      <c r="I97" s="94"/>
      <c r="J97" s="88"/>
      <c r="L97" s="88"/>
      <c r="M97" s="89"/>
      <c r="V97" s="71"/>
      <c r="W97" s="71"/>
      <c r="X97" s="71"/>
    </row>
    <row r="98" spans="2:24">
      <c r="B98" s="84" t="s">
        <v>90</v>
      </c>
      <c r="C98" s="85">
        <f>C93+1</f>
        <v>3.2050228310502282</v>
      </c>
      <c r="D98" s="86">
        <f t="shared" si="67"/>
        <v>3.7546618260146123</v>
      </c>
      <c r="E98" s="86" cm="1">
        <f t="array" ref="E98">EXP(LN(_xlfn.XLOOKUP(C98,$G$7:$G$59/12,$M$7:$M$59,,-1))+(C98-_xlfn.XLOOKUP(C98,$G$7:$G$59/12,$G$7:$G$59/12,,-1))/(_xlfn.XLOOKUP(C98,$G$7:$G$59/12,$G$7:$G$59/12,,1)-_xlfn.XLOOKUP(C98,$G$7:$G$59/12,$G$7:$G$59/12,,-1))*(LN(_xlfn.XLOOKUP(C98,$G$7:$G$59/12,$M$7:$M$59,,1))-LN(_xlfn.XLOOKUP(C98,$G$7:$G$59/12,$M$7:$M$59,,-1))))</f>
        <v>0.88662091329535853</v>
      </c>
      <c r="F98" s="62">
        <f t="shared" si="65"/>
        <v>3.6885884631937338</v>
      </c>
      <c r="G98" s="62">
        <f t="shared" si="66"/>
        <v>0.88850047001536903</v>
      </c>
      <c r="H98" s="62">
        <f t="shared" si="68"/>
        <v>-6.6073362820878501E-2</v>
      </c>
      <c r="I98" s="87"/>
      <c r="J98" s="88"/>
      <c r="L98" s="88"/>
      <c r="M98" s="89"/>
      <c r="V98" s="71"/>
      <c r="W98" s="71"/>
      <c r="X98" s="71"/>
    </row>
    <row r="99" spans="2:24">
      <c r="B99" s="84" t="s">
        <v>91</v>
      </c>
      <c r="C99" s="85">
        <f t="shared" ref="C99:C101" si="69">C94+1</f>
        <v>3.4550228310502282</v>
      </c>
      <c r="D99" s="86">
        <f t="shared" si="67"/>
        <v>3.8746208581279604</v>
      </c>
      <c r="E99" s="86" cm="1">
        <f t="array" ref="E99">EXP(LN(_xlfn.XLOOKUP(C99,$G$7:$G$59/12,$M$7:$M$59,,-1))+(C99-_xlfn.XLOOKUP(C99,$G$7:$G$59/12,$G$7:$G$59/12,,-1))/(_xlfn.XLOOKUP(C99,$G$7:$G$59/12,$G$7:$G$59/12,,1)-_xlfn.XLOOKUP(C99,$G$7:$G$59/12,$G$7:$G$59/12,,-1))*(LN(_xlfn.XLOOKUP(C99,$G$7:$G$59/12,$M$7:$M$59,,1))-LN(_xlfn.XLOOKUP(C99,$G$7:$G$59/12,$M$7:$M$59,,-1))))</f>
        <v>0.87470461256012522</v>
      </c>
      <c r="F99" s="62">
        <f t="shared" si="65"/>
        <v>3.7197408790266593</v>
      </c>
      <c r="G99" s="62">
        <f t="shared" si="66"/>
        <v>0.87939782402337663</v>
      </c>
      <c r="H99" s="62">
        <f t="shared" si="68"/>
        <v>-0.15487997910130114</v>
      </c>
      <c r="I99" s="87"/>
      <c r="J99" s="88"/>
      <c r="L99" s="88"/>
      <c r="M99" s="89"/>
      <c r="V99" s="71"/>
      <c r="W99" s="71"/>
      <c r="X99" s="71"/>
    </row>
    <row r="100" spans="2:24">
      <c r="B100" s="84" t="s">
        <v>92</v>
      </c>
      <c r="C100" s="85">
        <f t="shared" si="69"/>
        <v>3.7050228310502282</v>
      </c>
      <c r="D100" s="86">
        <f t="shared" si="67"/>
        <v>3.7300394113792761</v>
      </c>
      <c r="E100" s="86" cm="1">
        <f t="array" ref="E100">EXP(LN(_xlfn.XLOOKUP(C100,$G$7:$G$59/12,$M$7:$M$59,,-1))+(C100-_xlfn.XLOOKUP(C100,$G$7:$G$59/12,$G$7:$G$59/12,,-1))/(_xlfn.XLOOKUP(C100,$G$7:$G$59/12,$G$7:$G$59/12,,1)-_xlfn.XLOOKUP(C100,$G$7:$G$59/12,$G$7:$G$59/12,,-1))*(LN(_xlfn.XLOOKUP(C100,$G$7:$G$59/12,$M$7:$M$59,,1))-LN(_xlfn.XLOOKUP(C100,$G$7:$G$59/12,$M$7:$M$59,,-1))))</f>
        <v>0.87092552426242276</v>
      </c>
      <c r="F100" s="62">
        <f t="shared" si="65"/>
        <v>3.7489223036237087</v>
      </c>
      <c r="G100" s="62">
        <f t="shared" si="66"/>
        <v>0.87031642438615164</v>
      </c>
      <c r="H100" s="62">
        <f t="shared" si="68"/>
        <v>1.8882892244432625E-2</v>
      </c>
      <c r="I100" s="87"/>
      <c r="J100" s="88"/>
      <c r="L100" s="88"/>
      <c r="M100" s="89"/>
      <c r="V100" s="71"/>
      <c r="W100" s="71"/>
      <c r="X100" s="71"/>
    </row>
    <row r="101" spans="2:24">
      <c r="B101" s="84" t="s">
        <v>93</v>
      </c>
      <c r="C101" s="85">
        <f t="shared" si="69"/>
        <v>3.9550228310502282</v>
      </c>
      <c r="D101" s="86">
        <f t="shared" si="67"/>
        <v>3.8818840878262413</v>
      </c>
      <c r="E101" s="86" cm="1">
        <f t="array" ref="E101">EXP(LN(_xlfn.XLOOKUP(C101,$G$7:$G$59/12,$M$7:$M$59,,-1))+(C101-_xlfn.XLOOKUP(C101,$G$7:$G$59/12,$G$7:$G$59/12,,-1))/(_xlfn.XLOOKUP(C101,$G$7:$G$59/12,$G$7:$G$59/12,,1)-_xlfn.XLOOKUP(C101,$G$7:$G$59/12,$G$7:$G$59/12,,-1))*(LN(_xlfn.XLOOKUP(C101,$G$7:$G$59/12,$M$7:$M$59,,1))-LN(_xlfn.XLOOKUP(C101,$G$7:$G$59/12,$M$7:$M$59,,-1))))</f>
        <v>0.85767554649591393</v>
      </c>
      <c r="F101" s="62">
        <f t="shared" si="65"/>
        <v>3.7762264597893722</v>
      </c>
      <c r="G101" s="62">
        <f t="shared" si="66"/>
        <v>0.86126708566199184</v>
      </c>
      <c r="H101" s="62">
        <f t="shared" si="68"/>
        <v>-0.10565762803686907</v>
      </c>
      <c r="I101" s="87"/>
      <c r="J101" s="88"/>
      <c r="L101" s="88"/>
      <c r="M101" s="89"/>
      <c r="V101" s="71"/>
      <c r="W101" s="71"/>
      <c r="X101" s="71"/>
    </row>
    <row r="102" spans="2:24">
      <c r="B102" s="95" t="s">
        <v>141</v>
      </c>
      <c r="C102" s="92">
        <f>C97+1</f>
        <v>4</v>
      </c>
      <c r="D102" s="93">
        <f t="shared" si="67"/>
        <v>3.8578453296829038</v>
      </c>
      <c r="E102" s="93" cm="1">
        <f t="array" ref="E102">EXP(LN(_xlfn.XLOOKUP(C102,$G$7:$G$59/12,$M$7:$M$59,,-1))+(C102-_xlfn.XLOOKUP(C102,$G$7:$G$59/12,$G$7:$G$59/12,,-1))/(_xlfn.XLOOKUP(C102,$G$7:$G$59/12,$G$7:$G$59/12,,1)-_xlfn.XLOOKUP(C102,$G$7:$G$59/12,$G$7:$G$59/12,,-1))*(LN(_xlfn.XLOOKUP(C102,$G$7:$G$59/12,$M$7:$M$59,,1))-LN(_xlfn.XLOOKUP(C102,$G$7:$G$59/12,$M$7:$M$59,,-1))))</f>
        <v>0.85700303995325589</v>
      </c>
      <c r="F102" s="63">
        <f t="shared" si="65"/>
        <v>3.7809464382675473</v>
      </c>
      <c r="G102" s="63">
        <f t="shared" si="66"/>
        <v>0.85964320173035413</v>
      </c>
      <c r="H102" s="63">
        <f t="shared" si="68"/>
        <v>-7.6898891415356552E-2</v>
      </c>
      <c r="I102" s="94"/>
      <c r="J102" s="88"/>
      <c r="L102" s="88"/>
      <c r="M102" s="89"/>
      <c r="V102" s="71"/>
      <c r="W102" s="71"/>
      <c r="X102" s="71"/>
    </row>
    <row r="103" spans="2:24">
      <c r="B103" s="84" t="s">
        <v>94</v>
      </c>
      <c r="C103" s="85">
        <f>C98+1</f>
        <v>4.2050228310502282</v>
      </c>
      <c r="D103" s="86">
        <f t="shared" si="67"/>
        <v>3.7508432090043766</v>
      </c>
      <c r="E103" s="86" cm="1">
        <f t="array" ref="E103">EXP(LN(_xlfn.XLOOKUP(C103,$G$7:$G$59/12,$M$7:$M$59,,-1))+(C103-_xlfn.XLOOKUP(C103,$G$7:$G$59/12,$G$7:$G$59/12,,-1))/(_xlfn.XLOOKUP(C103,$G$7:$G$59/12,$G$7:$G$59/12,,1)-_xlfn.XLOOKUP(C103,$G$7:$G$59/12,$G$7:$G$59/12,,-1))*(LN(_xlfn.XLOOKUP(C103,$G$7:$G$59/12,$M$7:$M$59,,1))-LN(_xlfn.XLOOKUP(C103,$G$7:$G$59/12,$M$7:$M$59,,-1))))</f>
        <v>0.85408563649431801</v>
      </c>
      <c r="F103" s="62">
        <f t="shared" si="65"/>
        <v>3.8017429403784009</v>
      </c>
      <c r="G103" s="62">
        <f t="shared" si="66"/>
        <v>0.85225955321643176</v>
      </c>
      <c r="H103" s="62">
        <f t="shared" si="68"/>
        <v>5.089973137402426E-2</v>
      </c>
      <c r="I103" s="87"/>
      <c r="J103" s="88"/>
      <c r="L103" s="88"/>
      <c r="M103" s="89"/>
      <c r="V103" s="71"/>
      <c r="W103" s="71"/>
      <c r="X103" s="71"/>
    </row>
    <row r="104" spans="2:24">
      <c r="B104" s="84" t="s">
        <v>95</v>
      </c>
      <c r="C104" s="85">
        <f t="shared" ref="C104:C106" si="70">C99+1</f>
        <v>4.4550228310502282</v>
      </c>
      <c r="D104" s="86">
        <f t="shared" si="67"/>
        <v>3.8885499735162332</v>
      </c>
      <c r="E104" s="86" cm="1">
        <f t="array" ref="E104">EXP(LN(_xlfn.XLOOKUP(C104,$G$7:$G$59/12,$M$7:$M$59,,-1))+(C104-_xlfn.XLOOKUP(C104,$G$7:$G$59/12,$G$7:$G$59/12,,-1))/(_xlfn.XLOOKUP(C104,$G$7:$G$59/12,$G$7:$G$59/12,,1)-_xlfn.XLOOKUP(C104,$G$7:$G$59/12,$G$7:$G$59/12,,-1))*(LN(_xlfn.XLOOKUP(C104,$G$7:$G$59/12,$M$7:$M$59,,1))-LN(_xlfn.XLOOKUP(C104,$G$7:$G$59/12,$M$7:$M$59,,-1))))</f>
        <v>0.84093930712950837</v>
      </c>
      <c r="F104" s="62">
        <f t="shared" si="65"/>
        <v>3.8255573846248505</v>
      </c>
      <c r="G104" s="62">
        <f t="shared" si="66"/>
        <v>0.84330257839502087</v>
      </c>
      <c r="H104" s="62">
        <f t="shared" si="68"/>
        <v>-6.2992588891382706E-2</v>
      </c>
      <c r="I104" s="87"/>
      <c r="J104" s="88"/>
      <c r="L104" s="88"/>
      <c r="M104" s="89"/>
      <c r="V104" s="71"/>
      <c r="W104" s="71"/>
      <c r="X104" s="71"/>
    </row>
    <row r="105" spans="2:24">
      <c r="B105" s="84" t="s">
        <v>96</v>
      </c>
      <c r="C105" s="85">
        <f t="shared" si="70"/>
        <v>4.7050228310502282</v>
      </c>
      <c r="D105" s="86">
        <f t="shared" si="67"/>
        <v>3.7975592997259562</v>
      </c>
      <c r="E105" s="86" cm="1">
        <f t="array" ref="E105">EXP(LN(_xlfn.XLOOKUP(C105,$G$7:$G$59/12,$M$7:$M$59,,-1))+(C105-_xlfn.XLOOKUP(C105,$G$7:$G$59/12,$G$7:$G$59/12,,-1))/(_xlfn.XLOOKUP(C105,$G$7:$G$59/12,$G$7:$G$59/12,,1)-_xlfn.XLOOKUP(C105,$G$7:$G$59/12,$G$7:$G$59/12,,-1))*(LN(_xlfn.XLOOKUP(C105,$G$7:$G$59/12,$M$7:$M$59,,1))-LN(_xlfn.XLOOKUP(C105,$G$7:$G$59/12,$M$7:$M$59,,-1))))</f>
        <v>0.83637681477210601</v>
      </c>
      <c r="F105" s="62">
        <f t="shared" si="65"/>
        <v>3.8477516470632516</v>
      </c>
      <c r="G105" s="62">
        <f t="shared" si="66"/>
        <v>0.83440398995942766</v>
      </c>
      <c r="H105" s="62">
        <f t="shared" si="68"/>
        <v>5.0192347337295384E-2</v>
      </c>
      <c r="I105" s="87"/>
      <c r="J105" s="88"/>
      <c r="L105" s="88"/>
      <c r="M105" s="89"/>
      <c r="V105" s="71"/>
      <c r="W105" s="71"/>
      <c r="X105" s="71"/>
    </row>
    <row r="106" spans="2:24">
      <c r="B106" s="84" t="s">
        <v>97</v>
      </c>
      <c r="C106" s="85">
        <f t="shared" si="70"/>
        <v>4.9550228310502282</v>
      </c>
      <c r="D106" s="86">
        <f t="shared" si="67"/>
        <v>3.8845186115112464</v>
      </c>
      <c r="E106" s="86" cm="1">
        <f t="array" ref="E106">EXP(LN(_xlfn.XLOOKUP(C106,$G$7:$G$59/12,$M$7:$M$59,,-1))+(C106-_xlfn.XLOOKUP(C106,$G$7:$G$59/12,$G$7:$G$59/12,,-1))/(_xlfn.XLOOKUP(C106,$G$7:$G$59/12,$G$7:$G$59/12,,1)-_xlfn.XLOOKUP(C106,$G$7:$G$59/12,$G$7:$G$59/12,,-1))*(LN(_xlfn.XLOOKUP(C106,$G$7:$G$59/12,$M$7:$M$59,,1))-LN(_xlfn.XLOOKUP(C106,$G$7:$G$59/12,$M$7:$M$59,,-1))))</f>
        <v>0.82491181928377511</v>
      </c>
      <c r="F106" s="62">
        <f t="shared" si="65"/>
        <v>3.8684039593502231</v>
      </c>
      <c r="G106" s="62">
        <f t="shared" si="66"/>
        <v>0.82557076178788569</v>
      </c>
      <c r="H106" s="62">
        <f t="shared" si="68"/>
        <v>-1.6114652161023368E-2</v>
      </c>
      <c r="I106" s="87"/>
      <c r="J106" s="88"/>
      <c r="L106" s="88"/>
      <c r="M106" s="89"/>
      <c r="V106" s="71"/>
      <c r="W106" s="71"/>
      <c r="X106" s="71"/>
    </row>
    <row r="107" spans="2:24">
      <c r="B107" s="95" t="s">
        <v>142</v>
      </c>
      <c r="C107" s="92">
        <v>5</v>
      </c>
      <c r="D107" s="93">
        <f t="shared" si="67"/>
        <v>3.8749994206907132</v>
      </c>
      <c r="E107" s="93" cm="1">
        <f t="array" ref="E107">EXP(LN(_xlfn.XLOOKUP(C107,$G$7:$G$59/12,$M$7:$M$59,,-1))+(C107-_xlfn.XLOOKUP(C107,$G$7:$G$59/12,$G$7:$G$59/12,,-1))/(_xlfn.XLOOKUP(C107,$G$7:$G$59/12,$G$7:$G$59/12,,1)-_xlfn.XLOOKUP(C107,$G$7:$G$59/12,$G$7:$G$59/12,,-1))*(LN(_xlfn.XLOOKUP(C107,$G$7:$G$59/12,$M$7:$M$59,,1))-LN(_xlfn.XLOOKUP(C107,$G$7:$G$59/12,$M$7:$M$59,,-1))))</f>
        <v>0.82386386834969771</v>
      </c>
      <c r="F107" s="63">
        <f t="shared" si="65"/>
        <v>3.8719616495272744</v>
      </c>
      <c r="G107" s="63">
        <f t="shared" si="66"/>
        <v>0.82398901334859742</v>
      </c>
      <c r="H107" s="63">
        <f t="shared" si="68"/>
        <v>-3.0377711634388405E-3</v>
      </c>
      <c r="I107" s="94"/>
      <c r="J107" s="88"/>
      <c r="L107" s="88"/>
      <c r="M107" s="89"/>
      <c r="V107" s="71"/>
      <c r="W107" s="71"/>
      <c r="X107" s="71"/>
    </row>
    <row r="108" spans="2:24">
      <c r="B108" s="84" t="s">
        <v>98</v>
      </c>
      <c r="C108" s="85">
        <f>C103+1</f>
        <v>5.2050228310502282</v>
      </c>
      <c r="D108" s="86">
        <f t="shared" si="67"/>
        <v>3.831735720030327</v>
      </c>
      <c r="E108" s="86" cm="1">
        <f t="array" ref="E108">EXP(LN(_xlfn.XLOOKUP(C108,$G$7:$G$59/12,$M$7:$M$59,,-1))+(C108-_xlfn.XLOOKUP(C108,$G$7:$G$59/12,$G$7:$G$59/12,,-1))/(_xlfn.XLOOKUP(C108,$G$7:$G$59/12,$G$7:$G$59/12,,1)-_xlfn.XLOOKUP(C108,$G$7:$G$59/12,$G$7:$G$59/12,,-1))*(LN(_xlfn.XLOOKUP(C108,$G$7:$G$59/12,$M$7:$M$59,,1))-LN(_xlfn.XLOOKUP(C108,$G$7:$G$59/12,$M$7:$M$59,,-1))))</f>
        <v>0.81918714328429698</v>
      </c>
      <c r="F108" s="62">
        <f t="shared" si="65"/>
        <v>3.8875890852821007</v>
      </c>
      <c r="G108" s="62">
        <f t="shared" si="66"/>
        <v>0.81680907687547655</v>
      </c>
      <c r="H108" s="62">
        <f t="shared" si="68"/>
        <v>5.5853365251773646E-2</v>
      </c>
      <c r="I108" s="87"/>
      <c r="J108" s="88"/>
      <c r="L108" s="88"/>
      <c r="M108" s="89"/>
      <c r="V108" s="71"/>
      <c r="W108" s="71"/>
      <c r="X108" s="71"/>
    </row>
    <row r="109" spans="2:24">
      <c r="B109" s="84" t="s">
        <v>99</v>
      </c>
      <c r="C109" s="85">
        <f>C105+1</f>
        <v>5.7050228310502282</v>
      </c>
      <c r="D109" s="86">
        <f t="shared" si="67"/>
        <v>3.8751956098358664</v>
      </c>
      <c r="E109" s="86" cm="1">
        <f t="array" ref="E109">EXP(LN(_xlfn.XLOOKUP(C109,$G$7:$G$59/12,$M$7:$M$59,,-1))+(C109-_xlfn.XLOOKUP(C109,$G$7:$G$59/12,$G$7:$G$59/12,,-1))/(_xlfn.XLOOKUP(C109,$G$7:$G$59/12,$G$7:$G$59/12,,1)-_xlfn.XLOOKUP(C109,$G$7:$G$59/12,$G$7:$G$59/12,,-1))*(LN(_xlfn.XLOOKUP(C109,$G$7:$G$59/12,$M$7:$M$59,,1))-LN(_xlfn.XLOOKUP(C109,$G$7:$G$59/12,$M$7:$M$59,,-1))))</f>
        <v>0.80165190877765735</v>
      </c>
      <c r="F109" s="62">
        <f t="shared" si="65"/>
        <v>3.9218403786972469</v>
      </c>
      <c r="G109" s="62">
        <f t="shared" si="66"/>
        <v>0.79952147302438648</v>
      </c>
      <c r="H109" s="62">
        <f t="shared" si="68"/>
        <v>4.664476886138047E-2</v>
      </c>
      <c r="I109" s="87"/>
      <c r="J109" s="88"/>
      <c r="L109" s="88"/>
      <c r="M109" s="89"/>
      <c r="V109" s="71"/>
      <c r="W109" s="71"/>
      <c r="X109" s="71"/>
    </row>
    <row r="110" spans="2:24">
      <c r="B110" s="95" t="s">
        <v>143</v>
      </c>
      <c r="C110" s="92">
        <v>6</v>
      </c>
      <c r="D110" s="93">
        <f t="shared" si="67"/>
        <v>3.899729850190361</v>
      </c>
      <c r="E110" s="93" cm="1">
        <f t="array" ref="E110">EXP(LN(_xlfn.XLOOKUP(C110,$G$7:$G$59/12,$M$7:$M$59,,-1))+(C110-_xlfn.XLOOKUP(C110,$G$7:$G$59/12,$G$7:$G$59/12,,-1))/(_xlfn.XLOOKUP(C110,$G$7:$G$59/12,$G$7:$G$59/12,,1)-_xlfn.XLOOKUP(C110,$G$7:$G$59/12,$G$7:$G$59/12,,-1))*(LN(_xlfn.XLOOKUP(C110,$G$7:$G$59/12,$M$7:$M$59,,1))-LN(_xlfn.XLOOKUP(C110,$G$7:$G$59/12,$M$7:$M$59,,-1))))</f>
        <v>0.79137464317417738</v>
      </c>
      <c r="F110" s="63">
        <f t="shared" si="65"/>
        <v>3.93964546930976</v>
      </c>
      <c r="G110" s="63">
        <f t="shared" si="66"/>
        <v>0.78948161838643049</v>
      </c>
      <c r="H110" s="63">
        <f t="shared" si="68"/>
        <v>3.9915619119399004E-2</v>
      </c>
      <c r="I110" s="94"/>
      <c r="J110" s="88"/>
      <c r="L110" s="88"/>
      <c r="M110" s="89"/>
      <c r="V110" s="71"/>
      <c r="W110" s="71"/>
      <c r="X110" s="71"/>
    </row>
    <row r="111" spans="2:24">
      <c r="B111" s="84" t="s">
        <v>100</v>
      </c>
      <c r="C111" s="85">
        <f>C108+1</f>
        <v>6.2050228310502282</v>
      </c>
      <c r="D111" s="86">
        <f t="shared" si="67"/>
        <v>3.9154122182767046</v>
      </c>
      <c r="E111" s="86" cm="1">
        <f t="array" ref="E111">EXP(LN(_xlfn.XLOOKUP(C111,$G$7:$G$59/12,$M$7:$M$59,,-1))+(C111-_xlfn.XLOOKUP(C111,$G$7:$G$59/12,$G$7:$G$59/12,,-1))/(_xlfn.XLOOKUP(C111,$G$7:$G$59/12,$G$7:$G$59/12,,1)-_xlfn.XLOOKUP(C111,$G$7:$G$59/12,$G$7:$G$59/12,,-1))*(LN(_xlfn.XLOOKUP(C111,$G$7:$G$59/12,$M$7:$M$59,,1))-LN(_xlfn.XLOOKUP(C111,$G$7:$G$59/12,$M$7:$M$59,,-1))))</f>
        <v>0.78430898553321682</v>
      </c>
      <c r="F111" s="62">
        <f t="shared" si="65"/>
        <v>3.9510397692043009</v>
      </c>
      <c r="G111" s="62">
        <f t="shared" si="66"/>
        <v>0.78257703060668959</v>
      </c>
      <c r="H111" s="62">
        <f t="shared" si="68"/>
        <v>3.5627550927596285E-2</v>
      </c>
      <c r="I111" s="87"/>
      <c r="J111" s="88"/>
      <c r="L111" s="88"/>
      <c r="M111" s="89"/>
      <c r="V111" s="71"/>
      <c r="W111" s="71"/>
      <c r="X111" s="71"/>
    </row>
    <row r="112" spans="2:24">
      <c r="B112" s="84" t="s">
        <v>101</v>
      </c>
      <c r="C112" s="85">
        <f>C109+1</f>
        <v>6.7050228310502282</v>
      </c>
      <c r="D112" s="86">
        <f t="shared" si="67"/>
        <v>3.9243499586630981</v>
      </c>
      <c r="E112" s="86" cm="1">
        <f t="array" ref="E112">EXP(LN(_xlfn.XLOOKUP(C112,$G$7:$G$59/12,$M$7:$M$59,,-1))+(C112-_xlfn.XLOOKUP(C112,$G$7:$G$59/12,$G$7:$G$59/12,,-1))/(_xlfn.XLOOKUP(C112,$G$7:$G$59/12,$G$7:$G$59/12,,1)-_xlfn.XLOOKUP(C112,$G$7:$G$59/12,$G$7:$G$59/12,,-1))*(LN(_xlfn.XLOOKUP(C112,$G$7:$G$59/12,$M$7:$M$59,,1))-LN(_xlfn.XLOOKUP(C112,$G$7:$G$59/12,$M$7:$M$59,,-1))))</f>
        <v>0.76864307366829876</v>
      </c>
      <c r="F112" s="62">
        <f t="shared" si="65"/>
        <v>3.9756748893132192</v>
      </c>
      <c r="G112" s="62">
        <f t="shared" si="66"/>
        <v>0.76600245137609135</v>
      </c>
      <c r="H112" s="62">
        <f t="shared" si="68"/>
        <v>5.1324930650121114E-2</v>
      </c>
      <c r="I112" s="87"/>
      <c r="J112" s="88"/>
      <c r="L112" s="88"/>
      <c r="M112" s="89"/>
      <c r="V112" s="71"/>
      <c r="W112" s="71"/>
      <c r="X112" s="71"/>
    </row>
    <row r="113" spans="2:24">
      <c r="B113" s="95" t="s">
        <v>144</v>
      </c>
      <c r="C113" s="92">
        <v>7</v>
      </c>
      <c r="D113" s="93">
        <f t="shared" si="67"/>
        <v>3.9304708333566527</v>
      </c>
      <c r="E113" s="93" cm="1">
        <f t="array" ref="E113">EXP(LN(_xlfn.XLOOKUP(C113,$G$7:$G$59/12,$M$7:$M$59,,-1))+(C113-_xlfn.XLOOKUP(C113,$G$7:$G$59/12,$G$7:$G$59/12,,-1))/(_xlfn.XLOOKUP(C113,$G$7:$G$59/12,$G$7:$G$59/12,,1)-_xlfn.XLOOKUP(C113,$G$7:$G$59/12,$G$7:$G$59/12,,-1))*(LN(_xlfn.XLOOKUP(C113,$G$7:$G$59/12,$M$7:$M$59,,1))-LN(_xlfn.XLOOKUP(C113,$G$7:$G$59/12,$M$7:$M$59,,-1))))</f>
        <v>0.75947113849370773</v>
      </c>
      <c r="F113" s="63">
        <f t="shared" si="65"/>
        <v>3.9882496598297239</v>
      </c>
      <c r="G113" s="63">
        <f t="shared" si="66"/>
        <v>0.75640564731085924</v>
      </c>
      <c r="H113" s="63">
        <f t="shared" si="68"/>
        <v>5.7778826473071199E-2</v>
      </c>
      <c r="I113" s="94"/>
      <c r="J113" s="88"/>
      <c r="L113" s="88"/>
      <c r="M113" s="89"/>
      <c r="V113" s="71"/>
      <c r="W113" s="71"/>
      <c r="X113" s="71"/>
    </row>
    <row r="114" spans="2:24">
      <c r="B114" s="84" t="s">
        <v>102</v>
      </c>
      <c r="C114" s="85">
        <f>C111+1</f>
        <v>7.2050228310502282</v>
      </c>
      <c r="D114" s="86">
        <f t="shared" si="67"/>
        <v>3.9344326295887235</v>
      </c>
      <c r="E114" s="86" cm="1">
        <f t="array" ref="E114">EXP(LN(_xlfn.XLOOKUP(C114,$G$7:$G$59/12,$M$7:$M$59,,-1))+(C114-_xlfn.XLOOKUP(C114,$G$7:$G$59/12,$G$7:$G$59/12,,-1))/(_xlfn.XLOOKUP(C114,$G$7:$G$59/12,$G$7:$G$59/12,,1)-_xlfn.XLOOKUP(C114,$G$7:$G$59/12,$G$7:$G$59/12,,-1))*(LN(_xlfn.XLOOKUP(C114,$G$7:$G$59/12,$M$7:$M$59,,1))-LN(_xlfn.XLOOKUP(C114,$G$7:$G$59/12,$M$7:$M$59,,-1))))</f>
        <v>0.75316061843480631</v>
      </c>
      <c r="F114" s="62">
        <f t="shared" si="65"/>
        <v>3.9961906820622946</v>
      </c>
      <c r="G114" s="62">
        <f t="shared" si="66"/>
        <v>0.74981673847117469</v>
      </c>
      <c r="H114" s="62">
        <f t="shared" si="68"/>
        <v>6.1758052473571023E-2</v>
      </c>
      <c r="I114" s="87"/>
      <c r="J114" s="88"/>
      <c r="L114" s="88"/>
      <c r="M114" s="89"/>
      <c r="V114" s="71"/>
      <c r="W114" s="71"/>
      <c r="X114" s="71"/>
    </row>
    <row r="115" spans="2:24">
      <c r="B115" s="84" t="s">
        <v>103</v>
      </c>
      <c r="C115" s="85">
        <f>C112+1</f>
        <v>7.7050228310502282</v>
      </c>
      <c r="D115" s="86">
        <f t="shared" si="67"/>
        <v>3.9247049399901353</v>
      </c>
      <c r="E115" s="86" cm="1">
        <f t="array" ref="E115">EXP(LN(_xlfn.XLOOKUP(C115,$G$7:$G$59/12,$M$7:$M$59,,-1))+(C115-_xlfn.XLOOKUP(C115,$G$7:$G$59/12,$G$7:$G$59/12,,-1))/(_xlfn.XLOOKUP(C115,$G$7:$G$59/12,$G$7:$G$59/12,,1)-_xlfn.XLOOKUP(C115,$G$7:$G$59/12,$G$7:$G$59/12,,-1))*(LN(_xlfn.XLOOKUP(C115,$G$7:$G$59/12,$M$7:$M$59,,1))-LN(_xlfn.XLOOKUP(C115,$G$7:$G$59/12,$M$7:$M$59,,-1))))</f>
        <v>0.7390428235980584</v>
      </c>
      <c r="F115" s="62">
        <f t="shared" si="65"/>
        <v>4.0129929972505396</v>
      </c>
      <c r="G115" s="62">
        <f t="shared" si="66"/>
        <v>0.73403246092899532</v>
      </c>
      <c r="H115" s="62">
        <f t="shared" si="68"/>
        <v>8.828805726040434E-2</v>
      </c>
      <c r="I115" s="87"/>
      <c r="J115" s="88"/>
      <c r="L115" s="88"/>
      <c r="M115" s="89"/>
      <c r="V115" s="71"/>
      <c r="W115" s="71"/>
      <c r="X115" s="71"/>
    </row>
    <row r="116" spans="2:24">
      <c r="B116" s="84" t="s">
        <v>104</v>
      </c>
      <c r="C116" s="85">
        <f>C114+1</f>
        <v>8.2050228310502291</v>
      </c>
      <c r="D116" s="86">
        <f t="shared" si="67"/>
        <v>3.9252924849763859</v>
      </c>
      <c r="E116" s="86" cm="1">
        <f t="array" ref="E116">EXP(LN(_xlfn.XLOOKUP(C116,$G$7:$G$59/12,$M$7:$M$59,,-1))+(C116-_xlfn.XLOOKUP(C116,$G$7:$G$59/12,$G$7:$G$59/12,,-1))/(_xlfn.XLOOKUP(C116,$G$7:$G$59/12,$G$7:$G$59/12,,1)-_xlfn.XLOOKUP(C116,$G$7:$G$59/12,$G$7:$G$59/12,,-1))*(LN(_xlfn.XLOOKUP(C116,$G$7:$G$59/12,$M$7:$M$59,,1))-LN(_xlfn.XLOOKUP(C116,$G$7:$G$59/12,$M$7:$M$59,,-1))))</f>
        <v>0.72464663381711614</v>
      </c>
      <c r="F116" s="62">
        <f t="shared" si="65"/>
        <v>4.0264518904378956</v>
      </c>
      <c r="G116" s="62">
        <f t="shared" si="66"/>
        <v>0.71865684883412273</v>
      </c>
      <c r="H116" s="62">
        <f t="shared" si="68"/>
        <v>0.1011594054615097</v>
      </c>
      <c r="I116" s="87"/>
      <c r="J116" s="88"/>
      <c r="L116" s="88"/>
      <c r="M116" s="89"/>
      <c r="V116" s="71"/>
      <c r="W116" s="71"/>
      <c r="X116" s="71"/>
    </row>
    <row r="117" spans="2:24">
      <c r="B117" s="84" t="s">
        <v>105</v>
      </c>
      <c r="C117" s="85">
        <f>C116+1</f>
        <v>9.2050228310502291</v>
      </c>
      <c r="D117" s="86">
        <f t="shared" si="67"/>
        <v>3.8720859610438598</v>
      </c>
      <c r="E117" s="86" cm="1">
        <f t="array" ref="E117">EXP(LN(_xlfn.XLOOKUP(C117,$G$7:$G$59/12,$M$7:$M$59,,-1))+(C117-_xlfn.XLOOKUP(C117,$G$7:$G$59/12,$G$7:$G$59/12,,-1))/(_xlfn.XLOOKUP(C117,$G$7:$G$59/12,$G$7:$G$59/12,,1)-_xlfn.XLOOKUP(C117,$G$7:$G$59/12,$G$7:$G$59/12,,-1))*(LN(_xlfn.XLOOKUP(C117,$G$7:$G$59/12,$M$7:$M$59,,1))-LN(_xlfn.XLOOKUP(C117,$G$7:$G$59/12,$M$7:$M$59,,-1))))</f>
        <v>0.70017400465401591</v>
      </c>
      <c r="F117" s="62">
        <f t="shared" si="65"/>
        <v>4.0446585676741744</v>
      </c>
      <c r="G117" s="62">
        <f t="shared" si="66"/>
        <v>0.68913937356070099</v>
      </c>
      <c r="H117" s="62">
        <f t="shared" si="68"/>
        <v>0.1725726066303146</v>
      </c>
      <c r="I117" s="87"/>
      <c r="J117" s="88"/>
      <c r="L117" s="88"/>
      <c r="M117" s="89"/>
      <c r="V117" s="71"/>
      <c r="W117" s="71"/>
      <c r="X117" s="71"/>
    </row>
    <row r="118" spans="2:24">
      <c r="B118" s="84" t="s">
        <v>106</v>
      </c>
      <c r="C118" s="85">
        <f>C116+1</f>
        <v>9.2050228310502291</v>
      </c>
      <c r="D118" s="86">
        <f t="shared" si="67"/>
        <v>3.8720859610438598</v>
      </c>
      <c r="E118" s="86" cm="1">
        <f t="array" ref="E118">EXP(LN(_xlfn.XLOOKUP(C118,$G$7:$G$59/12,$M$7:$M$59,,-1))+(C118-_xlfn.XLOOKUP(C118,$G$7:$G$59/12,$G$7:$G$59/12,,-1))/(_xlfn.XLOOKUP(C118,$G$7:$G$59/12,$G$7:$G$59/12,,1)-_xlfn.XLOOKUP(C118,$G$7:$G$59/12,$G$7:$G$59/12,,-1))*(LN(_xlfn.XLOOKUP(C118,$G$7:$G$59/12,$M$7:$M$59,,1))-LN(_xlfn.XLOOKUP(C118,$G$7:$G$59/12,$M$7:$M$59,,-1))))</f>
        <v>0.70017400465401591</v>
      </c>
      <c r="F118" s="62">
        <f t="shared" si="65"/>
        <v>4.0446585676741744</v>
      </c>
      <c r="G118" s="62">
        <f t="shared" si="66"/>
        <v>0.68913937356070099</v>
      </c>
      <c r="H118" s="62">
        <f t="shared" si="68"/>
        <v>0.1725726066303146</v>
      </c>
      <c r="I118" s="87"/>
      <c r="J118" s="88"/>
      <c r="L118" s="88"/>
      <c r="M118" s="89"/>
      <c r="V118" s="71"/>
      <c r="W118" s="71"/>
      <c r="X118" s="71"/>
    </row>
    <row r="119" spans="2:24">
      <c r="B119" s="84" t="s">
        <v>107</v>
      </c>
      <c r="C119" s="85">
        <f>C118+1</f>
        <v>10.205022831050229</v>
      </c>
      <c r="D119" s="86">
        <f t="shared" si="67"/>
        <v>3.8968691439584084</v>
      </c>
      <c r="E119" s="86" cm="1">
        <f t="array" ref="E119">EXP(LN(_xlfn.XLOOKUP(C119,$G$7:$G$59/12,$M$7:$M$59,,-1))+(C119-_xlfn.XLOOKUP(C119,$G$7:$G$59/12,$G$7:$G$59/12,,-1))/(_xlfn.XLOOKUP(C119,$G$7:$G$59/12,$G$7:$G$59/12,,1)-_xlfn.XLOOKUP(C119,$G$7:$G$59/12,$G$7:$G$59/12,,-1))*(LN(_xlfn.XLOOKUP(C119,$G$7:$G$59/12,$M$7:$M$59,,1))-LN(_xlfn.XLOOKUP(C119,$G$7:$G$59/12,$M$7:$M$59,,-1))))</f>
        <v>0.6718794221809139</v>
      </c>
      <c r="F119" s="62">
        <f t="shared" si="65"/>
        <v>4.053164161548561</v>
      </c>
      <c r="G119" s="62">
        <f t="shared" si="66"/>
        <v>0.66124799492352959</v>
      </c>
      <c r="H119" s="62">
        <f t="shared" si="68"/>
        <v>0.15629501759015252</v>
      </c>
      <c r="I119" s="87"/>
      <c r="J119" s="88"/>
      <c r="L119" s="88"/>
      <c r="M119" s="89"/>
      <c r="V119" s="71"/>
      <c r="W119" s="71"/>
      <c r="X119" s="71"/>
    </row>
    <row r="120" spans="2:24">
      <c r="B120" s="95" t="s">
        <v>145</v>
      </c>
      <c r="C120" s="92">
        <v>10</v>
      </c>
      <c r="D120" s="93">
        <f t="shared" si="67"/>
        <v>3.8995309578504944</v>
      </c>
      <c r="E120" s="93" cm="1">
        <f t="array" ref="E120">EXP(LN(_xlfn.XLOOKUP(C120,$G$7:$G$59/12,$M$7:$M$59,,-1))+(C120-_xlfn.XLOOKUP(C120,$G$7:$G$59/12,$G$7:$G$59/12,,-1))/(_xlfn.XLOOKUP(C120,$G$7:$G$59/12,$G$7:$G$59/12,,1)-_xlfn.XLOOKUP(C120,$G$7:$G$59/12,$G$7:$G$59/12,,-1))*(LN(_xlfn.XLOOKUP(C120,$G$7:$G$59/12,$M$7:$M$59,,1))-LN(_xlfn.XLOOKUP(C120,$G$7:$G$59/12,$M$7:$M$59,,-1))))</f>
        <v>0.67708863206411596</v>
      </c>
      <c r="F120" s="63">
        <f t="shared" si="65"/>
        <v>4.0521104667826817</v>
      </c>
      <c r="G120" s="63">
        <f t="shared" si="66"/>
        <v>0.66683606247082305</v>
      </c>
      <c r="H120" s="63">
        <f t="shared" si="68"/>
        <v>0.1525795089321873</v>
      </c>
      <c r="I120" s="94"/>
      <c r="J120" s="88"/>
      <c r="L120" s="88"/>
      <c r="M120" s="89"/>
      <c r="V120" s="71"/>
      <c r="W120" s="71"/>
      <c r="X120" s="71"/>
    </row>
    <row r="121" spans="2:24">
      <c r="B121" s="84" t="s">
        <v>108</v>
      </c>
      <c r="C121" s="85">
        <f>C118+1</f>
        <v>10.205022831050229</v>
      </c>
      <c r="D121" s="86">
        <f t="shared" si="67"/>
        <v>3.8968691439584084</v>
      </c>
      <c r="E121" s="86" cm="1">
        <f t="array" ref="E121">EXP(LN(_xlfn.XLOOKUP(C121,$G$7:$G$59/12,$M$7:$M$59,,-1))+(C121-_xlfn.XLOOKUP(C121,$G$7:$G$59/12,$G$7:$G$59/12,,-1))/(_xlfn.XLOOKUP(C121,$G$7:$G$59/12,$G$7:$G$59/12,,1)-_xlfn.XLOOKUP(C121,$G$7:$G$59/12,$G$7:$G$59/12,,-1))*(LN(_xlfn.XLOOKUP(C121,$G$7:$G$59/12,$M$7:$M$59,,1))-LN(_xlfn.XLOOKUP(C121,$G$7:$G$59/12,$M$7:$M$59,,-1))))</f>
        <v>0.6718794221809139</v>
      </c>
      <c r="F121" s="62">
        <f t="shared" si="65"/>
        <v>4.053164161548561</v>
      </c>
      <c r="G121" s="62">
        <f t="shared" si="66"/>
        <v>0.66124799492352959</v>
      </c>
      <c r="H121" s="62">
        <f t="shared" si="68"/>
        <v>0.15629501759015252</v>
      </c>
      <c r="I121" s="87"/>
      <c r="J121" s="88"/>
      <c r="L121" s="88"/>
      <c r="M121" s="89"/>
    </row>
    <row r="122" spans="2:24">
      <c r="B122" s="84" t="s">
        <v>109</v>
      </c>
      <c r="C122" s="85">
        <f>C121+1</f>
        <v>11.205022831050229</v>
      </c>
      <c r="D122" s="86">
        <f t="shared" si="67"/>
        <v>3.9596334513075573</v>
      </c>
      <c r="E122" s="86" cm="1">
        <f t="array" ref="E122">EXP(LN(_xlfn.XLOOKUP(C122,$G$7:$G$59/12,$M$7:$M$59,,-1))+(C122-_xlfn.XLOOKUP(C122,$G$7:$G$59/12,$G$7:$G$59/12,,-1))/(_xlfn.XLOOKUP(C122,$G$7:$G$59/12,$G$7:$G$59/12,,1)-_xlfn.XLOOKUP(C122,$G$7:$G$59/12,$G$7:$G$59/12,,-1))*(LN(_xlfn.XLOOKUP(C122,$G$7:$G$59/12,$M$7:$M$59,,1))-LN(_xlfn.XLOOKUP(C122,$G$7:$G$59/12,$M$7:$M$59,,-1))))</f>
        <v>0.64167211359499787</v>
      </c>
      <c r="F122" s="62">
        <f t="shared" si="65"/>
        <v>4.0539187561976266</v>
      </c>
      <c r="G122" s="62">
        <f t="shared" si="66"/>
        <v>0.63492873026965568</v>
      </c>
      <c r="H122" s="62">
        <f t="shared" si="68"/>
        <v>9.4285304890069366E-2</v>
      </c>
      <c r="I122" s="87"/>
      <c r="J122" s="88"/>
      <c r="L122" s="88"/>
      <c r="M122" s="89"/>
    </row>
    <row r="123" spans="2:24">
      <c r="B123" s="84" t="s">
        <v>110</v>
      </c>
      <c r="C123" s="85">
        <f>C122+1</f>
        <v>12.205022831050229</v>
      </c>
      <c r="D123" s="86">
        <f t="shared" si="67"/>
        <v>3.9988714659292608</v>
      </c>
      <c r="E123" s="86" cm="1">
        <f t="array" ref="E123">EXP(LN(_xlfn.XLOOKUP(C123,$G$7:$G$59/12,$M$7:$M$59,,-1))+(C123-_xlfn.XLOOKUP(C123,$G$7:$G$59/12,$G$7:$G$59/12,,-1))/(_xlfn.XLOOKUP(C123,$G$7:$G$59/12,$G$7:$G$59/12,,1)-_xlfn.XLOOKUP(C123,$G$7:$G$59/12,$G$7:$G$59/12,,-1))*(LN(_xlfn.XLOOKUP(C123,$G$7:$G$59/12,$M$7:$M$59,,1))-LN(_xlfn.XLOOKUP(C123,$G$7:$G$59/12,$M$7:$M$59,,-1))))</f>
        <v>0.61381409386635366</v>
      </c>
      <c r="F123" s="62">
        <f t="shared" si="65"/>
        <v>4.0485349550825918</v>
      </c>
      <c r="G123" s="62">
        <f t="shared" si="66"/>
        <v>0.61010474978941742</v>
      </c>
      <c r="H123" s="62">
        <f t="shared" si="68"/>
        <v>4.9663489153330964E-2</v>
      </c>
      <c r="I123" s="87"/>
      <c r="J123" s="88"/>
      <c r="L123" s="88"/>
      <c r="M123" s="89"/>
    </row>
    <row r="124" spans="2:24">
      <c r="B124" s="84" t="s">
        <v>111</v>
      </c>
      <c r="C124" s="85">
        <f>C123+1</f>
        <v>13.205022831050229</v>
      </c>
      <c r="D124" s="86">
        <f t="shared" si="67"/>
        <v>3.9915628825212019</v>
      </c>
      <c r="E124" s="86" cm="1">
        <f t="array" ref="E124">EXP(LN(_xlfn.XLOOKUP(C124,$G$7:$G$59/12,$M$7:$M$59,,-1))+(C124-_xlfn.XLOOKUP(C124,$G$7:$G$59/12,$G$7:$G$59/12,,-1))/(_xlfn.XLOOKUP(C124,$G$7:$G$59/12,$G$7:$G$59/12,,1)-_xlfn.XLOOKUP(C124,$G$7:$G$59/12,$G$7:$G$59/12,,-1))*(LN(_xlfn.XLOOKUP(C124,$G$7:$G$59/12,$M$7:$M$59,,1))-LN(_xlfn.XLOOKUP(C124,$G$7:$G$59/12,$M$7:$M$59,,-1))))</f>
        <v>0.5903221997013387</v>
      </c>
      <c r="F124" s="62">
        <f t="shared" si="65"/>
        <v>4.038343248644976</v>
      </c>
      <c r="G124" s="62">
        <f t="shared" si="66"/>
        <v>0.58668680824021668</v>
      </c>
      <c r="H124" s="62">
        <f t="shared" si="68"/>
        <v>4.6780366123774009E-2</v>
      </c>
      <c r="I124" s="87"/>
      <c r="J124" s="88"/>
      <c r="L124" s="88"/>
      <c r="M124" s="89"/>
    </row>
    <row r="125" spans="2:24">
      <c r="B125" s="84" t="s">
        <v>112</v>
      </c>
      <c r="C125" s="85">
        <f>C124+1</f>
        <v>14.205022831050229</v>
      </c>
      <c r="D125" s="86">
        <f t="shared" si="67"/>
        <v>3.9740961914421411</v>
      </c>
      <c r="E125" s="86" cm="1">
        <f t="array" ref="E125">EXP(LN(_xlfn.XLOOKUP(C125,$G$7:$G$59/12,$M$7:$M$59,,-1))+(C125-_xlfn.XLOOKUP(C125,$G$7:$G$59/12,$G$7:$G$59/12,,-1))/(_xlfn.XLOOKUP(C125,$G$7:$G$59/12,$G$7:$G$59/12,,1)-_xlfn.XLOOKUP(C125,$G$7:$G$59/12,$G$7:$G$59/12,,-1))*(LN(_xlfn.XLOOKUP(C125,$G$7:$G$59/12,$M$7:$M$59,,1))-LN(_xlfn.XLOOKUP(C125,$G$7:$G$59/12,$M$7:$M$59,,-1))))</f>
        <v>0.56863230219819072</v>
      </c>
      <c r="F125" s="62">
        <f t="shared" si="65"/>
        <v>4.0244385235767606</v>
      </c>
      <c r="G125" s="62">
        <f t="shared" si="66"/>
        <v>0.56458043811596959</v>
      </c>
      <c r="H125" s="62">
        <f t="shared" si="68"/>
        <v>5.0342332134619472E-2</v>
      </c>
      <c r="I125" s="87"/>
      <c r="J125" s="88"/>
      <c r="L125" s="88"/>
      <c r="M125" s="89"/>
    </row>
    <row r="126" spans="2:24">
      <c r="B126" s="95" t="s">
        <v>146</v>
      </c>
      <c r="C126" s="92">
        <v>15</v>
      </c>
      <c r="D126" s="93">
        <f t="shared" si="67"/>
        <v>3.9555106963135143</v>
      </c>
      <c r="E126" s="93" cm="1">
        <f t="array" ref="E126">EXP(LN(_xlfn.XLOOKUP(C126,$G$7:$G$59/12,$M$7:$M$59,,-1))+(C126-_xlfn.XLOOKUP(C126,$G$7:$G$59/12,$G$7:$G$59/12,,-1))/(_xlfn.XLOOKUP(C126,$G$7:$G$59/12,$G$7:$G$59/12,,1)-_xlfn.XLOOKUP(C126,$G$7:$G$59/12,$G$7:$G$59/12,,-1))*(LN(_xlfn.XLOOKUP(C126,$G$7:$G$59/12,$M$7:$M$59,,1))-LN(_xlfn.XLOOKUP(C126,$G$7:$G$59/12,$M$7:$M$59,,-1))))</f>
        <v>0.55248632090095928</v>
      </c>
      <c r="F126" s="63">
        <f t="shared" si="65"/>
        <v>4.0113383712984927</v>
      </c>
      <c r="G126" s="63">
        <f t="shared" si="66"/>
        <v>0.54787903486680656</v>
      </c>
      <c r="H126" s="63">
        <f t="shared" si="68"/>
        <v>5.5827674984978426E-2</v>
      </c>
      <c r="I126" s="94"/>
      <c r="J126" s="88"/>
      <c r="L126" s="88"/>
      <c r="M126" s="89"/>
    </row>
    <row r="127" spans="2:24">
      <c r="B127" s="84" t="s">
        <v>113</v>
      </c>
      <c r="C127" s="85">
        <f>C125+1</f>
        <v>15.205022831050229</v>
      </c>
      <c r="D127" s="86">
        <f t="shared" si="67"/>
        <v>3.9350457761704871</v>
      </c>
      <c r="E127" s="86" cm="1">
        <f t="array" ref="E127">EXP(LN(_xlfn.XLOOKUP(C127,$G$7:$G$59/12,$M$7:$M$59,,-1))+(C127-_xlfn.XLOOKUP(C127,$G$7:$G$59/12,$G$7:$G$59/12,,-1))/(_xlfn.XLOOKUP(C127,$G$7:$G$59/12,$G$7:$G$59/12,,1)-_xlfn.XLOOKUP(C127,$G$7:$G$59/12,$G$7:$G$59/12,,-1))*(LN(_xlfn.XLOOKUP(C127,$G$7:$G$59/12,$M$7:$M$59,,1))-LN(_xlfn.XLOOKUP(C127,$G$7:$G$59/12,$M$7:$M$59,,-1))))</f>
        <v>0.54973188101592396</v>
      </c>
      <c r="F127" s="62">
        <f t="shared" si="65"/>
        <v>4.0077191115830484</v>
      </c>
      <c r="G127" s="62">
        <f t="shared" si="66"/>
        <v>0.54369078377031455</v>
      </c>
      <c r="H127" s="62">
        <f t="shared" si="68"/>
        <v>7.2673335412561268E-2</v>
      </c>
      <c r="I127" s="87"/>
      <c r="J127" s="88"/>
      <c r="L127" s="88"/>
      <c r="M127" s="89"/>
    </row>
    <row r="128" spans="2:24">
      <c r="B128" s="84" t="s">
        <v>114</v>
      </c>
      <c r="C128" s="85">
        <f>C127+1</f>
        <v>16.205022831050229</v>
      </c>
      <c r="D128" s="86">
        <f t="shared" si="67"/>
        <v>3.8630185597512177</v>
      </c>
      <c r="E128" s="86" cm="1">
        <f t="array" ref="E128">EXP(LN(_xlfn.XLOOKUP(C128,$G$7:$G$59/12,$M$7:$M$59,,-1))+(C128-_xlfn.XLOOKUP(C128,$G$7:$G$59/12,$G$7:$G$59/12,,-1))/(_xlfn.XLOOKUP(C128,$G$7:$G$59/12,$G$7:$G$59/12,,1)-_xlfn.XLOOKUP(C128,$G$7:$G$59/12,$G$7:$G$59/12,,-1))*(LN(_xlfn.XLOOKUP(C128,$G$7:$G$59/12,$M$7:$M$59,,1))-LN(_xlfn.XLOOKUP(C128,$G$7:$G$59/12,$M$7:$M$59,,-1))))</f>
        <v>0.53472480929315525</v>
      </c>
      <c r="F128" s="62">
        <f t="shared" si="65"/>
        <v>3.9889195567609512</v>
      </c>
      <c r="G128" s="62">
        <f t="shared" si="66"/>
        <v>0.52392573862516068</v>
      </c>
      <c r="H128" s="62">
        <f t="shared" si="68"/>
        <v>0.12590099700973356</v>
      </c>
      <c r="I128" s="87"/>
      <c r="J128" s="88"/>
      <c r="L128" s="88"/>
      <c r="M128" s="89"/>
    </row>
    <row r="129" spans="2:13">
      <c r="B129" s="84" t="s">
        <v>115</v>
      </c>
      <c r="C129" s="85">
        <f>C128+1</f>
        <v>17.205022831050229</v>
      </c>
      <c r="D129" s="86">
        <f t="shared" si="67"/>
        <v>3.8815091820205092</v>
      </c>
      <c r="E129" s="86" cm="1">
        <f t="array" ref="E129">EXP(LN(_xlfn.XLOOKUP(C129,$G$7:$G$59/12,$M$7:$M$59,,-1))+(C129-_xlfn.XLOOKUP(C129,$G$7:$G$59/12,$G$7:$G$59/12,,-1))/(_xlfn.XLOOKUP(C129,$G$7:$G$59/12,$G$7:$G$59/12,,1)-_xlfn.XLOOKUP(C129,$G$7:$G$59/12,$G$7:$G$59/12,,-1))*(LN(_xlfn.XLOOKUP(C129,$G$7:$G$59/12,$M$7:$M$59,,1))-LN(_xlfn.XLOOKUP(C129,$G$7:$G$59/12,$M$7:$M$59,,-1))))</f>
        <v>0.51282811883574608</v>
      </c>
      <c r="F129" s="62">
        <f t="shared" si="65"/>
        <v>3.9686380960115666</v>
      </c>
      <c r="G129" s="62">
        <f t="shared" si="66"/>
        <v>0.50519787715671438</v>
      </c>
      <c r="H129" s="62">
        <f t="shared" si="68"/>
        <v>8.7128913991057377E-2</v>
      </c>
      <c r="I129" s="87"/>
      <c r="J129" s="88"/>
      <c r="L129" s="88"/>
      <c r="M129" s="89"/>
    </row>
    <row r="130" spans="2:13">
      <c r="B130" s="84" t="s">
        <v>116</v>
      </c>
      <c r="C130" s="85">
        <f>C129+1</f>
        <v>18.205022831050229</v>
      </c>
      <c r="D130" s="86">
        <f t="shared" si="67"/>
        <v>3.9431107238040117</v>
      </c>
      <c r="E130" s="86" cm="1">
        <f t="array" ref="E130">EXP(LN(_xlfn.XLOOKUP(C130,$G$7:$G$59/12,$M$7:$M$59,,-1))+(C130-_xlfn.XLOOKUP(C130,$G$7:$G$59/12,$G$7:$G$59/12,,-1))/(_xlfn.XLOOKUP(C130,$G$7:$G$59/12,$G$7:$G$59/12,,1)-_xlfn.XLOOKUP(C130,$G$7:$G$59/12,$G$7:$G$59/12,,-1))*(LN(_xlfn.XLOOKUP(C130,$G$7:$G$59/12,$M$7:$M$59,,1))-LN(_xlfn.XLOOKUP(C130,$G$7:$G$59/12,$M$7:$M$59,,-1))))</f>
        <v>0.48780272470143898</v>
      </c>
      <c r="F130" s="62">
        <f t="shared" si="65"/>
        <v>3.9473596909627955</v>
      </c>
      <c r="G130" s="62">
        <f t="shared" si="66"/>
        <v>0.48742554278223948</v>
      </c>
      <c r="H130" s="62">
        <f t="shared" si="68"/>
        <v>4.2489671587837563E-3</v>
      </c>
      <c r="I130" s="87"/>
      <c r="J130" s="88"/>
      <c r="L130" s="88"/>
      <c r="M130" s="89"/>
    </row>
    <row r="131" spans="2:13">
      <c r="B131" s="84" t="s">
        <v>118</v>
      </c>
      <c r="C131" s="85">
        <f>C121+9</f>
        <v>19.205022831050229</v>
      </c>
      <c r="D131" s="86">
        <f t="shared" si="67"/>
        <v>3.9252823692328307</v>
      </c>
      <c r="E131" s="86" cm="1">
        <f t="array" ref="E131">EXP(LN(_xlfn.XLOOKUP(C131,$G$7:$G$59/12,$M$7:$M$59,,-1))+(C131-_xlfn.XLOOKUP(C131,$G$7:$G$59/12,$G$7:$G$59/12,,-1))/(_xlfn.XLOOKUP(C131,$G$7:$G$59/12,$G$7:$G$59/12,,1)-_xlfn.XLOOKUP(C131,$G$7:$G$59/12,$G$7:$G$59/12,,-1))*(LN(_xlfn.XLOOKUP(C131,$G$7:$G$59/12,$M$7:$M$59,,1))-LN(_xlfn.XLOOKUP(C131,$G$7:$G$59/12,$M$7:$M$59,,-1))))</f>
        <v>0.4705507907519334</v>
      </c>
      <c r="F131" s="62">
        <f t="shared" si="65"/>
        <v>3.92547531824661</v>
      </c>
      <c r="G131" s="62">
        <f t="shared" si="66"/>
        <v>0.4705333543909373</v>
      </c>
      <c r="H131" s="62">
        <f t="shared" si="68"/>
        <v>1.9294901377930884E-4</v>
      </c>
      <c r="I131" s="87"/>
      <c r="J131" s="88"/>
      <c r="L131" s="88"/>
      <c r="M131" s="89"/>
    </row>
    <row r="132" spans="2:13">
      <c r="B132" s="84" t="s">
        <v>117</v>
      </c>
      <c r="C132" s="85">
        <f>C130+1</f>
        <v>19.205022831050229</v>
      </c>
      <c r="D132" s="86">
        <f t="shared" si="67"/>
        <v>3.9252823692328307</v>
      </c>
      <c r="E132" s="86" cm="1">
        <f t="array" ref="E132">EXP(LN(_xlfn.XLOOKUP(C132,$G$7:$G$59/12,$M$7:$M$59,,-1))+(C132-_xlfn.XLOOKUP(C132,$G$7:$G$59/12,$G$7:$G$59/12,,-1))/(_xlfn.XLOOKUP(C132,$G$7:$G$59/12,$G$7:$G$59/12,,1)-_xlfn.XLOOKUP(C132,$G$7:$G$59/12,$G$7:$G$59/12,,-1))*(LN(_xlfn.XLOOKUP(C132,$G$7:$G$59/12,$M$7:$M$59,,1))-LN(_xlfn.XLOOKUP(C132,$G$7:$G$59/12,$M$7:$M$59,,-1))))</f>
        <v>0.4705507907519334</v>
      </c>
      <c r="F132" s="62">
        <f t="shared" si="65"/>
        <v>3.92547531824661</v>
      </c>
      <c r="G132" s="62">
        <f t="shared" si="66"/>
        <v>0.4705333543909373</v>
      </c>
      <c r="H132" s="62">
        <f t="shared" si="68"/>
        <v>1.9294901377930884E-4</v>
      </c>
      <c r="I132" s="87"/>
      <c r="J132" s="88"/>
      <c r="L132" s="88"/>
      <c r="M132" s="89"/>
    </row>
    <row r="133" spans="2:13">
      <c r="B133" s="95" t="s">
        <v>147</v>
      </c>
      <c r="C133" s="92">
        <v>20</v>
      </c>
      <c r="D133" s="93">
        <f t="shared" si="67"/>
        <v>3.9064674826243602</v>
      </c>
      <c r="E133" s="93" cm="1">
        <f t="array" ref="E133">EXP(LN(_xlfn.XLOOKUP(C133,$G$7:$G$59/12,$M$7:$M$59,,-1))+(C133-_xlfn.XLOOKUP(C133,$G$7:$G$59/12,$G$7:$G$59/12,,-1))/(_xlfn.XLOOKUP(C133,$G$7:$G$59/12,$G$7:$G$59/12,,1)-_xlfn.XLOOKUP(C133,$G$7:$G$59/12,$G$7:$G$59/12,,-1))*(LN(_xlfn.XLOOKUP(C133,$G$7:$G$59/12,$M$7:$M$59,,1))-LN(_xlfn.XLOOKUP(C133,$G$7:$G$59/12,$M$7:$M$59,,-1))))</f>
        <v>0.45781344804449881</v>
      </c>
      <c r="F133" s="63">
        <f t="shared" si="65"/>
        <v>3.9078558334690165</v>
      </c>
      <c r="G133" s="63">
        <f t="shared" si="66"/>
        <v>0.45768634455428175</v>
      </c>
      <c r="H133" s="63">
        <f t="shared" si="68"/>
        <v>1.388350844656383E-3</v>
      </c>
      <c r="I133" s="94"/>
      <c r="J133" s="88"/>
      <c r="L133" s="88"/>
      <c r="M133" s="89"/>
    </row>
    <row r="134" spans="2:13">
      <c r="B134" s="84" t="s">
        <v>119</v>
      </c>
      <c r="C134" s="85">
        <f>C131+2</f>
        <v>21.205022831050229</v>
      </c>
      <c r="D134" s="86">
        <f t="shared" si="67"/>
        <v>3.8658213459569044</v>
      </c>
      <c r="E134" s="86" cm="1">
        <f t="array" ref="E134">EXP(LN(_xlfn.XLOOKUP(C134,$G$7:$G$59/12,$M$7:$M$59,,-1))+(C134-_xlfn.XLOOKUP(C134,$G$7:$G$59/12,$G$7:$G$59/12,,-1))/(_xlfn.XLOOKUP(C134,$G$7:$G$59/12,$G$7:$G$59/12,,1)-_xlfn.XLOOKUP(C134,$G$7:$G$59/12,$G$7:$G$59/12,,-1))*(LN(_xlfn.XLOOKUP(C134,$G$7:$G$59/12,$M$7:$M$59,,1))-LN(_xlfn.XLOOKUP(C134,$G$7:$G$59/12,$M$7:$M$59,,-1))))</f>
        <v>0.44054252553862999</v>
      </c>
      <c r="F134" s="62">
        <f t="shared" si="65"/>
        <v>3.8810768736805326</v>
      </c>
      <c r="G134" s="62">
        <f t="shared" si="66"/>
        <v>0.43911970033843839</v>
      </c>
      <c r="H134" s="62">
        <f t="shared" si="68"/>
        <v>1.5255527723628148E-2</v>
      </c>
      <c r="I134" s="87"/>
      <c r="J134" s="88"/>
      <c r="L134" s="88"/>
      <c r="M134" s="89"/>
    </row>
    <row r="135" spans="2:13">
      <c r="B135" s="84" t="s">
        <v>120</v>
      </c>
      <c r="C135" s="85">
        <f>C131+3+3/12</f>
        <v>22.455022831050229</v>
      </c>
      <c r="D135" s="86">
        <f t="shared" si="67"/>
        <v>3.9185006689945832</v>
      </c>
      <c r="E135" s="86" cm="1">
        <f t="array" ref="E135">EXP(LN(_xlfn.XLOOKUP(C135,$G$7:$G$59/12,$M$7:$M$59,,-1))+(C135-_xlfn.XLOOKUP(C135,$G$7:$G$59/12,$G$7:$G$59/12,,-1))/(_xlfn.XLOOKUP(C135,$G$7:$G$59/12,$G$7:$G$59/12,,1)-_xlfn.XLOOKUP(C135,$G$7:$G$59/12,$G$7:$G$59/12,,-1))*(LN(_xlfn.XLOOKUP(C135,$G$7:$G$59/12,$M$7:$M$59,,1))-LN(_xlfn.XLOOKUP(C135,$G$7:$G$59/12,$M$7:$M$59,,-1))))</f>
        <v>0.41482430084445232</v>
      </c>
      <c r="F135" s="62">
        <f t="shared" si="65"/>
        <v>3.8535323145048892</v>
      </c>
      <c r="G135" s="62">
        <f t="shared" si="66"/>
        <v>0.42092038980811203</v>
      </c>
      <c r="H135" s="62">
        <f t="shared" si="68"/>
        <v>-6.4968354489693958E-2</v>
      </c>
      <c r="I135" s="87"/>
      <c r="J135" s="88"/>
      <c r="L135" s="88"/>
      <c r="M135" s="89"/>
    </row>
    <row r="136" spans="2:13">
      <c r="B136" s="84" t="s">
        <v>121</v>
      </c>
      <c r="C136" s="85">
        <f>C135+1</f>
        <v>23.455022831050229</v>
      </c>
      <c r="D136" s="86">
        <f t="shared" si="67"/>
        <v>3.9069262246282386</v>
      </c>
      <c r="E136" s="86" cm="1">
        <f t="array" ref="E136">EXP(LN(_xlfn.XLOOKUP(C136,$G$7:$G$59/12,$M$7:$M$59,,-1))+(C136-_xlfn.XLOOKUP(C136,$G$7:$G$59/12,$G$7:$G$59/12,,-1))/(_xlfn.XLOOKUP(C136,$G$7:$G$59/12,$G$7:$G$59/12,,1)-_xlfn.XLOOKUP(C136,$G$7:$G$59/12,$G$7:$G$59/12,,-1))*(LN(_xlfn.XLOOKUP(C136,$G$7:$G$59/12,$M$7:$M$59,,1))-LN(_xlfn.XLOOKUP(C136,$G$7:$G$59/12,$M$7:$M$59,,-1))))</f>
        <v>0.39996811882870403</v>
      </c>
      <c r="F136" s="62">
        <f t="shared" ref="F136:F147" si="71">$I$68+$J$68*(1-EXP(-C136/$L$68))/(C136/$L$68)+$K$68*((1-EXP(-C136/$L$68))/(C136/$L$68)-EXP(-C136/$L$68))</f>
        <v>3.8318619248137251</v>
      </c>
      <c r="G136" s="62">
        <f t="shared" ref="G136:G147" si="72">EXP(-F136/100*C136)</f>
        <v>0.40707245416598831</v>
      </c>
      <c r="H136" s="62">
        <f t="shared" si="68"/>
        <v>-7.5064299814513458E-2</v>
      </c>
      <c r="I136" s="87"/>
      <c r="J136" s="88"/>
      <c r="L136" s="88"/>
      <c r="M136" s="89"/>
    </row>
    <row r="137" spans="2:13">
      <c r="B137" s="84" t="s">
        <v>122</v>
      </c>
      <c r="C137" s="85">
        <f>C136+1</f>
        <v>24.455022831050229</v>
      </c>
      <c r="D137" s="86">
        <f t="shared" si="67"/>
        <v>3.8864789131918007</v>
      </c>
      <c r="E137" s="86" cm="1">
        <f t="array" ref="E137">EXP(LN(_xlfn.XLOOKUP(C137,$G$7:$G$59/12,$M$7:$M$59,,-1))+(C137-_xlfn.XLOOKUP(C137,$G$7:$G$59/12,$G$7:$G$59/12,,-1))/(_xlfn.XLOOKUP(C137,$G$7:$G$59/12,$G$7:$G$59/12,,1)-_xlfn.XLOOKUP(C137,$G$7:$G$59/12,$G$7:$G$59/12,,-1))*(LN(_xlfn.XLOOKUP(C137,$G$7:$G$59/12,$M$7:$M$59,,1))-LN(_xlfn.XLOOKUP(C137,$G$7:$G$59/12,$M$7:$M$59,,-1))))</f>
        <v>0.38657116329140323</v>
      </c>
      <c r="F137" s="62">
        <f t="shared" si="71"/>
        <v>3.8106358865830674</v>
      </c>
      <c r="G137" s="62">
        <f t="shared" si="72"/>
        <v>0.3938079692950765</v>
      </c>
      <c r="H137" s="62">
        <f t="shared" si="68"/>
        <v>-7.5843026608733322E-2</v>
      </c>
      <c r="I137" s="87"/>
      <c r="J137" s="88"/>
      <c r="L137" s="88"/>
      <c r="M137" s="89"/>
    </row>
    <row r="138" spans="2:13">
      <c r="B138" s="95" t="s">
        <v>148</v>
      </c>
      <c r="C138" s="92">
        <v>25</v>
      </c>
      <c r="D138" s="93">
        <f t="shared" si="67"/>
        <v>3.8720980368126492</v>
      </c>
      <c r="E138" s="93" cm="1">
        <f t="array" ref="E138">EXP(LN(_xlfn.XLOOKUP(C138,$G$7:$G$59/12,$M$7:$M$59,,-1))+(C138-_xlfn.XLOOKUP(C138,$G$7:$G$59/12,$G$7:$G$59/12,,-1))/(_xlfn.XLOOKUP(C138,$G$7:$G$59/12,$G$7:$G$59/12,,1)-_xlfn.XLOOKUP(C138,$G$7:$G$59/12,$G$7:$G$59/12,,-1))*(LN(_xlfn.XLOOKUP(C138,$G$7:$G$59/12,$M$7:$M$59,,1))-LN(_xlfn.XLOOKUP(C138,$G$7:$G$59/12,$M$7:$M$59,,-1))))</f>
        <v>0.37983265334162641</v>
      </c>
      <c r="F138" s="63">
        <f t="shared" si="71"/>
        <v>3.7992850078026161</v>
      </c>
      <c r="G138" s="63">
        <f t="shared" si="72"/>
        <v>0.386810158836769</v>
      </c>
      <c r="H138" s="63">
        <f t="shared" si="68"/>
        <v>-7.2813029010033059E-2</v>
      </c>
      <c r="I138" s="94"/>
      <c r="J138" s="88"/>
      <c r="L138" s="88"/>
      <c r="M138" s="89"/>
    </row>
    <row r="139" spans="2:13">
      <c r="B139" s="84" t="s">
        <v>123</v>
      </c>
      <c r="C139" s="85">
        <f>C137+1</f>
        <v>25.455022831050229</v>
      </c>
      <c r="D139" s="86">
        <f t="shared" si="67"/>
        <v>3.8605577894080687</v>
      </c>
      <c r="E139" s="86" cm="1">
        <f t="array" ref="E139">EXP(LN(_xlfn.XLOOKUP(C139,$G$7:$G$59/12,$M$7:$M$59,,-1))+(C139-_xlfn.XLOOKUP(C139,$G$7:$G$59/12,$G$7:$G$59/12,,-1))/(_xlfn.XLOOKUP(C139,$G$7:$G$59/12,$G$7:$G$59/12,,1)-_xlfn.XLOOKUP(C139,$G$7:$G$59/12,$G$7:$G$59/12,,-1))*(LN(_xlfn.XLOOKUP(C139,$G$7:$G$59/12,$M$7:$M$59,,1))-LN(_xlfn.XLOOKUP(C139,$G$7:$G$59/12,$M$7:$M$59,,-1))))</f>
        <v>0.3742969297689473</v>
      </c>
      <c r="F139" s="62">
        <f t="shared" si="71"/>
        <v>3.7899348049032429</v>
      </c>
      <c r="G139" s="62">
        <f t="shared" si="72"/>
        <v>0.38108654787704616</v>
      </c>
      <c r="H139" s="62">
        <f t="shared" si="68"/>
        <v>-7.0622984504825848E-2</v>
      </c>
      <c r="I139" s="87"/>
      <c r="J139" s="88"/>
      <c r="L139" s="88"/>
      <c r="M139" s="89"/>
    </row>
    <row r="140" spans="2:13">
      <c r="B140" s="84" t="s">
        <v>124</v>
      </c>
      <c r="C140" s="85">
        <f>C139+1</f>
        <v>26.455022831050229</v>
      </c>
      <c r="D140" s="86">
        <f t="shared" si="67"/>
        <v>3.6638003722816599</v>
      </c>
      <c r="E140" s="86" cm="1">
        <f t="array" ref="E140">EXP(LN(_xlfn.XLOOKUP(C140,$G$7:$G$59/12,$M$7:$M$59,,-1))+(C140-_xlfn.XLOOKUP(C140,$G$7:$G$59/12,$G$7:$G$59/12,,-1))/(_xlfn.XLOOKUP(C140,$G$7:$G$59/12,$G$7:$G$59/12,,1)-_xlfn.XLOOKUP(C140,$G$7:$G$59/12,$G$7:$G$59/12,,-1))*(LN(_xlfn.XLOOKUP(C140,$G$7:$G$59/12,$M$7:$M$59,,1))-LN(_xlfn.XLOOKUP(C140,$G$7:$G$59/12,$M$7:$M$59,,-1))))</f>
        <v>0.3793639573880106</v>
      </c>
      <c r="F140" s="62">
        <f t="shared" si="71"/>
        <v>3.7698166698904401</v>
      </c>
      <c r="G140" s="62">
        <f t="shared" si="72"/>
        <v>0.3688718959339119</v>
      </c>
      <c r="H140" s="62">
        <f t="shared" si="68"/>
        <v>0.10601629760878017</v>
      </c>
      <c r="I140" s="87"/>
      <c r="J140" s="88"/>
      <c r="L140" s="88"/>
      <c r="M140" s="89"/>
    </row>
    <row r="141" spans="2:13">
      <c r="B141" s="84" t="s">
        <v>125</v>
      </c>
      <c r="C141" s="85">
        <f>C140+1</f>
        <v>27.455022831050229</v>
      </c>
      <c r="D141" s="86">
        <f t="shared" si="67"/>
        <v>3.7541272032838737</v>
      </c>
      <c r="E141" s="86" cm="1">
        <f t="array" ref="E141">EXP(LN(_xlfn.XLOOKUP(C141,$G$7:$G$59/12,$M$7:$M$59,,-1))+(C141-_xlfn.XLOOKUP(C141,$G$7:$G$59/12,$G$7:$G$59/12,,-1))/(_xlfn.XLOOKUP(C141,$G$7:$G$59/12,$G$7:$G$59/12,,1)-_xlfn.XLOOKUP(C141,$G$7:$G$59/12,$G$7:$G$59/12,,-1))*(LN(_xlfn.XLOOKUP(C141,$G$7:$G$59/12,$M$7:$M$59,,1))-LN(_xlfn.XLOOKUP(C141,$G$7:$G$59/12,$M$7:$M$59,,-1))))</f>
        <v>0.35675839865632158</v>
      </c>
      <c r="F141" s="62">
        <f t="shared" si="71"/>
        <v>3.7503211653502433</v>
      </c>
      <c r="G141" s="62">
        <f t="shared" si="72"/>
        <v>0.35713138768293612</v>
      </c>
      <c r="H141" s="62">
        <f t="shared" si="68"/>
        <v>-3.8060379336304351E-3</v>
      </c>
      <c r="I141" s="87"/>
      <c r="J141" s="88"/>
      <c r="L141" s="88"/>
      <c r="M141" s="89"/>
    </row>
    <row r="142" spans="2:13">
      <c r="B142" s="84" t="s">
        <v>126</v>
      </c>
      <c r="C142" s="85">
        <f>C141+1</f>
        <v>28.455022831050229</v>
      </c>
      <c r="D142" s="86">
        <f t="shared" ref="D142:D147" si="73">-LN(E142)/C142*100</f>
        <v>3.8733140298552802</v>
      </c>
      <c r="E142" s="86" cm="1">
        <f t="array" ref="E142">EXP(LN(_xlfn.XLOOKUP(C142,$G$7:$G$59/12,$M$7:$M$59,,-1))+(C142-_xlfn.XLOOKUP(C142,$G$7:$G$59/12,$G$7:$G$59/12,,-1))/(_xlfn.XLOOKUP(C142,$G$7:$G$59/12,$G$7:$G$59/12,,1)-_xlfn.XLOOKUP(C142,$G$7:$G$59/12,$G$7:$G$59/12,,-1))*(LN(_xlfn.XLOOKUP(C142,$G$7:$G$59/12,$M$7:$M$59,,1))-LN(_xlfn.XLOOKUP(C142,$G$7:$G$59/12,$M$7:$M$59,,-1))))</f>
        <v>0.33215538531028249</v>
      </c>
      <c r="F142" s="62">
        <f t="shared" si="71"/>
        <v>3.7314732395002128</v>
      </c>
      <c r="G142" s="62">
        <f t="shared" si="72"/>
        <v>0.34583566886130079</v>
      </c>
      <c r="H142" s="62">
        <f t="shared" ref="H142:H147" si="74">F142-D142</f>
        <v>-0.14184079035506736</v>
      </c>
      <c r="I142" s="87"/>
      <c r="J142" s="88"/>
      <c r="L142" s="88"/>
      <c r="M142" s="89"/>
    </row>
    <row r="143" spans="2:13">
      <c r="B143" s="84" t="s">
        <v>127</v>
      </c>
      <c r="C143" s="85">
        <f>C142+0.5</f>
        <v>28.955022831050229</v>
      </c>
      <c r="D143" s="86">
        <f t="shared" si="73"/>
        <v>3.8763496116747538</v>
      </c>
      <c r="E143" s="86" cm="1">
        <f t="array" ref="E143">EXP(LN(_xlfn.XLOOKUP(C143,$G$7:$G$59/12,$M$7:$M$59,,-1))+(C143-_xlfn.XLOOKUP(C143,$G$7:$G$59/12,$G$7:$G$59/12,,-1))/(_xlfn.XLOOKUP(C143,$G$7:$G$59/12,$G$7:$G$59/12,,1)-_xlfn.XLOOKUP(C143,$G$7:$G$59/12,$G$7:$G$59/12,,-1))*(LN(_xlfn.XLOOKUP(C143,$G$7:$G$59/12,$M$7:$M$59,,1))-LN(_xlfn.XLOOKUP(C143,$G$7:$G$59/12,$M$7:$M$59,,-1))))</f>
        <v>0.32549834069043265</v>
      </c>
      <c r="F143" s="62">
        <f t="shared" si="71"/>
        <v>3.7222966234742225</v>
      </c>
      <c r="G143" s="62">
        <f t="shared" si="72"/>
        <v>0.34034623640389505</v>
      </c>
      <c r="H143" s="62">
        <f t="shared" si="74"/>
        <v>-0.15405298820053126</v>
      </c>
      <c r="I143" s="87"/>
      <c r="J143" s="88"/>
      <c r="L143" s="88"/>
      <c r="M143" s="89"/>
    </row>
    <row r="144" spans="2:13">
      <c r="B144" s="84" t="s">
        <v>128</v>
      </c>
      <c r="C144" s="85">
        <f>C142+1</f>
        <v>29.455022831050229</v>
      </c>
      <c r="D144" s="86">
        <f t="shared" si="73"/>
        <v>3.8739171184611858</v>
      </c>
      <c r="E144" s="86" cm="1">
        <f t="array" ref="E144">EXP(LN(_xlfn.XLOOKUP(C144,$G$7:$G$59/12,$M$7:$M$59,,-1))+(C144-_xlfn.XLOOKUP(C144,$G$7:$G$59/12,$G$7:$G$59/12,,-1))/(_xlfn.XLOOKUP(C144,$G$7:$G$59/12,$G$7:$G$59/12,,1)-_xlfn.XLOOKUP(C144,$G$7:$G$59/12,$G$7:$G$59/12,,-1))*(LN(_xlfn.XLOOKUP(C144,$G$7:$G$59/12,$M$7:$M$59,,1))-LN(_xlfn.XLOOKUP(C144,$G$7:$G$59/12,$M$7:$M$59,,-1))))</f>
        <v>0.3194791799707285</v>
      </c>
      <c r="F144" s="62">
        <f t="shared" si="71"/>
        <v>3.7132860585839467</v>
      </c>
      <c r="G144" s="62">
        <f t="shared" si="72"/>
        <v>0.33495829202091998</v>
      </c>
      <c r="H144" s="62">
        <f t="shared" si="74"/>
        <v>-0.16063105987723914</v>
      </c>
      <c r="I144" s="87"/>
      <c r="J144" s="88"/>
      <c r="L144" s="88"/>
      <c r="M144" s="89"/>
    </row>
    <row r="145" spans="2:14">
      <c r="B145" s="84" t="s">
        <v>129</v>
      </c>
      <c r="C145" s="85">
        <f>C143+1</f>
        <v>29.955022831050229</v>
      </c>
      <c r="D145" s="86">
        <f t="shared" si="73"/>
        <v>3.849962411298502</v>
      </c>
      <c r="E145" s="86" cm="1">
        <f t="array" ref="E145">EXP(LN(_xlfn.XLOOKUP(C145,$G$7:$G$59/12,$M$7:$M$59,,-1))+(C145-_xlfn.XLOOKUP(C145,$G$7:$G$59/12,$G$7:$G$59/12,,-1))/(_xlfn.XLOOKUP(C145,$G$7:$G$59/12,$G$7:$G$59/12,,1)-_xlfn.XLOOKUP(C145,$G$7:$G$59/12,$G$7:$G$59/12,,-1))*(LN(_xlfn.XLOOKUP(C145,$G$7:$G$59/12,$M$7:$M$59,,1))-LN(_xlfn.XLOOKUP(C145,$G$7:$G$59/12,$M$7:$M$59,,-1))))</f>
        <v>0.31560712339933772</v>
      </c>
      <c r="F145" s="62">
        <f t="shared" si="71"/>
        <v>3.7044417494284323</v>
      </c>
      <c r="G145" s="62">
        <f t="shared" si="72"/>
        <v>0.3296689295800449</v>
      </c>
      <c r="H145" s="62">
        <f t="shared" si="74"/>
        <v>-0.14552066187006973</v>
      </c>
      <c r="I145" s="87"/>
      <c r="J145" s="88"/>
      <c r="L145" s="88"/>
      <c r="M145" s="89"/>
    </row>
    <row r="146" spans="2:14">
      <c r="B146" s="95" t="s">
        <v>149</v>
      </c>
      <c r="C146" s="92">
        <v>30</v>
      </c>
      <c r="D146" s="93">
        <f t="shared" si="73"/>
        <v>3.8498943758537574</v>
      </c>
      <c r="E146" s="93" cm="1">
        <f t="array" ref="E146">EXP(LN(_xlfn.XLOOKUP(C146,$G$7:$G$59/12,$M$7:$M$59,,-1))+(C146-_xlfn.XLOOKUP(C146,$G$7:$G$59/12,$G$7:$G$59/12,,-1))/(_xlfn.XLOOKUP(C146,$G$7:$G$59/12,$G$7:$G$59/12,,1)-_xlfn.XLOOKUP(C146,$G$7:$G$59/12,$G$7:$G$59/12,,-1))*(LN(_xlfn.XLOOKUP(C146,$G$7:$G$59/12,$M$7:$M$59,,1))-LN(_xlfn.XLOOKUP(C146,$G$7:$G$59/12,$M$7:$M$59,,-1))))</f>
        <v>0.31506752036659252</v>
      </c>
      <c r="F146" s="63">
        <f t="shared" si="71"/>
        <v>3.7036543105168369</v>
      </c>
      <c r="G146" s="63">
        <f t="shared" si="72"/>
        <v>0.32919786581127508</v>
      </c>
      <c r="H146" s="63">
        <f t="shared" si="74"/>
        <v>-0.14624006533692047</v>
      </c>
      <c r="I146" s="94"/>
      <c r="J146" s="88"/>
      <c r="L146" s="88"/>
      <c r="M146" s="89"/>
    </row>
    <row r="147" spans="2:14">
      <c r="B147" s="84" t="s">
        <v>176</v>
      </c>
      <c r="C147" s="85">
        <f>C146+12+C85</f>
        <v>42.955022831050229</v>
      </c>
      <c r="D147" s="86">
        <f t="shared" si="73"/>
        <v>3.8437992166151189</v>
      </c>
      <c r="E147" s="86" cm="1">
        <f t="array" ref="E147">EXP(LN(_xlfn.XLOOKUP(C147,$G$7:$G$59/12,$M$7:$M$59,,-1))+(C147-_xlfn.XLOOKUP(C147,$G$7:$G$59/12,$G$7:$G$59/12,,-1))/(_xlfn.XLOOKUP(C147,$G$7:$G$59/12,$G$7:$G$59/12,,1)-_xlfn.XLOOKUP(C147,$G$7:$G$59/12,$G$7:$G$59/12,,-1))*(LN(_xlfn.XLOOKUP(C147,$G$7:$G$59/12,$M$7:$M$59,,1))-LN(_xlfn.XLOOKUP(C147,$G$7:$G$59/12,$M$7:$M$59,,-1))))</f>
        <v>0.19183784308329171</v>
      </c>
      <c r="F147" s="62">
        <f t="shared" si="71"/>
        <v>3.5272281880404504</v>
      </c>
      <c r="G147" s="62">
        <f t="shared" si="72"/>
        <v>0.21978144164885677</v>
      </c>
      <c r="H147" s="62">
        <f t="shared" si="74"/>
        <v>-0.31657102857466857</v>
      </c>
      <c r="I147" s="87"/>
      <c r="J147" s="88"/>
      <c r="L147" s="88"/>
      <c r="M147" s="89"/>
      <c r="N147" s="88"/>
    </row>
    <row r="148" spans="2:14">
      <c r="B148" s="96"/>
      <c r="F148" s="96"/>
      <c r="G148" s="12" t="s">
        <v>152</v>
      </c>
      <c r="H148" s="97">
        <f>SUMSQ(H77:H147)</f>
        <v>11.586894174897497</v>
      </c>
      <c r="I148" s="46"/>
      <c r="J148" s="96"/>
      <c r="K148" s="96"/>
      <c r="L148" s="96"/>
      <c r="M148" s="98"/>
    </row>
    <row r="149" spans="2:14">
      <c r="B149" s="96"/>
      <c r="F149" s="96"/>
      <c r="G149" s="22" t="s">
        <v>190</v>
      </c>
      <c r="H149" s="46"/>
      <c r="I149" s="46"/>
      <c r="J149" s="96"/>
      <c r="K149" s="96"/>
      <c r="L149" s="96"/>
      <c r="M149" s="98"/>
    </row>
    <row r="150" spans="2:14">
      <c r="G150" s="12" t="s">
        <v>266</v>
      </c>
    </row>
    <row r="151" spans="2:14">
      <c r="D151" s="51"/>
      <c r="E151" s="99"/>
      <c r="F151" s="100"/>
      <c r="G151" s="12" t="s">
        <v>268</v>
      </c>
      <c r="L151" s="101"/>
      <c r="M151" s="88"/>
    </row>
    <row r="152" spans="2:14">
      <c r="D152" s="51"/>
      <c r="E152" s="99"/>
      <c r="F152" s="100"/>
      <c r="G152" s="12" t="s">
        <v>275</v>
      </c>
      <c r="I152" s="125" t="s">
        <v>285</v>
      </c>
      <c r="J152" s="126"/>
      <c r="K152" s="126"/>
      <c r="L152" s="101"/>
      <c r="M152" s="88"/>
    </row>
    <row r="153" spans="2:14">
      <c r="G153" s="12" t="s">
        <v>271</v>
      </c>
    </row>
  </sheetData>
  <autoFilter ref="B6:P6" xr:uid="{BA77E5E4-8F34-4CC7-98C0-A021748CE460}"/>
  <mergeCells count="1">
    <mergeCell ref="I152:K152"/>
  </mergeCells>
  <phoneticPr fontId="1" type="noConversion"/>
  <conditionalFormatting sqref="B77 B81 B83 B85 B87:B88 B90:B91 B93:B96 B98:B101 B103:B106 B108:B109 B111:B112 B114:B119 B121:B125 B127:B132 B134:B137 B139:B145 B147">
    <cfRule type="duplicateValues" dxfId="25" priority="81"/>
  </conditionalFormatting>
  <conditionalFormatting sqref="B89">
    <cfRule type="duplicateValues" dxfId="24" priority="12"/>
  </conditionalFormatting>
  <conditionalFormatting sqref="B92">
    <cfRule type="duplicateValues" dxfId="23" priority="11"/>
  </conditionalFormatting>
  <conditionalFormatting sqref="B97">
    <cfRule type="duplicateValues" dxfId="22" priority="10"/>
  </conditionalFormatting>
  <conditionalFormatting sqref="B102">
    <cfRule type="duplicateValues" dxfId="21" priority="9"/>
  </conditionalFormatting>
  <conditionalFormatting sqref="B107">
    <cfRule type="duplicateValues" dxfId="20" priority="8"/>
  </conditionalFormatting>
  <conditionalFormatting sqref="B110">
    <cfRule type="duplicateValues" dxfId="19" priority="7"/>
  </conditionalFormatting>
  <conditionalFormatting sqref="B113">
    <cfRule type="duplicateValues" dxfId="18" priority="6"/>
  </conditionalFormatting>
  <conditionalFormatting sqref="B120">
    <cfRule type="duplicateValues" dxfId="17" priority="5"/>
  </conditionalFormatting>
  <conditionalFormatting sqref="B126">
    <cfRule type="duplicateValues" dxfId="16" priority="4"/>
  </conditionalFormatting>
  <conditionalFormatting sqref="B133">
    <cfRule type="duplicateValues" dxfId="15" priority="3"/>
  </conditionalFormatting>
  <conditionalFormatting sqref="B138">
    <cfRule type="duplicateValues" dxfId="14" priority="2"/>
  </conditionalFormatting>
  <conditionalFormatting sqref="B146">
    <cfRule type="duplicateValues" dxfId="13" priority="1"/>
  </conditionalFormatting>
  <conditionalFormatting sqref="D151">
    <cfRule type="duplicateValues" dxfId="12" priority="18"/>
  </conditionalFormatting>
  <conditionalFormatting sqref="D152">
    <cfRule type="duplicateValues" dxfId="11" priority="17"/>
  </conditionalFormatting>
  <conditionalFormatting sqref="F7:F58">
    <cfRule type="duplicateValues" dxfId="10" priority="63"/>
  </conditionalFormatting>
  <conditionalFormatting sqref="V83:V84">
    <cfRule type="duplicateValues" dxfId="9" priority="76"/>
  </conditionalFormatting>
  <conditionalFormatting sqref="V85:V86">
    <cfRule type="duplicateValues" dxfId="8" priority="77"/>
  </conditionalFormatting>
  <conditionalFormatting sqref="V87">
    <cfRule type="duplicateValues" dxfId="7" priority="56"/>
  </conditionalFormatting>
  <conditionalFormatting sqref="V88:V89">
    <cfRule type="duplicateValues" dxfId="6" priority="78"/>
  </conditionalFormatting>
  <conditionalFormatting sqref="V90">
    <cfRule type="duplicateValues" dxfId="5" priority="53"/>
  </conditionalFormatting>
  <conditionalFormatting sqref="V91:V92">
    <cfRule type="duplicateValues" dxfId="4" priority="79"/>
  </conditionalFormatting>
  <conditionalFormatting sqref="V93">
    <cfRule type="duplicateValues" dxfId="3" priority="50"/>
  </conditionalFormatting>
  <conditionalFormatting sqref="V94">
    <cfRule type="duplicateValues" dxfId="2" priority="49"/>
  </conditionalFormatting>
  <hyperlinks>
    <hyperlink ref="B1" r:id="rId1" xr:uid="{94065455-BB8E-470F-8484-564C8FC3F798}"/>
  </hyperlinks>
  <pageMargins left="0.7" right="0.7" top="0.75" bottom="0.75" header="0.3" footer="0.3"/>
  <pageSetup paperSize="9" orientation="portrait" horizontalDpi="0" verticalDpi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C221-1F8C-4471-A96C-9A8A30FEEC71}">
  <sheetPr>
    <tabColor theme="4" tint="-0.499984740745262"/>
  </sheetPr>
  <dimension ref="A1:BM131"/>
  <sheetViews>
    <sheetView tabSelected="1" zoomScale="85" zoomScaleNormal="100" workbookViewId="0">
      <selection activeCell="E52" sqref="E52"/>
    </sheetView>
  </sheetViews>
  <sheetFormatPr defaultColWidth="8.83203125" defaultRowHeight="14"/>
  <cols>
    <col min="1" max="1" width="3.6640625" style="12" customWidth="1"/>
    <col min="2" max="9" width="15.6640625" style="12" customWidth="1"/>
    <col min="10" max="10" width="15.6640625" style="46" customWidth="1"/>
    <col min="11" max="65" width="15.6640625" style="12" customWidth="1"/>
    <col min="66" max="16384" width="8.83203125" style="12"/>
  </cols>
  <sheetData>
    <row r="1" spans="1:65">
      <c r="B1" s="12" t="s">
        <v>171</v>
      </c>
      <c r="J1" s="12"/>
    </row>
    <row r="2" spans="1:65" s="15" customFormat="1" ht="19">
      <c r="A2" s="12" t="s">
        <v>136</v>
      </c>
      <c r="B2" s="14" t="s">
        <v>179</v>
      </c>
    </row>
    <row r="3" spans="1:65">
      <c r="J3" s="12"/>
    </row>
    <row r="4" spans="1:65">
      <c r="B4" s="26" t="s">
        <v>161</v>
      </c>
      <c r="C4" s="26" t="s">
        <v>162</v>
      </c>
      <c r="D4" s="26" t="s">
        <v>196</v>
      </c>
      <c r="E4" s="26" t="s">
        <v>287</v>
      </c>
      <c r="F4" s="26" t="s">
        <v>286</v>
      </c>
      <c r="G4" s="26"/>
      <c r="H4" s="26"/>
      <c r="I4" s="26"/>
      <c r="J4" s="26"/>
      <c r="K4" s="26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M4" s="90"/>
    </row>
    <row r="5" spans="1:65">
      <c r="B5" s="30" t="s">
        <v>163</v>
      </c>
      <c r="C5" s="30">
        <v>5.54</v>
      </c>
      <c r="D5" s="112">
        <v>1000</v>
      </c>
      <c r="E5" s="53">
        <f>1/12</f>
        <v>8.3333333333333329E-2</v>
      </c>
      <c r="F5" s="102">
        <f>1/(1+C5/100)^E5</f>
        <v>0.99551675969427278</v>
      </c>
      <c r="G5" s="103"/>
      <c r="H5" s="53"/>
      <c r="I5" s="56"/>
      <c r="J5" s="104"/>
      <c r="K5" s="23"/>
      <c r="M5" s="90"/>
      <c r="N5" s="42"/>
    </row>
    <row r="6" spans="1:65">
      <c r="B6" s="43" t="s">
        <v>164</v>
      </c>
      <c r="C6" s="30">
        <v>5.58</v>
      </c>
      <c r="D6" s="112">
        <v>1000</v>
      </c>
      <c r="E6" s="53">
        <f>E5*2</f>
        <v>0.16666666666666666</v>
      </c>
      <c r="F6" s="102">
        <f t="shared" ref="F6:F17" si="0">1/(1+C6/100)^E6</f>
        <v>0.99099103058308502</v>
      </c>
      <c r="G6" s="103"/>
      <c r="H6" s="53"/>
      <c r="I6" s="56"/>
      <c r="J6" s="104"/>
      <c r="K6" s="23"/>
      <c r="M6" s="90"/>
    </row>
    <row r="7" spans="1:65">
      <c r="B7" s="43" t="s">
        <v>65</v>
      </c>
      <c r="C7" s="30">
        <v>5.58</v>
      </c>
      <c r="D7" s="112">
        <v>1000</v>
      </c>
      <c r="E7" s="53">
        <f>E5*3</f>
        <v>0.25</v>
      </c>
      <c r="F7" s="102">
        <f t="shared" si="0"/>
        <v>0.98651702730230617</v>
      </c>
      <c r="G7" s="103"/>
      <c r="H7" s="53"/>
      <c r="I7" s="56"/>
      <c r="J7" s="104"/>
      <c r="K7" s="23"/>
      <c r="M7" s="90"/>
    </row>
    <row r="8" spans="1:65">
      <c r="B8" s="43" t="s">
        <v>165</v>
      </c>
      <c r="C8" s="30">
        <v>5.61</v>
      </c>
      <c r="D8" s="112">
        <v>1000</v>
      </c>
      <c r="E8" s="53">
        <f>E5*4</f>
        <v>0.33333333333333331</v>
      </c>
      <c r="F8" s="102">
        <f t="shared" si="0"/>
        <v>0.9819702242843289</v>
      </c>
      <c r="G8" s="103"/>
      <c r="H8" s="53"/>
      <c r="I8" s="56"/>
      <c r="J8" s="104"/>
      <c r="K8" s="23"/>
      <c r="M8" s="90"/>
    </row>
    <row r="9" spans="1:65">
      <c r="B9" s="43" t="s">
        <v>66</v>
      </c>
      <c r="C9" s="30">
        <v>5.53</v>
      </c>
      <c r="D9" s="112">
        <v>1000</v>
      </c>
      <c r="E9" s="53">
        <f>0.5</f>
        <v>0.5</v>
      </c>
      <c r="F9" s="102">
        <f t="shared" si="0"/>
        <v>0.97344637216280483</v>
      </c>
      <c r="G9" s="103"/>
      <c r="H9" s="53"/>
      <c r="I9" s="56"/>
      <c r="J9" s="104"/>
      <c r="K9" s="23"/>
      <c r="M9" s="90"/>
    </row>
    <row r="10" spans="1:65">
      <c r="B10" s="43" t="s">
        <v>68</v>
      </c>
      <c r="C10" s="30">
        <v>5.45</v>
      </c>
      <c r="D10" s="112">
        <v>1000</v>
      </c>
      <c r="E10" s="53">
        <f>1</f>
        <v>1</v>
      </c>
      <c r="F10" s="102">
        <f t="shared" si="0"/>
        <v>0.94831673779042203</v>
      </c>
      <c r="G10" s="103"/>
      <c r="H10" s="53"/>
      <c r="I10" s="56"/>
      <c r="J10" s="104"/>
      <c r="K10" s="23"/>
      <c r="M10" s="90"/>
    </row>
    <row r="11" spans="1:65">
      <c r="B11" s="43" t="s">
        <v>70</v>
      </c>
      <c r="C11" s="30">
        <v>5.04</v>
      </c>
      <c r="D11" s="112">
        <v>1000</v>
      </c>
      <c r="E11" s="53">
        <f>2</f>
        <v>2</v>
      </c>
      <c r="F11" s="102">
        <f t="shared" si="0"/>
        <v>0.9063388030759254</v>
      </c>
      <c r="G11" s="103"/>
      <c r="H11" s="53"/>
      <c r="I11" s="56"/>
      <c r="J11" s="104"/>
      <c r="K11" s="23"/>
      <c r="M11" s="90"/>
    </row>
    <row r="12" spans="1:65">
      <c r="B12" s="43" t="s">
        <v>71</v>
      </c>
      <c r="C12" s="30">
        <v>4.84</v>
      </c>
      <c r="D12" s="112">
        <v>1000</v>
      </c>
      <c r="E12" s="53">
        <f>3</f>
        <v>3</v>
      </c>
      <c r="F12" s="102">
        <f t="shared" si="0"/>
        <v>0.86779863600738882</v>
      </c>
      <c r="G12" s="103"/>
      <c r="H12" s="53"/>
      <c r="I12" s="56"/>
      <c r="J12" s="104"/>
      <c r="K12" s="23"/>
      <c r="M12" s="90"/>
    </row>
    <row r="13" spans="1:65">
      <c r="B13" s="43" t="s">
        <v>73</v>
      </c>
      <c r="C13" s="30">
        <v>4.62</v>
      </c>
      <c r="D13" s="112">
        <v>1000</v>
      </c>
      <c r="E13" s="53">
        <f>5</f>
        <v>5</v>
      </c>
      <c r="F13" s="102">
        <f t="shared" si="0"/>
        <v>0.79785950193453592</v>
      </c>
      <c r="G13" s="103"/>
      <c r="H13" s="53"/>
      <c r="I13" s="56"/>
      <c r="J13" s="104"/>
      <c r="K13" s="23"/>
      <c r="M13" s="90"/>
    </row>
    <row r="14" spans="1:65">
      <c r="B14" s="43" t="s">
        <v>74</v>
      </c>
      <c r="C14" s="30">
        <v>4.62</v>
      </c>
      <c r="D14" s="112">
        <v>1000</v>
      </c>
      <c r="E14" s="53">
        <f>7</f>
        <v>7</v>
      </c>
      <c r="F14" s="102">
        <f t="shared" si="0"/>
        <v>0.72894874092270301</v>
      </c>
      <c r="G14" s="103"/>
      <c r="H14" s="53"/>
      <c r="I14" s="56"/>
      <c r="J14" s="104"/>
      <c r="K14" s="23"/>
      <c r="M14" s="90"/>
    </row>
    <row r="15" spans="1:65">
      <c r="B15" s="43" t="s">
        <v>75</v>
      </c>
      <c r="C15" s="30">
        <v>4.5599999999999996</v>
      </c>
      <c r="D15" s="112">
        <v>1000</v>
      </c>
      <c r="E15" s="53">
        <f>10</f>
        <v>10</v>
      </c>
      <c r="F15" s="102">
        <f t="shared" si="0"/>
        <v>0.64024213817762532</v>
      </c>
      <c r="G15" s="103"/>
      <c r="H15" s="53"/>
      <c r="I15" s="56"/>
      <c r="J15" s="104"/>
      <c r="K15" s="23"/>
      <c r="M15" s="90"/>
    </row>
    <row r="16" spans="1:65">
      <c r="B16" s="43" t="s">
        <v>77</v>
      </c>
      <c r="C16" s="30">
        <v>4.8600000000000003</v>
      </c>
      <c r="D16" s="112">
        <v>1000</v>
      </c>
      <c r="E16" s="53">
        <f>20</f>
        <v>20</v>
      </c>
      <c r="F16" s="102">
        <f t="shared" si="0"/>
        <v>0.38708196089166452</v>
      </c>
      <c r="G16" s="103"/>
      <c r="H16" s="53"/>
      <c r="I16" s="56"/>
      <c r="J16" s="104"/>
      <c r="K16" s="23"/>
      <c r="M16" s="90"/>
    </row>
    <row r="17" spans="1:13">
      <c r="B17" s="43" t="s">
        <v>78</v>
      </c>
      <c r="C17" s="30">
        <v>4.7</v>
      </c>
      <c r="D17" s="112">
        <v>1000</v>
      </c>
      <c r="E17" s="53">
        <f>30</f>
        <v>30</v>
      </c>
      <c r="F17" s="102">
        <f t="shared" si="0"/>
        <v>0.25211550163573265</v>
      </c>
      <c r="G17" s="103"/>
      <c r="H17" s="53"/>
      <c r="I17" s="56"/>
      <c r="J17" s="104"/>
      <c r="K17" s="23"/>
      <c r="M17" s="90"/>
    </row>
    <row r="18" spans="1:13">
      <c r="B18" s="51"/>
      <c r="C18" s="52"/>
      <c r="D18" s="52"/>
      <c r="E18" s="53"/>
      <c r="F18" s="102"/>
      <c r="G18" s="103"/>
      <c r="H18" s="53"/>
      <c r="I18" s="56"/>
      <c r="J18" s="104"/>
      <c r="K18" s="23"/>
      <c r="M18" s="90"/>
    </row>
    <row r="19" spans="1:13" s="15" customFormat="1" ht="19">
      <c r="A19" s="12" t="s">
        <v>136</v>
      </c>
      <c r="B19" s="14" t="s">
        <v>177</v>
      </c>
    </row>
    <row r="20" spans="1:13">
      <c r="J20" s="12"/>
    </row>
    <row r="21" spans="1:13">
      <c r="B21" s="62"/>
      <c r="C21" s="12" t="s">
        <v>150</v>
      </c>
      <c r="F21" s="12" t="s">
        <v>167</v>
      </c>
      <c r="G21" s="64">
        <v>1000</v>
      </c>
      <c r="H21" s="65" t="s">
        <v>153</v>
      </c>
      <c r="I21" s="65" t="s">
        <v>154</v>
      </c>
      <c r="J21" s="65" t="s">
        <v>155</v>
      </c>
      <c r="K21" s="65" t="s">
        <v>156</v>
      </c>
    </row>
    <row r="22" spans="1:13">
      <c r="B22" s="63"/>
      <c r="C22" s="12" t="s">
        <v>151</v>
      </c>
      <c r="E22" s="12" t="s">
        <v>157</v>
      </c>
      <c r="H22" s="69">
        <v>2.0363410007690899</v>
      </c>
      <c r="I22" s="69">
        <v>0</v>
      </c>
      <c r="J22" s="69">
        <v>11.543513431168469</v>
      </c>
      <c r="K22" s="69">
        <v>2.4780957164103641</v>
      </c>
    </row>
    <row r="23" spans="1:13">
      <c r="B23" s="46"/>
      <c r="E23" s="12" t="s">
        <v>272</v>
      </c>
      <c r="I23" s="105"/>
      <c r="J23" s="105"/>
      <c r="K23" s="105"/>
    </row>
    <row r="24" spans="1:13">
      <c r="C24" s="12" t="s">
        <v>273</v>
      </c>
      <c r="D24" s="22" t="s">
        <v>158</v>
      </c>
      <c r="E24" s="22" t="s">
        <v>189</v>
      </c>
      <c r="F24" s="22"/>
      <c r="G24" s="22" t="s">
        <v>134</v>
      </c>
      <c r="I24" s="22"/>
      <c r="J24" s="12"/>
    </row>
    <row r="25" spans="1:13" ht="14.5" thickBot="1">
      <c r="B25" s="72" t="s">
        <v>205</v>
      </c>
      <c r="C25" s="72" t="s">
        <v>53</v>
      </c>
      <c r="D25" s="72" t="s">
        <v>131</v>
      </c>
      <c r="E25" s="72" t="s">
        <v>208</v>
      </c>
      <c r="F25" s="72" t="s">
        <v>132</v>
      </c>
      <c r="G25" s="72" t="s">
        <v>166</v>
      </c>
      <c r="H25" s="72" t="s">
        <v>194</v>
      </c>
      <c r="I25" s="72" t="s">
        <v>133</v>
      </c>
      <c r="J25" s="46" t="s">
        <v>133</v>
      </c>
    </row>
    <row r="26" spans="1:13">
      <c r="B26" s="113" t="s">
        <v>54</v>
      </c>
      <c r="C26" s="74">
        <f>1/365</f>
        <v>2.7397260273972603E-3</v>
      </c>
      <c r="D26" s="74">
        <f>F26</f>
        <v>2.0427174219074362</v>
      </c>
      <c r="E26" s="74">
        <f>G26</f>
        <v>0.99994403670512944</v>
      </c>
      <c r="F26" s="74">
        <f>$H$22+$I$22*(1-EXP(-C26/$K$22))/(C26/$K$22)+$J$22*((1-EXP(-C26/$K$22))/(C26/$K$22)-EXP(-C26/$K$22))</f>
        <v>2.0427174219074362</v>
      </c>
      <c r="G26" s="74">
        <f>EXP(-F26/100*C26)</f>
        <v>0.99994403670512944</v>
      </c>
      <c r="H26" s="74"/>
      <c r="I26" s="76"/>
    </row>
    <row r="27" spans="1:13">
      <c r="B27" s="114" t="s">
        <v>55</v>
      </c>
      <c r="C27" s="63">
        <f>C26*7</f>
        <v>1.9178082191780823E-2</v>
      </c>
      <c r="D27" s="63">
        <f t="shared" ref="D27:D29" si="1">F27</f>
        <v>2.0807790674878395</v>
      </c>
      <c r="E27" s="63">
        <f t="shared" ref="E27:E29" si="2">G27</f>
        <v>0.99960102609147361</v>
      </c>
      <c r="F27" s="63">
        <f t="shared" ref="F27:F49" si="3">$H$22+$I$22*(1-EXP(-C27/$K$22))/(C27/$K$22)+$J$22*((1-EXP(-C27/$K$22))/(C27/$K$22)-EXP(-C27/$K$22))</f>
        <v>2.0807790674878395</v>
      </c>
      <c r="G27" s="63">
        <f t="shared" ref="G27:G49" si="4">EXP(-F27/100*C27)</f>
        <v>0.99960102609147361</v>
      </c>
      <c r="H27" s="63"/>
      <c r="I27" s="79"/>
    </row>
    <row r="28" spans="1:13">
      <c r="B28" s="114" t="s">
        <v>56</v>
      </c>
      <c r="C28" s="63">
        <f>C27*2</f>
        <v>3.8356164383561646E-2</v>
      </c>
      <c r="D28" s="63">
        <f t="shared" si="1"/>
        <v>2.1247602127546497</v>
      </c>
      <c r="E28" s="63">
        <f t="shared" si="2"/>
        <v>0.99918535548320564</v>
      </c>
      <c r="F28" s="63">
        <f t="shared" si="3"/>
        <v>2.1247602127546497</v>
      </c>
      <c r="G28" s="63">
        <f t="shared" si="4"/>
        <v>0.99918535548320564</v>
      </c>
      <c r="H28" s="63"/>
      <c r="I28" s="79"/>
    </row>
    <row r="29" spans="1:13" ht="14.5" thickBot="1">
      <c r="B29" s="115" t="s">
        <v>57</v>
      </c>
      <c r="C29" s="81">
        <f>C27*3</f>
        <v>5.7534246575342465E-2</v>
      </c>
      <c r="D29" s="81">
        <f t="shared" si="1"/>
        <v>2.1682884001325102</v>
      </c>
      <c r="E29" s="81">
        <f t="shared" si="2"/>
        <v>0.99875326942052323</v>
      </c>
      <c r="F29" s="81">
        <f t="shared" si="3"/>
        <v>2.1682884001325102</v>
      </c>
      <c r="G29" s="81">
        <f t="shared" si="4"/>
        <v>0.99875326942052323</v>
      </c>
      <c r="H29" s="81"/>
      <c r="I29" s="83"/>
      <c r="J29" s="12" t="s">
        <v>274</v>
      </c>
    </row>
    <row r="30" spans="1:13">
      <c r="B30" s="116" t="s">
        <v>163</v>
      </c>
      <c r="C30" s="62">
        <f>1/12</f>
        <v>8.3333333333333329E-2</v>
      </c>
      <c r="D30" s="62"/>
      <c r="E30" s="106">
        <f>IFERROR(EXP(LN(_xlfn.XLOOKUP(C30,$E$5:$E$17,$F$5:$F$17,,-1))+(C30-_xlfn.XLOOKUP(C30,$E$5:$E$17,$E$5:$E$17,,-1))/(_xlfn.XLOOKUP(C30,$E$5:$E$17,$E$5:$E$17,,1)-_xlfn.XLOOKUP(C30,$E$5:$E$17,$E$5:$E$17,,-1))*(LN(_xlfn.XLOOKUP(C30,$E$5:$E$17,$F$5:$F$17,,1))-LN(_xlfn.XLOOKUP(C30,$E$5:$E$17,$F$5:$F$17,,-1)))),_xlfn.XLOOKUP(C30,$E$5:$E$17,$F$5:$F$17))</f>
        <v>0.99551675969427278</v>
      </c>
      <c r="F30" s="62">
        <f t="shared" si="3"/>
        <v>2.2261365663583002</v>
      </c>
      <c r="G30" s="62">
        <f t="shared" si="4"/>
        <v>0.998146605854764</v>
      </c>
      <c r="H30" s="62">
        <f>F30-D30</f>
        <v>2.2261365663583002</v>
      </c>
      <c r="I30" s="107"/>
      <c r="J30" s="100"/>
    </row>
    <row r="31" spans="1:13">
      <c r="B31" s="117" t="s">
        <v>164</v>
      </c>
      <c r="C31" s="62">
        <f>C30*2</f>
        <v>0.16666666666666666</v>
      </c>
      <c r="D31" s="62"/>
      <c r="E31" s="106">
        <f t="shared" ref="E31:E49" si="5">IFERROR(EXP(LN(_xlfn.XLOOKUP(C31,$E$5:$E$17,$F$5:$F$17,,-1))+(C31-_xlfn.XLOOKUP(C31,$E$5:$E$17,$E$5:$E$17,,-1))/(_xlfn.XLOOKUP(C31,$E$5:$E$17,$E$5:$E$17,,1)-_xlfn.XLOOKUP(C31,$E$5:$E$17,$E$5:$E$17,,-1))*(LN(_xlfn.XLOOKUP(C31,$E$5:$E$17,$F$5:$F$17,,1))-LN(_xlfn.XLOOKUP(C31,$E$5:$E$17,$F$5:$F$17,,-1)))),_xlfn.XLOOKUP(C31,$E$5:$E$17,$F$5:$F$17))</f>
        <v>0.99099103058308502</v>
      </c>
      <c r="F31" s="62">
        <f t="shared" si="3"/>
        <v>2.407551995061628</v>
      </c>
      <c r="G31" s="62">
        <f t="shared" si="4"/>
        <v>0.9959954530105255</v>
      </c>
      <c r="H31" s="62">
        <f t="shared" ref="H31:H49" si="6">F31-D31</f>
        <v>2.407551995061628</v>
      </c>
      <c r="I31" s="107"/>
      <c r="J31" s="100"/>
    </row>
    <row r="32" spans="1:13">
      <c r="B32" s="117" t="s">
        <v>65</v>
      </c>
      <c r="C32" s="62">
        <f>C30*3</f>
        <v>0.25</v>
      </c>
      <c r="D32" s="62"/>
      <c r="E32" s="106">
        <f t="shared" si="5"/>
        <v>0.98651702730230617</v>
      </c>
      <c r="F32" s="62">
        <f t="shared" si="3"/>
        <v>2.580899310642927</v>
      </c>
      <c r="G32" s="62">
        <f t="shared" si="4"/>
        <v>0.99356852277995622</v>
      </c>
      <c r="H32" s="62">
        <f t="shared" si="6"/>
        <v>2.580899310642927</v>
      </c>
      <c r="I32" s="107"/>
      <c r="J32" s="100"/>
    </row>
    <row r="33" spans="2:10">
      <c r="B33" s="117" t="s">
        <v>165</v>
      </c>
      <c r="C33" s="62">
        <f>C30*4</f>
        <v>0.33333333333333331</v>
      </c>
      <c r="D33" s="62"/>
      <c r="E33" s="106">
        <f t="shared" si="5"/>
        <v>0.9819702242843289</v>
      </c>
      <c r="F33" s="62">
        <f t="shared" si="3"/>
        <v>2.7464795245396578</v>
      </c>
      <c r="G33" s="62">
        <f t="shared" si="4"/>
        <v>0.9908868470479768</v>
      </c>
      <c r="H33" s="62">
        <f t="shared" si="6"/>
        <v>2.7464795245396578</v>
      </c>
      <c r="I33" s="107"/>
      <c r="J33" s="100"/>
    </row>
    <row r="34" spans="2:10">
      <c r="B34" s="118" t="s">
        <v>170</v>
      </c>
      <c r="C34" s="63">
        <f>5*C30</f>
        <v>0.41666666666666663</v>
      </c>
      <c r="D34" s="93">
        <f t="shared" ref="D34:D49" si="7">-LN(E34)/C34*100</f>
        <v>5.4128203125061365</v>
      </c>
      <c r="E34" s="93">
        <f t="shared" si="5"/>
        <v>0.97769900910324936</v>
      </c>
      <c r="F34" s="63">
        <f t="shared" si="3"/>
        <v>2.9045830153535395</v>
      </c>
      <c r="G34" s="63">
        <f t="shared" si="4"/>
        <v>0.98797051061968755</v>
      </c>
      <c r="H34" s="63">
        <f t="shared" si="6"/>
        <v>-2.508237297152597</v>
      </c>
      <c r="I34" s="63"/>
      <c r="J34" s="100"/>
    </row>
    <row r="35" spans="2:10">
      <c r="B35" s="117" t="s">
        <v>66</v>
      </c>
      <c r="C35" s="62">
        <f>6*C30</f>
        <v>0.5</v>
      </c>
      <c r="D35" s="62">
        <f t="shared" si="7"/>
        <v>5.3825086694907531</v>
      </c>
      <c r="E35" s="106">
        <f t="shared" si="5"/>
        <v>0.97344637216280483</v>
      </c>
      <c r="F35" s="62">
        <f t="shared" si="3"/>
        <v>3.0554898954294494</v>
      </c>
      <c r="G35" s="62">
        <f t="shared" si="4"/>
        <v>0.98483865872305998</v>
      </c>
      <c r="H35" s="62">
        <f t="shared" si="6"/>
        <v>-2.3270187740613038</v>
      </c>
      <c r="I35" s="107"/>
      <c r="J35" s="100"/>
    </row>
    <row r="36" spans="2:10">
      <c r="B36" s="118" t="s">
        <v>67</v>
      </c>
      <c r="C36" s="63">
        <f>9*C30</f>
        <v>0.75</v>
      </c>
      <c r="D36" s="93">
        <f t="shared" si="7"/>
        <v>5.3319509522763964</v>
      </c>
      <c r="E36" s="93">
        <f t="shared" si="5"/>
        <v>0.96079940053236512</v>
      </c>
      <c r="F36" s="63">
        <f t="shared" si="3"/>
        <v>3.4676853530164919</v>
      </c>
      <c r="G36" s="63">
        <f t="shared" si="4"/>
        <v>0.97432764557326657</v>
      </c>
      <c r="H36" s="63">
        <f t="shared" si="6"/>
        <v>-1.8642655992599044</v>
      </c>
      <c r="I36" s="63"/>
      <c r="J36" s="100"/>
    </row>
    <row r="37" spans="2:10">
      <c r="B37" s="117" t="s">
        <v>68</v>
      </c>
      <c r="C37" s="62">
        <f>1</f>
        <v>1</v>
      </c>
      <c r="D37" s="62">
        <f t="shared" si="7"/>
        <v>5.3066720936692207</v>
      </c>
      <c r="E37" s="106">
        <f t="shared" si="5"/>
        <v>0.94831673779042203</v>
      </c>
      <c r="F37" s="62">
        <f t="shared" si="3"/>
        <v>3.8242818441327726</v>
      </c>
      <c r="G37" s="62">
        <f t="shared" si="4"/>
        <v>0.96247920481430971</v>
      </c>
      <c r="H37" s="62">
        <f t="shared" si="6"/>
        <v>-1.482390249536448</v>
      </c>
      <c r="I37" s="107"/>
      <c r="J37" s="100"/>
    </row>
    <row r="38" spans="2:10">
      <c r="B38" s="118" t="s">
        <v>69</v>
      </c>
      <c r="C38" s="63">
        <f>1.5</f>
        <v>1.5</v>
      </c>
      <c r="D38" s="93">
        <f t="shared" si="7"/>
        <v>5.0469602983196946</v>
      </c>
      <c r="E38" s="93">
        <f t="shared" si="5"/>
        <v>0.92709020977779577</v>
      </c>
      <c r="F38" s="63">
        <f t="shared" si="3"/>
        <v>4.3944389489946722</v>
      </c>
      <c r="G38" s="63">
        <f t="shared" si="4"/>
        <v>0.93620895562085737</v>
      </c>
      <c r="H38" s="63">
        <f t="shared" si="6"/>
        <v>-0.65252134932502237</v>
      </c>
      <c r="I38" s="63"/>
      <c r="J38" s="100"/>
    </row>
    <row r="39" spans="2:10">
      <c r="B39" s="117" t="s">
        <v>70</v>
      </c>
      <c r="C39" s="62">
        <v>2</v>
      </c>
      <c r="D39" s="62">
        <f t="shared" si="7"/>
        <v>4.9171044006449369</v>
      </c>
      <c r="E39" s="106">
        <f t="shared" si="5"/>
        <v>0.9063388030759254</v>
      </c>
      <c r="F39" s="62">
        <f t="shared" si="3"/>
        <v>4.8075686411858438</v>
      </c>
      <c r="G39" s="62">
        <f t="shared" si="4"/>
        <v>0.90832650971297391</v>
      </c>
      <c r="H39" s="62">
        <f t="shared" si="6"/>
        <v>-0.10953575945909311</v>
      </c>
      <c r="I39" s="107"/>
      <c r="J39" s="100"/>
    </row>
    <row r="40" spans="2:10">
      <c r="B40" s="117" t="s">
        <v>71</v>
      </c>
      <c r="C40" s="62">
        <v>3</v>
      </c>
      <c r="D40" s="62">
        <f t="shared" si="7"/>
        <v>4.7265192467114243</v>
      </c>
      <c r="E40" s="106">
        <f t="shared" si="5"/>
        <v>0.86779863600738882</v>
      </c>
      <c r="F40" s="62">
        <f t="shared" si="3"/>
        <v>5.2898176549092826</v>
      </c>
      <c r="G40" s="62">
        <f t="shared" si="4"/>
        <v>0.85325696386928485</v>
      </c>
      <c r="H40" s="62">
        <f t="shared" si="6"/>
        <v>0.56329840819785826</v>
      </c>
      <c r="I40" s="107"/>
      <c r="J40" s="100"/>
    </row>
    <row r="41" spans="2:10">
      <c r="B41" s="118" t="s">
        <v>72</v>
      </c>
      <c r="C41" s="63">
        <v>4</v>
      </c>
      <c r="D41" s="93">
        <f t="shared" si="7"/>
        <v>4.5952292146651406</v>
      </c>
      <c r="E41" s="93">
        <f t="shared" si="5"/>
        <v>0.83209457846108148</v>
      </c>
      <c r="F41" s="63">
        <f t="shared" si="3"/>
        <v>5.4663742663037063</v>
      </c>
      <c r="G41" s="63">
        <f t="shared" si="4"/>
        <v>0.80359893554347372</v>
      </c>
      <c r="H41" s="63">
        <f t="shared" si="6"/>
        <v>0.8711450516385657</v>
      </c>
      <c r="I41" s="108"/>
      <c r="J41" s="100"/>
    </row>
    <row r="42" spans="2:10">
      <c r="B42" s="117" t="s">
        <v>73</v>
      </c>
      <c r="C42" s="62">
        <v>5</v>
      </c>
      <c r="D42" s="62">
        <f t="shared" si="7"/>
        <v>4.51645519543737</v>
      </c>
      <c r="E42" s="106">
        <f t="shared" si="5"/>
        <v>0.79785950193453592</v>
      </c>
      <c r="F42" s="62">
        <f t="shared" si="3"/>
        <v>5.4619470516918138</v>
      </c>
      <c r="G42" s="62">
        <f t="shared" si="4"/>
        <v>0.76101869688546653</v>
      </c>
      <c r="H42" s="62">
        <f t="shared" si="6"/>
        <v>0.94549185625444387</v>
      </c>
      <c r="I42" s="107"/>
      <c r="J42" s="100"/>
    </row>
    <row r="43" spans="2:10">
      <c r="B43" s="118" t="s">
        <v>169</v>
      </c>
      <c r="C43" s="63">
        <v>6</v>
      </c>
      <c r="D43" s="93">
        <f t="shared" si="7"/>
        <v>4.5164551954373708</v>
      </c>
      <c r="E43" s="93">
        <f t="shared" si="5"/>
        <v>0.76262617275333189</v>
      </c>
      <c r="F43" s="63">
        <f t="shared" si="3"/>
        <v>5.3553404128587925</v>
      </c>
      <c r="G43" s="63">
        <f t="shared" si="4"/>
        <v>0.72519084464704509</v>
      </c>
      <c r="H43" s="63">
        <f t="shared" si="6"/>
        <v>0.83888521742142164</v>
      </c>
      <c r="I43" s="108"/>
      <c r="J43" s="100"/>
    </row>
    <row r="44" spans="2:10">
      <c r="B44" s="117" t="s">
        <v>74</v>
      </c>
      <c r="C44" s="62">
        <v>7</v>
      </c>
      <c r="D44" s="62">
        <f t="shared" si="7"/>
        <v>4.51645519543737</v>
      </c>
      <c r="E44" s="106">
        <f t="shared" si="5"/>
        <v>0.72894874092270301</v>
      </c>
      <c r="F44" s="62">
        <f t="shared" si="3"/>
        <v>5.1956717366263909</v>
      </c>
      <c r="G44" s="62">
        <f t="shared" si="4"/>
        <v>0.69510176368770404</v>
      </c>
      <c r="H44" s="62">
        <f t="shared" si="6"/>
        <v>0.67921654118902097</v>
      </c>
      <c r="I44" s="107"/>
      <c r="J44" s="100"/>
    </row>
    <row r="45" spans="2:10">
      <c r="B45" s="117" t="s">
        <v>75</v>
      </c>
      <c r="C45" s="62">
        <v>10</v>
      </c>
      <c r="D45" s="62">
        <f t="shared" si="7"/>
        <v>4.4590883327875215</v>
      </c>
      <c r="E45" s="106">
        <f t="shared" si="5"/>
        <v>0.64024213817762532</v>
      </c>
      <c r="F45" s="62">
        <f t="shared" si="3"/>
        <v>4.6422785348008837</v>
      </c>
      <c r="G45" s="62">
        <f t="shared" si="4"/>
        <v>0.62862030482364495</v>
      </c>
      <c r="H45" s="62">
        <f t="shared" si="6"/>
        <v>0.18319020201336222</v>
      </c>
      <c r="I45" s="107"/>
      <c r="J45" s="100"/>
    </row>
    <row r="46" spans="2:10">
      <c r="B46" s="118" t="s">
        <v>76</v>
      </c>
      <c r="C46" s="63">
        <v>15</v>
      </c>
      <c r="D46" s="93">
        <f t="shared" si="7"/>
        <v>4.6500921880155284</v>
      </c>
      <c r="E46" s="93">
        <f t="shared" si="5"/>
        <v>0.49782143615082231</v>
      </c>
      <c r="F46" s="63">
        <f t="shared" si="3"/>
        <v>3.9117845854411453</v>
      </c>
      <c r="G46" s="63">
        <f t="shared" si="4"/>
        <v>0.55612194245526636</v>
      </c>
      <c r="H46" s="63">
        <f t="shared" si="6"/>
        <v>-0.7383076025743831</v>
      </c>
      <c r="I46" s="108"/>
      <c r="J46" s="100"/>
    </row>
    <row r="47" spans="2:10">
      <c r="B47" s="117" t="s">
        <v>77</v>
      </c>
      <c r="C47" s="62">
        <v>20</v>
      </c>
      <c r="D47" s="62">
        <f t="shared" si="7"/>
        <v>4.7455941156295314</v>
      </c>
      <c r="E47" s="106">
        <f t="shared" si="5"/>
        <v>0.38708196089166452</v>
      </c>
      <c r="F47" s="62">
        <f t="shared" si="3"/>
        <v>3.4625824626568806</v>
      </c>
      <c r="G47" s="62">
        <f t="shared" si="4"/>
        <v>0.50031544347704082</v>
      </c>
      <c r="H47" s="62">
        <f t="shared" si="6"/>
        <v>-1.2830116529726507</v>
      </c>
      <c r="I47" s="107"/>
      <c r="J47" s="100"/>
    </row>
    <row r="48" spans="2:10">
      <c r="B48" s="118" t="s">
        <v>168</v>
      </c>
      <c r="C48" s="63">
        <v>25</v>
      </c>
      <c r="D48" s="93">
        <f t="shared" si="7"/>
        <v>4.6539735595557943</v>
      </c>
      <c r="E48" s="93">
        <f t="shared" si="5"/>
        <v>0.31239296205955897</v>
      </c>
      <c r="F48" s="63">
        <f t="shared" si="3"/>
        <v>3.1800509554215211</v>
      </c>
      <c r="G48" s="63">
        <f t="shared" si="4"/>
        <v>0.45157548233118888</v>
      </c>
      <c r="H48" s="63">
        <f t="shared" si="6"/>
        <v>-1.4739226041342732</v>
      </c>
      <c r="I48" s="108"/>
      <c r="J48" s="100"/>
    </row>
    <row r="49" spans="2:10">
      <c r="B49" s="117" t="s">
        <v>78</v>
      </c>
      <c r="C49" s="62">
        <v>30</v>
      </c>
      <c r="D49" s="62">
        <f t="shared" si="7"/>
        <v>4.5928931888399704</v>
      </c>
      <c r="E49" s="106">
        <f t="shared" si="5"/>
        <v>0.25211550163573265</v>
      </c>
      <c r="F49" s="62">
        <f t="shared" si="3"/>
        <v>2.9898029832668058</v>
      </c>
      <c r="G49" s="62">
        <f t="shared" si="4"/>
        <v>0.40781530333355137</v>
      </c>
      <c r="H49" s="62">
        <f t="shared" si="6"/>
        <v>-1.6030902055731646</v>
      </c>
      <c r="I49" s="107"/>
      <c r="J49" s="100"/>
    </row>
    <row r="50" spans="2:10">
      <c r="B50" s="90"/>
      <c r="C50" s="99"/>
      <c r="D50" s="100"/>
      <c r="E50" s="100"/>
      <c r="H50" s="12" t="s">
        <v>152</v>
      </c>
      <c r="I50" s="109">
        <f>SUMSQ(H30:H49)</f>
        <v>52.87554051921451</v>
      </c>
      <c r="J50" s="89"/>
    </row>
    <row r="51" spans="2:10">
      <c r="B51" s="51"/>
      <c r="C51" s="99"/>
      <c r="D51" s="100"/>
      <c r="E51" s="100"/>
      <c r="I51" s="96"/>
      <c r="J51" s="89"/>
    </row>
    <row r="52" spans="2:10">
      <c r="C52" s="99"/>
      <c r="D52" s="100"/>
      <c r="E52" s="100"/>
      <c r="I52" s="96"/>
      <c r="J52" s="89"/>
    </row>
    <row r="53" spans="2:10">
      <c r="C53" s="99"/>
      <c r="D53" s="100"/>
      <c r="E53" s="100"/>
      <c r="I53" s="96"/>
      <c r="J53" s="89"/>
    </row>
    <row r="54" spans="2:10">
      <c r="C54" s="99"/>
      <c r="D54" s="100"/>
      <c r="E54" s="100"/>
      <c r="I54" s="96"/>
      <c r="J54" s="89"/>
    </row>
    <row r="55" spans="2:10">
      <c r="C55" s="99"/>
      <c r="D55" s="100"/>
      <c r="E55" s="100"/>
      <c r="I55" s="96"/>
      <c r="J55" s="89"/>
    </row>
    <row r="56" spans="2:10">
      <c r="C56" s="99"/>
      <c r="D56" s="100"/>
      <c r="E56" s="100"/>
      <c r="I56" s="96"/>
      <c r="J56" s="89"/>
    </row>
    <row r="57" spans="2:10">
      <c r="C57" s="99"/>
      <c r="D57" s="100"/>
      <c r="E57" s="100"/>
      <c r="I57" s="96"/>
      <c r="J57" s="89"/>
    </row>
    <row r="58" spans="2:10">
      <c r="C58" s="99"/>
      <c r="D58" s="100"/>
      <c r="E58" s="100"/>
      <c r="I58" s="96"/>
      <c r="J58" s="89"/>
    </row>
    <row r="59" spans="2:10">
      <c r="C59" s="99"/>
      <c r="D59" s="100"/>
      <c r="E59" s="100"/>
      <c r="I59" s="96"/>
      <c r="J59" s="89"/>
    </row>
    <row r="60" spans="2:10">
      <c r="C60" s="99"/>
      <c r="D60" s="100"/>
      <c r="E60" s="100"/>
      <c r="I60" s="96"/>
      <c r="J60" s="89"/>
    </row>
    <row r="61" spans="2:10">
      <c r="C61" s="99"/>
      <c r="D61" s="100"/>
      <c r="E61" s="100"/>
      <c r="I61" s="96"/>
      <c r="J61" s="89"/>
    </row>
    <row r="62" spans="2:10">
      <c r="C62" s="99"/>
      <c r="D62" s="100"/>
      <c r="E62" s="100"/>
      <c r="I62" s="96"/>
      <c r="J62" s="89"/>
    </row>
    <row r="63" spans="2:10">
      <c r="C63" s="99"/>
      <c r="D63" s="100"/>
      <c r="E63" s="100"/>
      <c r="I63" s="96"/>
      <c r="J63" s="89"/>
    </row>
    <row r="64" spans="2:10">
      <c r="C64" s="99"/>
      <c r="D64" s="100"/>
      <c r="E64" s="100"/>
      <c r="I64" s="96"/>
      <c r="J64" s="89"/>
    </row>
    <row r="65" spans="2:10">
      <c r="C65" s="99"/>
      <c r="D65" s="100"/>
      <c r="E65" s="100"/>
      <c r="I65" s="96"/>
      <c r="J65" s="89"/>
    </row>
    <row r="66" spans="2:10">
      <c r="C66" s="99"/>
      <c r="D66" s="100"/>
      <c r="E66" s="100"/>
      <c r="I66" s="96"/>
      <c r="J66" s="89"/>
    </row>
    <row r="67" spans="2:10">
      <c r="C67" s="99"/>
      <c r="D67" s="100"/>
      <c r="E67" s="100"/>
      <c r="I67" s="96"/>
      <c r="J67" s="89"/>
    </row>
    <row r="68" spans="2:10">
      <c r="C68" s="99"/>
      <c r="D68" s="100"/>
      <c r="E68" s="100"/>
      <c r="I68" s="96"/>
      <c r="J68" s="89"/>
    </row>
    <row r="69" spans="2:10">
      <c r="C69" s="99"/>
      <c r="D69" s="100"/>
      <c r="E69" s="100"/>
      <c r="I69" s="96"/>
      <c r="J69" s="89"/>
    </row>
    <row r="70" spans="2:10">
      <c r="C70" s="99"/>
      <c r="D70" s="100"/>
      <c r="E70" s="100"/>
      <c r="I70" s="96"/>
      <c r="J70" s="89"/>
    </row>
    <row r="71" spans="2:10">
      <c r="C71" s="99"/>
      <c r="D71" s="100"/>
      <c r="E71" s="100"/>
      <c r="I71" s="96"/>
      <c r="J71" s="89"/>
    </row>
    <row r="72" spans="2:10">
      <c r="C72" s="99"/>
      <c r="D72" s="100"/>
      <c r="E72" s="100"/>
      <c r="I72" s="96"/>
      <c r="J72" s="89"/>
    </row>
    <row r="73" spans="2:10">
      <c r="C73" s="99"/>
      <c r="D73" s="100"/>
      <c r="E73" s="100"/>
      <c r="I73" s="96"/>
      <c r="J73" s="89"/>
    </row>
    <row r="74" spans="2:10">
      <c r="C74" s="99"/>
      <c r="D74" s="100"/>
      <c r="E74" s="100"/>
      <c r="I74" s="96"/>
      <c r="J74" s="89"/>
    </row>
    <row r="75" spans="2:10">
      <c r="C75" s="99"/>
      <c r="D75" s="100"/>
      <c r="E75" s="100"/>
      <c r="I75" s="96"/>
      <c r="J75" s="89"/>
    </row>
    <row r="76" spans="2:10">
      <c r="B76" s="51"/>
      <c r="C76" s="99"/>
      <c r="D76" s="100"/>
      <c r="E76" s="100"/>
      <c r="I76" s="96"/>
      <c r="J76" s="89"/>
    </row>
    <row r="77" spans="2:10">
      <c r="B77" s="51"/>
      <c r="C77" s="99"/>
      <c r="D77" s="100"/>
      <c r="E77" s="100"/>
      <c r="I77" s="96"/>
      <c r="J77" s="89"/>
    </row>
    <row r="78" spans="2:10">
      <c r="B78" s="51"/>
      <c r="C78" s="99"/>
      <c r="D78" s="100"/>
      <c r="E78" s="100"/>
      <c r="I78" s="96"/>
      <c r="J78" s="89"/>
    </row>
    <row r="79" spans="2:10">
      <c r="B79" s="51"/>
      <c r="C79" s="99"/>
      <c r="D79" s="100"/>
      <c r="E79" s="100"/>
      <c r="I79" s="96"/>
      <c r="J79" s="89"/>
    </row>
    <row r="80" spans="2:10">
      <c r="B80" s="51"/>
      <c r="C80" s="99"/>
      <c r="D80" s="100"/>
      <c r="E80" s="100"/>
      <c r="I80" s="96"/>
      <c r="J80" s="89"/>
    </row>
    <row r="81" spans="2:10">
      <c r="B81" s="51"/>
      <c r="C81" s="99"/>
      <c r="D81" s="100"/>
      <c r="E81" s="100"/>
      <c r="I81" s="96"/>
      <c r="J81" s="89"/>
    </row>
    <row r="82" spans="2:10">
      <c r="B82" s="51"/>
      <c r="C82" s="99"/>
      <c r="D82" s="100"/>
      <c r="E82" s="100"/>
      <c r="I82" s="96"/>
      <c r="J82" s="89"/>
    </row>
    <row r="83" spans="2:10">
      <c r="B83" s="51"/>
      <c r="C83" s="99"/>
      <c r="D83" s="100"/>
      <c r="E83" s="100"/>
      <c r="I83" s="96"/>
      <c r="J83" s="89"/>
    </row>
    <row r="84" spans="2:10">
      <c r="B84" s="51"/>
      <c r="C84" s="99"/>
      <c r="D84" s="100"/>
      <c r="E84" s="100"/>
      <c r="I84" s="96"/>
      <c r="J84" s="89"/>
    </row>
    <row r="85" spans="2:10">
      <c r="B85" s="51"/>
      <c r="C85" s="99"/>
      <c r="D85" s="100"/>
      <c r="E85" s="100"/>
      <c r="I85" s="96"/>
      <c r="J85" s="89"/>
    </row>
    <row r="86" spans="2:10">
      <c r="B86" s="51"/>
      <c r="C86" s="99"/>
      <c r="D86" s="100"/>
      <c r="E86" s="100"/>
      <c r="I86" s="96"/>
      <c r="J86" s="89"/>
    </row>
    <row r="87" spans="2:10">
      <c r="B87" s="51"/>
      <c r="C87" s="99"/>
      <c r="D87" s="100"/>
      <c r="E87" s="100"/>
      <c r="I87" s="96"/>
      <c r="J87" s="89"/>
    </row>
    <row r="88" spans="2:10">
      <c r="B88" s="51"/>
      <c r="C88" s="99"/>
      <c r="D88" s="100"/>
      <c r="E88" s="100"/>
      <c r="I88" s="96"/>
      <c r="J88" s="89"/>
    </row>
    <row r="89" spans="2:10">
      <c r="B89" s="51"/>
      <c r="C89" s="99"/>
      <c r="D89" s="100"/>
      <c r="E89" s="100"/>
      <c r="I89" s="96"/>
      <c r="J89" s="89"/>
    </row>
    <row r="90" spans="2:10">
      <c r="B90" s="51"/>
      <c r="C90" s="99"/>
      <c r="D90" s="100"/>
      <c r="E90" s="100"/>
      <c r="I90" s="96"/>
      <c r="J90" s="89"/>
    </row>
    <row r="91" spans="2:10">
      <c r="B91" s="51"/>
      <c r="C91" s="99"/>
      <c r="D91" s="100"/>
      <c r="E91" s="100"/>
      <c r="I91" s="96"/>
      <c r="J91" s="89"/>
    </row>
    <row r="92" spans="2:10">
      <c r="B92" s="51"/>
      <c r="C92" s="99"/>
      <c r="D92" s="100"/>
      <c r="E92" s="100"/>
      <c r="I92" s="96"/>
      <c r="J92" s="89"/>
    </row>
    <row r="93" spans="2:10">
      <c r="B93" s="51"/>
      <c r="C93" s="99"/>
      <c r="D93" s="100"/>
      <c r="E93" s="100"/>
      <c r="I93" s="96"/>
      <c r="J93" s="89"/>
    </row>
    <row r="94" spans="2:10">
      <c r="B94" s="51"/>
      <c r="C94" s="99"/>
      <c r="D94" s="100"/>
      <c r="E94" s="100"/>
      <c r="I94" s="96"/>
      <c r="J94" s="89"/>
    </row>
    <row r="95" spans="2:10">
      <c r="B95" s="51"/>
      <c r="C95" s="99"/>
      <c r="D95" s="100"/>
      <c r="E95" s="100"/>
      <c r="I95" s="96"/>
      <c r="J95" s="89"/>
    </row>
    <row r="96" spans="2:10">
      <c r="B96" s="51"/>
      <c r="C96" s="99"/>
      <c r="D96" s="100"/>
      <c r="E96" s="100"/>
      <c r="I96" s="96"/>
      <c r="J96" s="89"/>
    </row>
    <row r="97" spans="2:10">
      <c r="B97" s="51"/>
      <c r="C97" s="99"/>
      <c r="D97" s="100"/>
      <c r="E97" s="100"/>
      <c r="I97" s="96"/>
      <c r="J97" s="89"/>
    </row>
    <row r="98" spans="2:10">
      <c r="B98" s="51"/>
      <c r="C98" s="99"/>
      <c r="D98" s="100"/>
      <c r="E98" s="100"/>
      <c r="I98" s="96"/>
      <c r="J98" s="89"/>
    </row>
    <row r="99" spans="2:10">
      <c r="B99" s="51"/>
      <c r="C99" s="99"/>
      <c r="D99" s="100"/>
      <c r="E99" s="100"/>
      <c r="I99" s="96"/>
      <c r="J99" s="89"/>
    </row>
    <row r="100" spans="2:10">
      <c r="B100" s="51"/>
      <c r="C100" s="99"/>
      <c r="D100" s="100"/>
      <c r="E100" s="100"/>
      <c r="I100" s="96"/>
      <c r="J100" s="89"/>
    </row>
    <row r="101" spans="2:10">
      <c r="B101" s="51"/>
      <c r="C101" s="99"/>
      <c r="D101" s="100"/>
      <c r="E101" s="100"/>
      <c r="I101" s="96"/>
      <c r="J101" s="89"/>
    </row>
    <row r="102" spans="2:10">
      <c r="B102" s="51"/>
      <c r="C102" s="99"/>
      <c r="D102" s="100"/>
      <c r="E102" s="100"/>
      <c r="I102" s="96"/>
      <c r="J102" s="89"/>
    </row>
    <row r="103" spans="2:10">
      <c r="B103" s="51"/>
      <c r="C103" s="99"/>
      <c r="D103" s="100"/>
      <c r="E103" s="100"/>
      <c r="I103" s="96"/>
      <c r="J103" s="89"/>
    </row>
    <row r="104" spans="2:10">
      <c r="B104" s="51"/>
      <c r="C104" s="99"/>
      <c r="D104" s="100"/>
      <c r="E104" s="100"/>
      <c r="I104" s="96"/>
      <c r="J104" s="89"/>
    </row>
    <row r="105" spans="2:10">
      <c r="B105" s="51"/>
      <c r="C105" s="99"/>
      <c r="D105" s="100"/>
      <c r="E105" s="100"/>
      <c r="I105" s="96"/>
      <c r="J105" s="89"/>
    </row>
    <row r="106" spans="2:10">
      <c r="B106" s="51"/>
      <c r="C106" s="99"/>
      <c r="D106" s="100"/>
      <c r="E106" s="100"/>
      <c r="I106" s="96"/>
      <c r="J106" s="89"/>
    </row>
    <row r="107" spans="2:10">
      <c r="B107" s="51"/>
      <c r="C107" s="99"/>
      <c r="D107" s="100"/>
      <c r="E107" s="100"/>
      <c r="I107" s="96"/>
      <c r="J107" s="89"/>
    </row>
    <row r="108" spans="2:10">
      <c r="B108" s="51"/>
      <c r="C108" s="99"/>
      <c r="D108" s="100"/>
      <c r="E108" s="100"/>
      <c r="I108" s="96"/>
      <c r="J108" s="89"/>
    </row>
    <row r="109" spans="2:10">
      <c r="B109" s="51"/>
      <c r="C109" s="99"/>
      <c r="D109" s="100"/>
      <c r="E109" s="100"/>
      <c r="I109" s="96"/>
      <c r="J109" s="89"/>
    </row>
    <row r="110" spans="2:10">
      <c r="B110" s="51"/>
      <c r="C110" s="99"/>
      <c r="D110" s="100"/>
      <c r="E110" s="100"/>
      <c r="I110" s="96"/>
      <c r="J110" s="89"/>
    </row>
    <row r="111" spans="2:10">
      <c r="B111" s="51"/>
      <c r="C111" s="99"/>
      <c r="D111" s="100"/>
      <c r="E111" s="100"/>
      <c r="I111" s="96"/>
      <c r="J111" s="89"/>
    </row>
    <row r="112" spans="2:10">
      <c r="B112" s="51"/>
      <c r="C112" s="99"/>
      <c r="D112" s="100"/>
      <c r="E112" s="100"/>
      <c r="I112" s="96"/>
      <c r="J112" s="89"/>
    </row>
    <row r="113" spans="2:10">
      <c r="B113" s="96"/>
      <c r="F113" s="96"/>
      <c r="I113" s="96"/>
      <c r="J113" s="98"/>
    </row>
    <row r="115" spans="2:10">
      <c r="B115" s="26"/>
      <c r="C115" s="26"/>
    </row>
    <row r="116" spans="2:10">
      <c r="B116" s="90"/>
      <c r="C116" s="90"/>
    </row>
    <row r="117" spans="2:10">
      <c r="B117" s="90"/>
      <c r="C117" s="90"/>
    </row>
    <row r="118" spans="2:10">
      <c r="B118" s="90"/>
      <c r="C118" s="90"/>
    </row>
    <row r="119" spans="2:10">
      <c r="B119" s="90"/>
      <c r="C119" s="90"/>
    </row>
    <row r="120" spans="2:10">
      <c r="B120" s="90"/>
      <c r="C120" s="90"/>
    </row>
    <row r="121" spans="2:10">
      <c r="B121" s="90"/>
      <c r="C121" s="90"/>
    </row>
    <row r="122" spans="2:10">
      <c r="B122" s="90"/>
      <c r="C122" s="90"/>
    </row>
    <row r="123" spans="2:10">
      <c r="B123" s="90"/>
      <c r="C123" s="90"/>
    </row>
    <row r="124" spans="2:10">
      <c r="B124" s="90"/>
      <c r="C124" s="90"/>
    </row>
    <row r="125" spans="2:10">
      <c r="B125" s="90"/>
      <c r="C125" s="90"/>
    </row>
    <row r="126" spans="2:10">
      <c r="B126" s="90"/>
      <c r="C126" s="90"/>
    </row>
    <row r="127" spans="2:10">
      <c r="B127" s="90"/>
      <c r="C127" s="90"/>
    </row>
    <row r="128" spans="2:10">
      <c r="B128" s="90"/>
      <c r="C128" s="90"/>
    </row>
    <row r="129" spans="2:3">
      <c r="B129" s="90"/>
      <c r="C129" s="90"/>
    </row>
    <row r="130" spans="2:3">
      <c r="B130" s="90"/>
      <c r="C130" s="90"/>
    </row>
    <row r="131" spans="2:3">
      <c r="B131" s="90"/>
      <c r="C131" s="90"/>
    </row>
  </sheetData>
  <phoneticPr fontId="1" type="noConversion"/>
  <conditionalFormatting sqref="B51 B76:B112">
    <cfRule type="duplicateValues" dxfId="1" priority="1"/>
  </conditionalFormatting>
  <conditionalFormatting sqref="F5:F18">
    <cfRule type="duplicateValues" dxfId="0" priority="4"/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Cover</vt:lpstr>
      <vt:lpstr>SpotRate(KRW)</vt:lpstr>
      <vt:lpstr>SpotRate(USD)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정상원</dc:creator>
  <cp:lastModifiedBy>수린 김</cp:lastModifiedBy>
  <dcterms:created xsi:type="dcterms:W3CDTF">2026-04-22T15:37:22Z</dcterms:created>
  <dcterms:modified xsi:type="dcterms:W3CDTF">2026-06-02T09:05:29Z</dcterms:modified>
</cp:coreProperties>
</file>