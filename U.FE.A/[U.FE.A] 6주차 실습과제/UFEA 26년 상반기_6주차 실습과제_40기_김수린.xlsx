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0261bea96bfc57/문서/중앙대학교/U.FE.A/[유피아] 41기 준회원/[유피아 41기] 실습과제/"/>
    </mc:Choice>
  </mc:AlternateContent>
  <xr:revisionPtr revIDLastSave="239" documentId="8_{DC0118B8-E173-44AB-B804-16672760A1BF}" xr6:coauthVersionLast="47" xr6:coauthVersionMax="47" xr10:uidLastSave="{A8E4E1B2-98E2-4D6F-B2E9-C86E2B784FE4}"/>
  <bookViews>
    <workbookView xWindow="-10" yWindow="0" windowWidth="20560" windowHeight="15240" activeTab="3" xr2:uid="{CC9CFB1B-F5EA-D44E-9DF5-89E3DE5F0118}"/>
  </bookViews>
  <sheets>
    <sheet name="data_treasury" sheetId="5" r:id="rId1"/>
    <sheet name="data_ois" sheetId="9" r:id="rId2"/>
    <sheet name="engine" sheetId="7" r:id="rId3"/>
    <sheet name="analysis" sheetId="8" r:id="rId4"/>
  </sheets>
  <definedNames>
    <definedName name="solver_adj" localSheetId="0" hidden="1">data_treasury!$G$82</definedName>
    <definedName name="solver_adj" localSheetId="2" hidden="1">engine!$B$10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itr" localSheetId="0" hidden="1">2147483647</definedName>
    <definedName name="solver_itr" localSheetId="2" hidden="1">2147483647</definedName>
    <definedName name="solver_lin" localSheetId="0" hidden="1">2</definedName>
    <definedName name="solver_lin" localSheetId="2" hidden="1">2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0</definedName>
    <definedName name="solver_num" localSheetId="2" hidden="1">0</definedName>
    <definedName name="solver_opt" localSheetId="0" hidden="1">data_treasury!$M$82</definedName>
    <definedName name="solver_opt" localSheetId="2" hidden="1">engine!$I$6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3</definedName>
    <definedName name="solver_typ" localSheetId="2" hidden="1">3</definedName>
    <definedName name="solver_val" localSheetId="0" hidden="1">0</definedName>
    <definedName name="solver_val" localSheetId="2" hidden="1">0</definedName>
    <definedName name="solver_ver" localSheetId="0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7" l="1"/>
  <c r="E3" i="8"/>
  <c r="E4" i="8"/>
  <c r="E5" i="8"/>
  <c r="E6" i="8"/>
  <c r="E7" i="8"/>
  <c r="E8" i="8"/>
  <c r="E9" i="8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F9" i="8"/>
  <c r="F8" i="8"/>
  <c r="F7" i="8"/>
  <c r="H5" i="5"/>
  <c r="B14" i="8"/>
  <c r="F6" i="8"/>
  <c r="B16" i="8"/>
  <c r="B10" i="7"/>
  <c r="I4" i="7"/>
  <c r="I3" i="7"/>
  <c r="I2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17" i="7"/>
  <c r="C18" i="7"/>
  <c r="L16" i="7"/>
  <c r="O12" i="7"/>
  <c r="N12" i="7"/>
  <c r="E7" i="7"/>
  <c r="B12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17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17" i="7"/>
  <c r="H19" i="7" a="1"/>
  <c r="H19" i="7" s="1"/>
  <c r="H20" i="7" a="1"/>
  <c r="H20" i="7" s="1"/>
  <c r="H21" i="7" a="1"/>
  <c r="H21" i="7" s="1"/>
  <c r="H22" i="7" a="1"/>
  <c r="H22" i="7"/>
  <c r="H23" i="7" a="1"/>
  <c r="H23" i="7" s="1"/>
  <c r="H24" i="7" a="1"/>
  <c r="H24" i="7" s="1"/>
  <c r="H25" i="7" a="1"/>
  <c r="H25" i="7" s="1"/>
  <c r="H26" i="7" a="1"/>
  <c r="H26" i="7" s="1"/>
  <c r="H27" i="7" a="1"/>
  <c r="H27" i="7" s="1"/>
  <c r="H28" i="7" a="1"/>
  <c r="H28" i="7" s="1"/>
  <c r="H29" i="7" a="1"/>
  <c r="H29" i="7" s="1"/>
  <c r="H30" i="7" a="1"/>
  <c r="H30" i="7" s="1"/>
  <c r="H31" i="7" a="1"/>
  <c r="H31" i="7"/>
  <c r="H32" i="7" a="1"/>
  <c r="H32" i="7" s="1"/>
  <c r="H33" i="7" a="1"/>
  <c r="H33" i="7"/>
  <c r="H34" i="7" a="1"/>
  <c r="H34" i="7" s="1"/>
  <c r="H35" i="7" a="1"/>
  <c r="H35" i="7" s="1"/>
  <c r="H36" i="7" a="1"/>
  <c r="H36" i="7" s="1"/>
  <c r="H37" i="7" a="1"/>
  <c r="H37" i="7" s="1"/>
  <c r="H38" i="7" a="1"/>
  <c r="H38" i="7" s="1"/>
  <c r="H39" i="7" a="1"/>
  <c r="H39" i="7" s="1"/>
  <c r="H40" i="7" a="1"/>
  <c r="H40" i="7" s="1"/>
  <c r="H41" i="7" a="1"/>
  <c r="H41" i="7" s="1"/>
  <c r="H42" i="7" a="1"/>
  <c r="H42" i="7" s="1"/>
  <c r="H43" i="7" a="1"/>
  <c r="H43" i="7" s="1"/>
  <c r="H44" i="7" a="1"/>
  <c r="H44" i="7" s="1"/>
  <c r="H45" i="7" a="1"/>
  <c r="H45" i="7" s="1"/>
  <c r="H46" i="7" a="1"/>
  <c r="H46" i="7" s="1"/>
  <c r="H47" i="7" a="1"/>
  <c r="H47" i="7" s="1"/>
  <c r="H48" i="7" a="1"/>
  <c r="H48" i="7"/>
  <c r="H49" i="7" a="1"/>
  <c r="H49" i="7" s="1"/>
  <c r="H50" i="7" a="1"/>
  <c r="H50" i="7" s="1"/>
  <c r="H51" i="7" a="1"/>
  <c r="H51" i="7" s="1"/>
  <c r="H52" i="7" a="1"/>
  <c r="H52" i="7" s="1"/>
  <c r="H53" i="7" a="1"/>
  <c r="H53" i="7" s="1"/>
  <c r="H54" i="7" a="1"/>
  <c r="H54" i="7" s="1"/>
  <c r="H55" i="7" a="1"/>
  <c r="H55" i="7" s="1"/>
  <c r="H56" i="7" a="1"/>
  <c r="H56" i="7" s="1"/>
  <c r="H57" i="7" a="1"/>
  <c r="H57" i="7" s="1"/>
  <c r="H58" i="7" a="1"/>
  <c r="H58" i="7" s="1"/>
  <c r="H59" i="7" a="1"/>
  <c r="H59" i="7"/>
  <c r="H60" i="7" a="1"/>
  <c r="H60" i="7" s="1"/>
  <c r="H61" i="7" a="1"/>
  <c r="H61" i="7" s="1"/>
  <c r="H62" i="7" a="1"/>
  <c r="H62" i="7" s="1"/>
  <c r="H63" i="7" a="1"/>
  <c r="H63" i="7" s="1"/>
  <c r="H64" i="7" a="1"/>
  <c r="H64" i="7" s="1"/>
  <c r="H65" i="7" a="1"/>
  <c r="H65" i="7" s="1"/>
  <c r="H66" i="7" a="1"/>
  <c r="H66" i="7" s="1"/>
  <c r="H67" i="7" a="1"/>
  <c r="H67" i="7" s="1"/>
  <c r="H68" i="7" a="1"/>
  <c r="H68" i="7" s="1"/>
  <c r="H69" i="7" a="1"/>
  <c r="H69" i="7" s="1"/>
  <c r="H70" i="7" a="1"/>
  <c r="H70" i="7"/>
  <c r="H71" i="7" a="1"/>
  <c r="H71" i="7" s="1"/>
  <c r="H72" i="7" a="1"/>
  <c r="H72" i="7" s="1"/>
  <c r="H73" i="7" a="1"/>
  <c r="H73" i="7" s="1"/>
  <c r="H74" i="7" a="1"/>
  <c r="H74" i="7" s="1"/>
  <c r="H75" i="7" a="1"/>
  <c r="H75" i="7" s="1"/>
  <c r="H76" i="7" a="1"/>
  <c r="H76" i="7" s="1"/>
  <c r="H17" i="7" a="1"/>
  <c r="H17" i="7" s="1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17" i="7"/>
  <c r="F19" i="7" a="1"/>
  <c r="F19" i="7" s="1"/>
  <c r="F20" i="7" a="1"/>
  <c r="F20" i="7" s="1"/>
  <c r="F21" i="7" a="1"/>
  <c r="F21" i="7" s="1"/>
  <c r="F22" i="7" a="1"/>
  <c r="F22" i="7" s="1"/>
  <c r="F23" i="7" a="1"/>
  <c r="F23" i="7" s="1"/>
  <c r="F24" i="7" a="1"/>
  <c r="F24" i="7" s="1"/>
  <c r="F25" i="7" a="1"/>
  <c r="F25" i="7" s="1"/>
  <c r="F26" i="7" a="1"/>
  <c r="F26" i="7" s="1"/>
  <c r="F27" i="7" a="1"/>
  <c r="F27" i="7" s="1"/>
  <c r="F28" i="7" a="1"/>
  <c r="F28" i="7" s="1"/>
  <c r="F29" i="7" a="1"/>
  <c r="F29" i="7" s="1"/>
  <c r="F30" i="7" a="1"/>
  <c r="F30" i="7" s="1"/>
  <c r="F31" i="7" a="1"/>
  <c r="F31" i="7" s="1"/>
  <c r="F32" i="7" a="1"/>
  <c r="F32" i="7" s="1"/>
  <c r="F33" i="7" a="1"/>
  <c r="F33" i="7" s="1"/>
  <c r="F34" i="7" a="1"/>
  <c r="F34" i="7" s="1"/>
  <c r="F35" i="7" a="1"/>
  <c r="F35" i="7" s="1"/>
  <c r="F36" i="7" a="1"/>
  <c r="F36" i="7" s="1"/>
  <c r="F37" i="7" a="1"/>
  <c r="F37" i="7" s="1"/>
  <c r="F38" i="7" a="1"/>
  <c r="F38" i="7" s="1"/>
  <c r="F39" i="7" a="1"/>
  <c r="F39" i="7" s="1"/>
  <c r="F40" i="7" a="1"/>
  <c r="F40" i="7" s="1"/>
  <c r="F41" i="7" a="1"/>
  <c r="F41" i="7" s="1"/>
  <c r="F42" i="7" a="1"/>
  <c r="F42" i="7" s="1"/>
  <c r="F43" i="7" a="1"/>
  <c r="F43" i="7" s="1"/>
  <c r="F44" i="7" a="1"/>
  <c r="F44" i="7" s="1"/>
  <c r="F45" i="7" a="1"/>
  <c r="F45" i="7" s="1"/>
  <c r="F46" i="7" a="1"/>
  <c r="F46" i="7" s="1"/>
  <c r="F47" i="7" a="1"/>
  <c r="F47" i="7" s="1"/>
  <c r="F48" i="7" a="1"/>
  <c r="F48" i="7" s="1"/>
  <c r="F49" i="7" a="1"/>
  <c r="F49" i="7" s="1"/>
  <c r="F50" i="7" a="1"/>
  <c r="F50" i="7" s="1"/>
  <c r="F51" i="7" a="1"/>
  <c r="F51" i="7" s="1"/>
  <c r="F52" i="7" a="1"/>
  <c r="F52" i="7" s="1"/>
  <c r="F53" i="7" a="1"/>
  <c r="F53" i="7" s="1"/>
  <c r="F54" i="7" a="1"/>
  <c r="F54" i="7" s="1"/>
  <c r="F55" i="7" a="1"/>
  <c r="F55" i="7" s="1"/>
  <c r="F56" i="7" a="1"/>
  <c r="F56" i="7" s="1"/>
  <c r="F57" i="7" a="1"/>
  <c r="F57" i="7" s="1"/>
  <c r="F58" i="7" a="1"/>
  <c r="F58" i="7" s="1"/>
  <c r="F59" i="7" a="1"/>
  <c r="F59" i="7" s="1"/>
  <c r="F60" i="7" a="1"/>
  <c r="F60" i="7" s="1"/>
  <c r="F61" i="7" a="1"/>
  <c r="F61" i="7"/>
  <c r="F62" i="7" a="1"/>
  <c r="F62" i="7" s="1"/>
  <c r="F63" i="7" a="1"/>
  <c r="F63" i="7" s="1"/>
  <c r="F64" i="7" a="1"/>
  <c r="F64" i="7" s="1"/>
  <c r="F65" i="7" a="1"/>
  <c r="F65" i="7" s="1"/>
  <c r="F66" i="7" a="1"/>
  <c r="F66" i="7" s="1"/>
  <c r="F67" i="7" a="1"/>
  <c r="F67" i="7"/>
  <c r="F68" i="7" a="1"/>
  <c r="F68" i="7" s="1"/>
  <c r="F69" i="7" a="1"/>
  <c r="F69" i="7" s="1"/>
  <c r="F70" i="7" a="1"/>
  <c r="F70" i="7" s="1"/>
  <c r="F71" i="7" a="1"/>
  <c r="F71" i="7" s="1"/>
  <c r="F72" i="7" a="1"/>
  <c r="F72" i="7" s="1"/>
  <c r="F73" i="7" a="1"/>
  <c r="F73" i="7" s="1"/>
  <c r="F74" i="7" a="1"/>
  <c r="F74" i="7" s="1"/>
  <c r="F75" i="7" a="1"/>
  <c r="F75" i="7" s="1"/>
  <c r="F76" i="7" a="1"/>
  <c r="F76" i="7" s="1"/>
  <c r="F17" i="7" a="1"/>
  <c r="F17" i="7" s="1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17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17" i="7"/>
  <c r="B13" i="7"/>
  <c r="E2" i="8" l="1"/>
  <c r="B3" i="8"/>
  <c r="B17" i="8"/>
  <c r="B18" i="8" s="1"/>
  <c r="B20" i="8" s="1"/>
  <c r="F5" i="8"/>
  <c r="F4" i="8"/>
  <c r="F3" i="8"/>
  <c r="B15" i="8"/>
  <c r="E5" i="7"/>
  <c r="E18" i="7"/>
  <c r="H18" i="7" a="1"/>
  <c r="H18" i="7" s="1"/>
  <c r="G18" i="7"/>
  <c r="F18" i="7" a="1"/>
  <c r="F18" i="7" s="1"/>
  <c r="B17" i="7"/>
  <c r="H209" i="5"/>
  <c r="H169" i="5"/>
  <c r="G133" i="5"/>
  <c r="G135" i="5"/>
  <c r="G137" i="5"/>
  <c r="G139" i="5"/>
  <c r="G141" i="5"/>
  <c r="G143" i="5"/>
  <c r="G145" i="5"/>
  <c r="G147" i="5"/>
  <c r="G149" i="5"/>
  <c r="G151" i="5"/>
  <c r="G153" i="5"/>
  <c r="G155" i="5"/>
  <c r="G157" i="5"/>
  <c r="G159" i="5"/>
  <c r="G161" i="5"/>
  <c r="G163" i="5"/>
  <c r="G165" i="5"/>
  <c r="G167" i="5"/>
  <c r="G169" i="5"/>
  <c r="G171" i="5"/>
  <c r="G173" i="5"/>
  <c r="G175" i="5"/>
  <c r="G177" i="5"/>
  <c r="G179" i="5"/>
  <c r="G181" i="5"/>
  <c r="G183" i="5"/>
  <c r="G185" i="5"/>
  <c r="G187" i="5"/>
  <c r="G189" i="5"/>
  <c r="G191" i="5"/>
  <c r="G193" i="5"/>
  <c r="G195" i="5"/>
  <c r="G197" i="5"/>
  <c r="G199" i="5"/>
  <c r="G201" i="5"/>
  <c r="G203" i="5"/>
  <c r="G205" i="5"/>
  <c r="G207" i="5"/>
  <c r="G209" i="5"/>
  <c r="G131" i="5"/>
  <c r="G129" i="5"/>
  <c r="F90" i="5" a="1"/>
  <c r="F90" i="5" s="1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43" i="5"/>
  <c r="J62" i="5"/>
  <c r="J82" i="5"/>
  <c r="I62" i="5"/>
  <c r="I82" i="5"/>
  <c r="G64" i="5"/>
  <c r="J64" i="5" s="1"/>
  <c r="G65" i="5"/>
  <c r="J65" i="5" s="1"/>
  <c r="G66" i="5"/>
  <c r="J66" i="5" s="1"/>
  <c r="G67" i="5"/>
  <c r="I67" i="5" s="1"/>
  <c r="G68" i="5"/>
  <c r="J68" i="5" s="1"/>
  <c r="G69" i="5"/>
  <c r="J69" i="5" s="1"/>
  <c r="G70" i="5"/>
  <c r="I70" i="5" s="1"/>
  <c r="G71" i="5"/>
  <c r="J71" i="5" s="1"/>
  <c r="G72" i="5"/>
  <c r="J72" i="5" s="1"/>
  <c r="G73" i="5"/>
  <c r="J73" i="5" s="1"/>
  <c r="G74" i="5"/>
  <c r="J74" i="5" s="1"/>
  <c r="G75" i="5"/>
  <c r="J75" i="5" s="1"/>
  <c r="G76" i="5"/>
  <c r="J76" i="5" s="1"/>
  <c r="G77" i="5"/>
  <c r="J77" i="5" s="1"/>
  <c r="G78" i="5"/>
  <c r="I78" i="5" s="1"/>
  <c r="G79" i="5"/>
  <c r="J79" i="5" s="1"/>
  <c r="G80" i="5"/>
  <c r="J80" i="5" s="1"/>
  <c r="G81" i="5"/>
  <c r="J81" i="5" s="1"/>
  <c r="G63" i="5"/>
  <c r="J63" i="5" s="1"/>
  <c r="G44" i="5"/>
  <c r="J44" i="5" s="1"/>
  <c r="G45" i="5"/>
  <c r="J45" i="5" s="1"/>
  <c r="G46" i="5"/>
  <c r="I46" i="5" s="1"/>
  <c r="G47" i="5"/>
  <c r="J47" i="5" s="1"/>
  <c r="G48" i="5"/>
  <c r="J48" i="5" s="1"/>
  <c r="G49" i="5"/>
  <c r="J49" i="5" s="1"/>
  <c r="G50" i="5"/>
  <c r="G51" i="5"/>
  <c r="J51" i="5" s="1"/>
  <c r="G52" i="5"/>
  <c r="J52" i="5" s="1"/>
  <c r="G53" i="5"/>
  <c r="J53" i="5" s="1"/>
  <c r="G54" i="5"/>
  <c r="J54" i="5" s="1"/>
  <c r="G55" i="5"/>
  <c r="J55" i="5" s="1"/>
  <c r="G56" i="5"/>
  <c r="J56" i="5" s="1"/>
  <c r="G57" i="5"/>
  <c r="J57" i="5" s="1"/>
  <c r="G58" i="5"/>
  <c r="J58" i="5" s="1"/>
  <c r="G59" i="5"/>
  <c r="I59" i="5" s="1"/>
  <c r="G60" i="5"/>
  <c r="J60" i="5" s="1"/>
  <c r="G61" i="5"/>
  <c r="J61" i="5" s="1"/>
  <c r="G43" i="5"/>
  <c r="J43" i="5" s="1"/>
  <c r="H62" i="5"/>
  <c r="H82" i="5"/>
  <c r="G130" i="5" l="1"/>
  <c r="H64" i="5"/>
  <c r="G180" i="5"/>
  <c r="G132" i="5"/>
  <c r="G176" i="5"/>
  <c r="G204" i="5"/>
  <c r="G182" i="5"/>
  <c r="G186" i="5"/>
  <c r="G188" i="5"/>
  <c r="G196" i="5"/>
  <c r="G146" i="5"/>
  <c r="H204" i="5"/>
  <c r="H203" i="5"/>
  <c r="H202" i="5"/>
  <c r="H201" i="5"/>
  <c r="H200" i="5"/>
  <c r="H199" i="5"/>
  <c r="H198" i="5"/>
  <c r="H206" i="5"/>
  <c r="H197" i="5"/>
  <c r="H170" i="5"/>
  <c r="H208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75" i="5"/>
  <c r="H180" i="5"/>
  <c r="H179" i="5"/>
  <c r="H178" i="5"/>
  <c r="H177" i="5"/>
  <c r="H176" i="5"/>
  <c r="H174" i="5"/>
  <c r="H173" i="5"/>
  <c r="H172" i="5"/>
  <c r="H171" i="5"/>
  <c r="H207" i="5"/>
  <c r="H205" i="5"/>
  <c r="G134" i="5"/>
  <c r="I133" i="5"/>
  <c r="J133" i="5"/>
  <c r="G136" i="5"/>
  <c r="J135" i="5"/>
  <c r="I135" i="5"/>
  <c r="G138" i="5"/>
  <c r="I137" i="5"/>
  <c r="J137" i="5"/>
  <c r="G140" i="5"/>
  <c r="I139" i="5"/>
  <c r="J139" i="5"/>
  <c r="J141" i="5"/>
  <c r="I141" i="5"/>
  <c r="G142" i="5"/>
  <c r="I143" i="5"/>
  <c r="J143" i="5"/>
  <c r="I145" i="5"/>
  <c r="J145" i="5"/>
  <c r="G148" i="5"/>
  <c r="I147" i="5"/>
  <c r="J147" i="5"/>
  <c r="I149" i="5"/>
  <c r="J149" i="5"/>
  <c r="G150" i="5"/>
  <c r="J151" i="5"/>
  <c r="I151" i="5"/>
  <c r="G152" i="5"/>
  <c r="I153" i="5"/>
  <c r="J153" i="5"/>
  <c r="G156" i="5"/>
  <c r="I155" i="5"/>
  <c r="J155" i="5"/>
  <c r="J157" i="5"/>
  <c r="I157" i="5"/>
  <c r="G158" i="5"/>
  <c r="J159" i="5"/>
  <c r="I159" i="5"/>
  <c r="G160" i="5"/>
  <c r="J161" i="5"/>
  <c r="I161" i="5"/>
  <c r="G164" i="5"/>
  <c r="J163" i="5"/>
  <c r="I163" i="5"/>
  <c r="J165" i="5"/>
  <c r="I165" i="5"/>
  <c r="G166" i="5"/>
  <c r="J167" i="5"/>
  <c r="I167" i="5"/>
  <c r="G170" i="5"/>
  <c r="J169" i="5"/>
  <c r="I169" i="5"/>
  <c r="G172" i="5"/>
  <c r="I171" i="5"/>
  <c r="J171" i="5"/>
  <c r="J173" i="5"/>
  <c r="I173" i="5"/>
  <c r="G174" i="5"/>
  <c r="J175" i="5"/>
  <c r="I175" i="5"/>
  <c r="J177" i="5"/>
  <c r="I177" i="5"/>
  <c r="J179" i="5"/>
  <c r="I179" i="5"/>
  <c r="I181" i="5"/>
  <c r="J181" i="5"/>
  <c r="I183" i="5"/>
  <c r="J183" i="5"/>
  <c r="I185" i="5"/>
  <c r="J185" i="5"/>
  <c r="I187" i="5"/>
  <c r="J187" i="5"/>
  <c r="J189" i="5"/>
  <c r="I189" i="5"/>
  <c r="G190" i="5"/>
  <c r="I191" i="5"/>
  <c r="J191" i="5"/>
  <c r="G192" i="5"/>
  <c r="I193" i="5"/>
  <c r="J193" i="5"/>
  <c r="I195" i="5"/>
  <c r="J195" i="5"/>
  <c r="I197" i="5"/>
  <c r="J197" i="5"/>
  <c r="G198" i="5"/>
  <c r="I199" i="5"/>
  <c r="J199" i="5"/>
  <c r="G202" i="5"/>
  <c r="I201" i="5"/>
  <c r="J201" i="5"/>
  <c r="I203" i="5"/>
  <c r="J203" i="5"/>
  <c r="I205" i="5"/>
  <c r="J205" i="5"/>
  <c r="G206" i="5"/>
  <c r="I207" i="5"/>
  <c r="J207" i="5"/>
  <c r="G208" i="5"/>
  <c r="I209" i="5"/>
  <c r="J209" i="5"/>
  <c r="I131" i="5"/>
  <c r="J131" i="5"/>
  <c r="I130" i="5"/>
  <c r="J130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63" i="5"/>
  <c r="I18" i="7"/>
  <c r="J18" i="7" s="1"/>
  <c r="A18" i="7"/>
  <c r="B18" i="7" s="1"/>
  <c r="L10" i="7"/>
  <c r="G200" i="5"/>
  <c r="G168" i="5"/>
  <c r="G144" i="5"/>
  <c r="G184" i="5"/>
  <c r="G194" i="5"/>
  <c r="G178" i="5"/>
  <c r="G162" i="5"/>
  <c r="G154" i="5"/>
  <c r="J67" i="5"/>
  <c r="I75" i="5"/>
  <c r="J70" i="5"/>
  <c r="J78" i="5"/>
  <c r="J46" i="5"/>
  <c r="I43" i="5"/>
  <c r="I51" i="5"/>
  <c r="J59" i="5"/>
  <c r="I66" i="5"/>
  <c r="I58" i="5"/>
  <c r="I50" i="5"/>
  <c r="J50" i="5"/>
  <c r="I54" i="5"/>
  <c r="I77" i="5"/>
  <c r="I69" i="5"/>
  <c r="I61" i="5"/>
  <c r="I53" i="5"/>
  <c r="I45" i="5"/>
  <c r="I74" i="5"/>
  <c r="I76" i="5"/>
  <c r="I68" i="5"/>
  <c r="I60" i="5"/>
  <c r="I52" i="5"/>
  <c r="I44" i="5"/>
  <c r="I81" i="5"/>
  <c r="I73" i="5"/>
  <c r="I65" i="5"/>
  <c r="I57" i="5"/>
  <c r="I49" i="5"/>
  <c r="I80" i="5"/>
  <c r="I72" i="5"/>
  <c r="I64" i="5"/>
  <c r="I56" i="5"/>
  <c r="I48" i="5"/>
  <c r="I79" i="5"/>
  <c r="I71" i="5"/>
  <c r="I63" i="5"/>
  <c r="I55" i="5"/>
  <c r="I47" i="5"/>
  <c r="I180" i="5" l="1"/>
  <c r="J180" i="5"/>
  <c r="I132" i="5"/>
  <c r="J132" i="5"/>
  <c r="I176" i="5"/>
  <c r="J176" i="5"/>
  <c r="I204" i="5"/>
  <c r="J204" i="5"/>
  <c r="I182" i="5"/>
  <c r="J182" i="5"/>
  <c r="I186" i="5"/>
  <c r="J186" i="5"/>
  <c r="I188" i="5"/>
  <c r="J188" i="5"/>
  <c r="I196" i="5"/>
  <c r="J196" i="5"/>
  <c r="I146" i="5"/>
  <c r="J146" i="5"/>
  <c r="I134" i="5"/>
  <c r="J134" i="5"/>
  <c r="J136" i="5"/>
  <c r="I136" i="5"/>
  <c r="J138" i="5"/>
  <c r="I138" i="5"/>
  <c r="I140" i="5"/>
  <c r="J140" i="5"/>
  <c r="I142" i="5"/>
  <c r="J142" i="5"/>
  <c r="J148" i="5"/>
  <c r="I148" i="5"/>
  <c r="I150" i="5"/>
  <c r="J150" i="5"/>
  <c r="J152" i="5"/>
  <c r="I152" i="5"/>
  <c r="I156" i="5"/>
  <c r="J156" i="5"/>
  <c r="I158" i="5"/>
  <c r="J158" i="5"/>
  <c r="I160" i="5"/>
  <c r="J160" i="5"/>
  <c r="I164" i="5"/>
  <c r="J164" i="5"/>
  <c r="I166" i="5"/>
  <c r="J166" i="5"/>
  <c r="J170" i="5"/>
  <c r="I170" i="5"/>
  <c r="I172" i="5"/>
  <c r="J172" i="5"/>
  <c r="J174" i="5"/>
  <c r="I174" i="5"/>
  <c r="I190" i="5"/>
  <c r="J190" i="5"/>
  <c r="I192" i="5"/>
  <c r="J192" i="5"/>
  <c r="I198" i="5"/>
  <c r="J198" i="5"/>
  <c r="J202" i="5"/>
  <c r="I202" i="5"/>
  <c r="J206" i="5"/>
  <c r="I206" i="5"/>
  <c r="J208" i="5"/>
  <c r="I208" i="5"/>
  <c r="K131" i="5"/>
  <c r="J200" i="5"/>
  <c r="I200" i="5"/>
  <c r="J168" i="5"/>
  <c r="I168" i="5"/>
  <c r="J144" i="5"/>
  <c r="I144" i="5"/>
  <c r="J184" i="5"/>
  <c r="I184" i="5"/>
  <c r="J194" i="5"/>
  <c r="I194" i="5"/>
  <c r="J178" i="5"/>
  <c r="I178" i="5"/>
  <c r="J162" i="5"/>
  <c r="I162" i="5"/>
  <c r="J154" i="5"/>
  <c r="I154" i="5"/>
  <c r="E2" i="7"/>
  <c r="E4" i="7" s="1"/>
  <c r="E6" i="7" s="1"/>
  <c r="E3" i="7"/>
  <c r="A19" i="7"/>
  <c r="B19" i="7" s="1"/>
  <c r="K181" i="5" l="1"/>
  <c r="K180" i="5"/>
  <c r="K133" i="5"/>
  <c r="K132" i="5"/>
  <c r="K177" i="5"/>
  <c r="K176" i="5"/>
  <c r="K205" i="5"/>
  <c r="K204" i="5"/>
  <c r="K183" i="5"/>
  <c r="K182" i="5"/>
  <c r="K187" i="5"/>
  <c r="K186" i="5"/>
  <c r="K189" i="5"/>
  <c r="K188" i="5"/>
  <c r="K197" i="5"/>
  <c r="K196" i="5"/>
  <c r="K147" i="5"/>
  <c r="K146" i="5"/>
  <c r="K135" i="5"/>
  <c r="K134" i="5"/>
  <c r="K137" i="5"/>
  <c r="K136" i="5"/>
  <c r="K139" i="5"/>
  <c r="K138" i="5"/>
  <c r="K141" i="5"/>
  <c r="K140" i="5"/>
  <c r="K143" i="5"/>
  <c r="K142" i="5"/>
  <c r="K149" i="5"/>
  <c r="K148" i="5"/>
  <c r="K151" i="5"/>
  <c r="K150" i="5"/>
  <c r="K153" i="5"/>
  <c r="K152" i="5"/>
  <c r="K157" i="5"/>
  <c r="K156" i="5"/>
  <c r="K159" i="5"/>
  <c r="K158" i="5"/>
  <c r="K161" i="5"/>
  <c r="K160" i="5"/>
  <c r="K165" i="5"/>
  <c r="K164" i="5"/>
  <c r="K167" i="5"/>
  <c r="K166" i="5"/>
  <c r="K171" i="5"/>
  <c r="K170" i="5"/>
  <c r="K173" i="5"/>
  <c r="K172" i="5"/>
  <c r="K175" i="5"/>
  <c r="K174" i="5"/>
  <c r="K191" i="5"/>
  <c r="K190" i="5"/>
  <c r="K193" i="5"/>
  <c r="K192" i="5"/>
  <c r="K199" i="5"/>
  <c r="K198" i="5"/>
  <c r="K203" i="5"/>
  <c r="K202" i="5"/>
  <c r="K207" i="5"/>
  <c r="K206" i="5"/>
  <c r="K209" i="5"/>
  <c r="K208" i="5"/>
  <c r="K201" i="5"/>
  <c r="K200" i="5"/>
  <c r="K169" i="5"/>
  <c r="K168" i="5"/>
  <c r="K145" i="5"/>
  <c r="K144" i="5"/>
  <c r="K185" i="5"/>
  <c r="K184" i="5"/>
  <c r="K195" i="5"/>
  <c r="K194" i="5"/>
  <c r="K179" i="5"/>
  <c r="K178" i="5"/>
  <c r="K163" i="5"/>
  <c r="K162" i="5"/>
  <c r="K155" i="5"/>
  <c r="K154" i="5"/>
  <c r="A20" i="7"/>
  <c r="B20" i="7" s="1"/>
  <c r="A21" i="7" l="1"/>
  <c r="B21" i="7" s="1"/>
  <c r="A22" i="7" l="1"/>
  <c r="B22" i="7" s="1"/>
  <c r="A23" i="7" l="1"/>
  <c r="B23" i="7" s="1"/>
  <c r="A24" i="7" l="1"/>
  <c r="B24" i="7" s="1"/>
  <c r="A25" i="7" l="1"/>
  <c r="B25" i="7" s="1"/>
  <c r="A26" i="7" l="1"/>
  <c r="B26" i="7" s="1"/>
  <c r="A27" i="7" l="1"/>
  <c r="B27" i="7" s="1"/>
  <c r="A28" i="7" s="1"/>
  <c r="B28" i="7" s="1"/>
  <c r="A29" i="7" l="1"/>
  <c r="B29" i="7" s="1"/>
  <c r="A30" i="7" l="1"/>
  <c r="B30" i="7" s="1"/>
  <c r="A31" i="7"/>
  <c r="B31" i="7" s="1"/>
  <c r="J42" i="5"/>
  <c r="I42" i="5"/>
  <c r="G41" i="5"/>
  <c r="I41" i="5" s="1"/>
  <c r="G40" i="5"/>
  <c r="I40" i="5" s="1"/>
  <c r="G39" i="5"/>
  <c r="J39" i="5" s="1"/>
  <c r="G38" i="5"/>
  <c r="J38" i="5" s="1"/>
  <c r="G37" i="5"/>
  <c r="I37" i="5" s="1"/>
  <c r="J36" i="5"/>
  <c r="I36" i="5"/>
  <c r="G35" i="5"/>
  <c r="J35" i="5" s="1"/>
  <c r="G34" i="5"/>
  <c r="J34" i="5" s="1"/>
  <c r="G33" i="5"/>
  <c r="J33" i="5" s="1"/>
  <c r="J32" i="5"/>
  <c r="I32" i="5"/>
  <c r="G31" i="5"/>
  <c r="J31" i="5" s="1"/>
  <c r="G30" i="5"/>
  <c r="J30" i="5" s="1"/>
  <c r="G29" i="5"/>
  <c r="J29" i="5" s="1"/>
  <c r="J28" i="5"/>
  <c r="I28" i="5"/>
  <c r="G27" i="5"/>
  <c r="J27" i="5" s="1"/>
  <c r="J26" i="5"/>
  <c r="I26" i="5"/>
  <c r="G25" i="5"/>
  <c r="J25" i="5" s="1"/>
  <c r="J24" i="5"/>
  <c r="I24" i="5"/>
  <c r="G10" i="5"/>
  <c r="G9" i="5"/>
  <c r="G8" i="5"/>
  <c r="G7" i="5"/>
  <c r="G6" i="5"/>
  <c r="G5" i="5"/>
  <c r="A32" i="7" l="1"/>
  <c r="B32" i="7" s="1"/>
  <c r="H42" i="5"/>
  <c r="I27" i="5"/>
  <c r="K28" i="5" s="1"/>
  <c r="I30" i="5"/>
  <c r="I34" i="5"/>
  <c r="J40" i="5"/>
  <c r="I31" i="5"/>
  <c r="I25" i="5"/>
  <c r="K25" i="5" s="1"/>
  <c r="G23" i="5"/>
  <c r="H36" i="5"/>
  <c r="H23" i="5"/>
  <c r="J41" i="5"/>
  <c r="H32" i="5"/>
  <c r="H24" i="5"/>
  <c r="I33" i="5"/>
  <c r="K33" i="5" s="1"/>
  <c r="K37" i="5"/>
  <c r="H26" i="5"/>
  <c r="K41" i="5"/>
  <c r="K42" i="5"/>
  <c r="I35" i="5"/>
  <c r="I38" i="5"/>
  <c r="K38" i="5" s="1"/>
  <c r="H28" i="5"/>
  <c r="I29" i="5"/>
  <c r="K29" i="5" s="1"/>
  <c r="H93" i="5"/>
  <c r="H101" i="5"/>
  <c r="H109" i="5"/>
  <c r="H117" i="5"/>
  <c r="G95" i="5"/>
  <c r="G103" i="5"/>
  <c r="G111" i="5"/>
  <c r="G119" i="5"/>
  <c r="G127" i="5"/>
  <c r="J37" i="5"/>
  <c r="I39" i="5"/>
  <c r="G97" i="5"/>
  <c r="G105" i="5"/>
  <c r="G113" i="5"/>
  <c r="G121" i="5"/>
  <c r="H97" i="5"/>
  <c r="H129" i="5"/>
  <c r="G99" i="5"/>
  <c r="G107" i="5"/>
  <c r="G115" i="5"/>
  <c r="G123" i="5"/>
  <c r="H91" i="5"/>
  <c r="H90" i="5"/>
  <c r="G90" i="5" s="1"/>
  <c r="G93" i="5"/>
  <c r="G101" i="5"/>
  <c r="G109" i="5"/>
  <c r="G117" i="5"/>
  <c r="G125" i="5"/>
  <c r="L32" i="5" l="1"/>
  <c r="M32" i="5" s="1"/>
  <c r="H50" i="5"/>
  <c r="H44" i="5"/>
  <c r="H45" i="5"/>
  <c r="H46" i="5"/>
  <c r="H47" i="5"/>
  <c r="H48" i="5"/>
  <c r="H49" i="5"/>
  <c r="H57" i="5"/>
  <c r="H51" i="5"/>
  <c r="H52" i="5"/>
  <c r="H53" i="5"/>
  <c r="H54" i="5"/>
  <c r="H55" i="5"/>
  <c r="H56" i="5"/>
  <c r="H58" i="5"/>
  <c r="H59" i="5"/>
  <c r="H60" i="5"/>
  <c r="H61" i="5"/>
  <c r="H43" i="5"/>
  <c r="J23" i="5"/>
  <c r="L62" i="5"/>
  <c r="M62" i="5" s="1"/>
  <c r="L82" i="5"/>
  <c r="M82" i="5" s="1"/>
  <c r="H144" i="5"/>
  <c r="H135" i="5"/>
  <c r="H146" i="5"/>
  <c r="H136" i="5"/>
  <c r="H147" i="5"/>
  <c r="H150" i="5"/>
  <c r="H154" i="5"/>
  <c r="H158" i="5"/>
  <c r="H164" i="5"/>
  <c r="H167" i="5"/>
  <c r="H137" i="5"/>
  <c r="H141" i="5"/>
  <c r="H149" i="5"/>
  <c r="H155" i="5"/>
  <c r="H159" i="5"/>
  <c r="H165" i="5"/>
  <c r="H130" i="5"/>
  <c r="H152" i="5"/>
  <c r="H157" i="5"/>
  <c r="H163" i="5"/>
  <c r="H168" i="5"/>
  <c r="H151" i="5"/>
  <c r="H161" i="5"/>
  <c r="H166" i="5"/>
  <c r="H133" i="5"/>
  <c r="H134" i="5"/>
  <c r="H142" i="5"/>
  <c r="H131" i="5"/>
  <c r="H140" i="5"/>
  <c r="H143" i="5"/>
  <c r="H145" i="5"/>
  <c r="H139" i="5"/>
  <c r="H132" i="5"/>
  <c r="H138" i="5"/>
  <c r="H148" i="5"/>
  <c r="H153" i="5"/>
  <c r="H156" i="5"/>
  <c r="H162" i="5"/>
  <c r="H160" i="5"/>
  <c r="A33" i="7"/>
  <c r="B33" i="7" s="1"/>
  <c r="H39" i="5"/>
  <c r="K31" i="5"/>
  <c r="K27" i="5"/>
  <c r="H25" i="5"/>
  <c r="L24" i="5"/>
  <c r="M24" i="5" s="1"/>
  <c r="L26" i="5"/>
  <c r="M26" i="5" s="1"/>
  <c r="L42" i="5"/>
  <c r="M42" i="5" s="1"/>
  <c r="H38" i="5"/>
  <c r="K39" i="5"/>
  <c r="H37" i="5"/>
  <c r="H40" i="5"/>
  <c r="G91" i="5"/>
  <c r="G92" i="5" s="1"/>
  <c r="J92" i="5" s="1"/>
  <c r="H33" i="5"/>
  <c r="K34" i="5"/>
  <c r="L36" i="5"/>
  <c r="M36" i="5" s="1"/>
  <c r="I23" i="5"/>
  <c r="K23" i="5" s="1"/>
  <c r="K32" i="5"/>
  <c r="K26" i="5"/>
  <c r="H35" i="5"/>
  <c r="H34" i="5"/>
  <c r="G112" i="5"/>
  <c r="J112" i="5" s="1"/>
  <c r="H41" i="5"/>
  <c r="H125" i="5"/>
  <c r="G128" i="5"/>
  <c r="I128" i="5" s="1"/>
  <c r="H105" i="5"/>
  <c r="H104" i="5"/>
  <c r="H112" i="5"/>
  <c r="H103" i="5"/>
  <c r="G104" i="5"/>
  <c r="J104" i="5" s="1"/>
  <c r="G96" i="5"/>
  <c r="J96" i="5" s="1"/>
  <c r="H102" i="5"/>
  <c r="G116" i="5"/>
  <c r="I116" i="5" s="1"/>
  <c r="H107" i="5"/>
  <c r="G100" i="5"/>
  <c r="J100" i="5" s="1"/>
  <c r="G120" i="5"/>
  <c r="I120" i="5" s="1"/>
  <c r="G114" i="5"/>
  <c r="J114" i="5" s="1"/>
  <c r="G106" i="5"/>
  <c r="J106" i="5" s="1"/>
  <c r="H124" i="5"/>
  <c r="G122" i="5"/>
  <c r="J122" i="5" s="1"/>
  <c r="H113" i="5"/>
  <c r="H115" i="5"/>
  <c r="G98" i="5"/>
  <c r="J98" i="5" s="1"/>
  <c r="H92" i="5"/>
  <c r="H126" i="5"/>
  <c r="H96" i="5"/>
  <c r="H100" i="5"/>
  <c r="H108" i="5"/>
  <c r="H119" i="5"/>
  <c r="J103" i="5"/>
  <c r="I103" i="5"/>
  <c r="H30" i="5"/>
  <c r="L28" i="5"/>
  <c r="M28" i="5" s="1"/>
  <c r="H27" i="5"/>
  <c r="H31" i="5"/>
  <c r="H29" i="5"/>
  <c r="K30" i="5"/>
  <c r="H98" i="5"/>
  <c r="I123" i="5"/>
  <c r="J123" i="5"/>
  <c r="J121" i="5"/>
  <c r="I121" i="5"/>
  <c r="J101" i="5"/>
  <c r="I101" i="5"/>
  <c r="H118" i="5"/>
  <c r="H116" i="5"/>
  <c r="H127" i="5"/>
  <c r="H95" i="5"/>
  <c r="I115" i="5"/>
  <c r="J115" i="5"/>
  <c r="J113" i="5"/>
  <c r="I113" i="5"/>
  <c r="H106" i="5"/>
  <c r="J125" i="5"/>
  <c r="I125" i="5"/>
  <c r="J93" i="5"/>
  <c r="I93" i="5"/>
  <c r="H110" i="5"/>
  <c r="J90" i="5"/>
  <c r="I90" i="5"/>
  <c r="K90" i="5" s="1"/>
  <c r="H99" i="5"/>
  <c r="J105" i="5"/>
  <c r="I105" i="5"/>
  <c r="J117" i="5"/>
  <c r="I117" i="5"/>
  <c r="H121" i="5"/>
  <c r="H111" i="5"/>
  <c r="J127" i="5"/>
  <c r="I127" i="5"/>
  <c r="J95" i="5"/>
  <c r="I95" i="5"/>
  <c r="K36" i="5"/>
  <c r="K35" i="5"/>
  <c r="J109" i="5"/>
  <c r="I109" i="5"/>
  <c r="H94" i="5"/>
  <c r="J119" i="5"/>
  <c r="I119" i="5"/>
  <c r="G110" i="5"/>
  <c r="H114" i="5"/>
  <c r="J111" i="5"/>
  <c r="I111" i="5"/>
  <c r="H128" i="5"/>
  <c r="G102" i="5"/>
  <c r="G124" i="5"/>
  <c r="H120" i="5"/>
  <c r="I107" i="5"/>
  <c r="J107" i="5"/>
  <c r="G126" i="5"/>
  <c r="G94" i="5"/>
  <c r="H123" i="5"/>
  <c r="I99" i="5"/>
  <c r="J99" i="5"/>
  <c r="G118" i="5"/>
  <c r="J129" i="5"/>
  <c r="I129" i="5"/>
  <c r="K130" i="5" s="1"/>
  <c r="J97" i="5"/>
  <c r="I97" i="5"/>
  <c r="G108" i="5"/>
  <c r="H122" i="5"/>
  <c r="K40" i="5"/>
  <c r="A34" i="7" l="1"/>
  <c r="B34" i="7" s="1"/>
  <c r="J91" i="5"/>
  <c r="I91" i="5"/>
  <c r="K91" i="5" s="1"/>
  <c r="I112" i="5"/>
  <c r="K113" i="5" s="1"/>
  <c r="J128" i="5"/>
  <c r="K24" i="5"/>
  <c r="I104" i="5"/>
  <c r="K104" i="5" s="1"/>
  <c r="J116" i="5"/>
  <c r="I96" i="5"/>
  <c r="K96" i="5" s="1"/>
  <c r="I92" i="5"/>
  <c r="K93" i="5" s="1"/>
  <c r="I100" i="5"/>
  <c r="K100" i="5" s="1"/>
  <c r="I114" i="5"/>
  <c r="K115" i="5" s="1"/>
  <c r="K117" i="5"/>
  <c r="J120" i="5"/>
  <c r="I122" i="5"/>
  <c r="K122" i="5" s="1"/>
  <c r="K128" i="5"/>
  <c r="I106" i="5"/>
  <c r="K106" i="5" s="1"/>
  <c r="K121" i="5"/>
  <c r="I98" i="5"/>
  <c r="K99" i="5" s="1"/>
  <c r="J110" i="5"/>
  <c r="I110" i="5"/>
  <c r="K110" i="5" s="1"/>
  <c r="J118" i="5"/>
  <c r="I118" i="5"/>
  <c r="K118" i="5" s="1"/>
  <c r="J108" i="5"/>
  <c r="I108" i="5"/>
  <c r="K108" i="5" s="1"/>
  <c r="J124" i="5"/>
  <c r="I124" i="5"/>
  <c r="K124" i="5" s="1"/>
  <c r="J94" i="5"/>
  <c r="I94" i="5"/>
  <c r="K94" i="5" s="1"/>
  <c r="J102" i="5"/>
  <c r="I102" i="5"/>
  <c r="K102" i="5" s="1"/>
  <c r="J126" i="5"/>
  <c r="I126" i="5"/>
  <c r="K126" i="5" s="1"/>
  <c r="K116" i="5"/>
  <c r="K120" i="5"/>
  <c r="K129" i="5"/>
  <c r="A35" i="7" l="1"/>
  <c r="B35" i="7" s="1"/>
  <c r="K112" i="5"/>
  <c r="K105" i="5"/>
  <c r="K97" i="5"/>
  <c r="K92" i="5"/>
  <c r="K101" i="5"/>
  <c r="K114" i="5"/>
  <c r="K103" i="5"/>
  <c r="K123" i="5"/>
  <c r="K109" i="5"/>
  <c r="K98" i="5"/>
  <c r="K107" i="5"/>
  <c r="K119" i="5"/>
  <c r="K125" i="5"/>
  <c r="K111" i="5"/>
  <c r="K95" i="5"/>
  <c r="K127" i="5"/>
  <c r="A36" i="7" l="1"/>
  <c r="B36" i="7" s="1"/>
  <c r="A37" i="7" l="1"/>
  <c r="B37" i="7" s="1"/>
  <c r="A38" i="7" l="1"/>
  <c r="B38" i="7" s="1"/>
  <c r="A39" i="7" l="1"/>
  <c r="B39" i="7" s="1"/>
  <c r="A40" i="7" l="1"/>
  <c r="B40" i="7" s="1"/>
  <c r="A41" i="7" l="1"/>
  <c r="B41" i="7" s="1"/>
  <c r="A42" i="7" l="1"/>
  <c r="B42" i="7" s="1"/>
  <c r="A43" i="7" l="1"/>
  <c r="B43" i="7" s="1"/>
  <c r="A44" i="7" l="1"/>
  <c r="B44" i="7" s="1"/>
  <c r="A45" i="7" l="1"/>
  <c r="B45" i="7" s="1"/>
  <c r="A46" i="7" l="1"/>
  <c r="B46" i="7" s="1"/>
  <c r="A47" i="7" l="1"/>
  <c r="B47" i="7" s="1"/>
  <c r="A48" i="7" l="1"/>
  <c r="B48" i="7" s="1"/>
  <c r="A49" i="7" l="1"/>
  <c r="B49" i="7" s="1"/>
  <c r="A50" i="7" l="1"/>
  <c r="B50" i="7" s="1"/>
  <c r="A51" i="7" l="1"/>
  <c r="B51" i="7" s="1"/>
  <c r="A52" i="7" l="1"/>
  <c r="B52" i="7" s="1"/>
  <c r="A53" i="7" l="1"/>
  <c r="B53" i="7" s="1"/>
  <c r="A54" i="7" l="1"/>
  <c r="B54" i="7" s="1"/>
  <c r="A55" i="7" l="1"/>
  <c r="B55" i="7" s="1"/>
  <c r="A56" i="7" l="1"/>
  <c r="B56" i="7" s="1"/>
  <c r="A57" i="7" l="1"/>
  <c r="B57" i="7" s="1"/>
  <c r="A58" i="7" l="1"/>
  <c r="B58" i="7" s="1"/>
  <c r="A59" i="7" l="1"/>
  <c r="B59" i="7" s="1"/>
  <c r="A60" i="7" l="1"/>
  <c r="B60" i="7" s="1"/>
  <c r="A61" i="7" l="1"/>
  <c r="B61" i="7" s="1"/>
  <c r="A62" i="7" l="1"/>
  <c r="B62" i="7" s="1"/>
  <c r="A63" i="7" l="1"/>
  <c r="B63" i="7" s="1"/>
  <c r="A64" i="7" l="1"/>
  <c r="B64" i="7" s="1"/>
  <c r="A65" i="7" l="1"/>
  <c r="B65" i="7" s="1"/>
  <c r="A66" i="7" l="1"/>
  <c r="B66" i="7" s="1"/>
  <c r="A67" i="7" l="1"/>
  <c r="B67" i="7" s="1"/>
  <c r="A68" i="7" l="1"/>
  <c r="B68" i="7" s="1"/>
  <c r="A69" i="7" l="1"/>
  <c r="B69" i="7" s="1"/>
  <c r="A70" i="7" l="1"/>
  <c r="B70" i="7" s="1"/>
  <c r="A71" i="7" l="1"/>
  <c r="B71" i="7" s="1"/>
  <c r="A72" i="7" l="1"/>
  <c r="B72" i="7" s="1"/>
  <c r="A73" i="7" l="1"/>
  <c r="B73" i="7" s="1"/>
  <c r="A74" i="7" l="1"/>
  <c r="B74" i="7" s="1"/>
  <c r="A75" i="7" l="1"/>
  <c r="B75" i="7" s="1"/>
  <c r="A76" i="7" l="1"/>
  <c r="B76" i="7" s="1"/>
  <c r="A77" i="7" l="1"/>
  <c r="B77" i="7" s="1"/>
  <c r="C77" i="7" l="1"/>
  <c r="D77" i="7"/>
  <c r="A78" i="7"/>
  <c r="B78" i="7" s="1"/>
  <c r="A79" i="7" l="1"/>
  <c r="B79" i="7" s="1"/>
  <c r="C78" i="7"/>
  <c r="D78" i="7"/>
  <c r="C79" i="7" l="1"/>
  <c r="D79" i="7"/>
  <c r="A80" i="7"/>
  <c r="B80" i="7" s="1"/>
  <c r="A81" i="7" l="1"/>
  <c r="B81" i="7" s="1"/>
  <c r="C80" i="7"/>
  <c r="D80" i="7"/>
  <c r="I6" i="7" l="1"/>
  <c r="C81" i="7"/>
  <c r="D81" i="7"/>
  <c r="A82" i="7"/>
  <c r="B82" i="7" s="1"/>
  <c r="A83" i="7" l="1"/>
  <c r="B83" i="7" s="1"/>
  <c r="C82" i="7"/>
  <c r="D82" i="7"/>
  <c r="C83" i="7" l="1"/>
  <c r="D83" i="7"/>
  <c r="A84" i="7"/>
  <c r="B84" i="7" s="1"/>
  <c r="A85" i="7" l="1"/>
  <c r="B85" i="7" s="1"/>
  <c r="C84" i="7"/>
  <c r="D84" i="7"/>
  <c r="C85" i="7" l="1"/>
  <c r="D85" i="7"/>
  <c r="A86" i="7"/>
  <c r="B86" i="7" s="1"/>
  <c r="A87" i="7" l="1"/>
  <c r="B87" i="7" s="1"/>
  <c r="C86" i="7"/>
  <c r="D86" i="7"/>
  <c r="C87" i="7" l="1"/>
  <c r="D87" i="7"/>
  <c r="A88" i="7"/>
  <c r="B88" i="7" s="1"/>
  <c r="A89" i="7" l="1"/>
  <c r="B89" i="7" s="1"/>
  <c r="C88" i="7"/>
  <c r="D88" i="7"/>
  <c r="C89" i="7" l="1"/>
  <c r="D89" i="7"/>
  <c r="A90" i="7"/>
  <c r="B90" i="7" s="1"/>
  <c r="A91" i="7" l="1"/>
  <c r="B91" i="7" s="1"/>
  <c r="C90" i="7"/>
  <c r="D90" i="7"/>
  <c r="C91" i="7" l="1"/>
  <c r="D91" i="7"/>
  <c r="A92" i="7"/>
  <c r="B92" i="7" s="1"/>
  <c r="A93" i="7" l="1"/>
  <c r="B93" i="7" s="1"/>
  <c r="C92" i="7"/>
  <c r="D92" i="7"/>
  <c r="C93" i="7" l="1"/>
  <c r="D93" i="7"/>
  <c r="A94" i="7"/>
  <c r="B94" i="7" s="1"/>
  <c r="A95" i="7" l="1"/>
  <c r="B95" i="7" s="1"/>
  <c r="C94" i="7"/>
  <c r="D94" i="7"/>
  <c r="C95" i="7" l="1"/>
  <c r="D95" i="7"/>
  <c r="A96" i="7"/>
  <c r="B96" i="7" s="1"/>
  <c r="A97" i="7" l="1"/>
  <c r="B97" i="7" s="1"/>
  <c r="C96" i="7"/>
  <c r="D96" i="7"/>
  <c r="C97" i="7" l="1"/>
  <c r="D97" i="7"/>
  <c r="A98" i="7"/>
  <c r="B98" i="7" s="1"/>
  <c r="A99" i="7" l="1"/>
  <c r="B99" i="7" s="1"/>
  <c r="C98" i="7"/>
  <c r="D98" i="7"/>
  <c r="C99" i="7" l="1"/>
  <c r="D99" i="7"/>
  <c r="A100" i="7"/>
  <c r="B100" i="7" s="1"/>
  <c r="A101" i="7" l="1"/>
  <c r="B101" i="7" s="1"/>
  <c r="C100" i="7"/>
  <c r="D100" i="7"/>
  <c r="C101" i="7" l="1"/>
  <c r="D101" i="7"/>
  <c r="A102" i="7"/>
  <c r="B102" i="7" s="1"/>
  <c r="A103" i="7" l="1"/>
  <c r="B103" i="7" s="1"/>
  <c r="C102" i="7"/>
  <c r="D102" i="7"/>
  <c r="C103" i="7" l="1"/>
  <c r="D103" i="7"/>
  <c r="A104" i="7"/>
  <c r="B104" i="7" s="1"/>
  <c r="A105" i="7" l="1"/>
  <c r="B105" i="7" s="1"/>
  <c r="C104" i="7"/>
  <c r="D104" i="7"/>
  <c r="C105" i="7" l="1"/>
  <c r="D105" i="7"/>
  <c r="A106" i="7"/>
  <c r="B106" i="7" s="1"/>
  <c r="A107" i="7" l="1"/>
  <c r="B107" i="7" s="1"/>
  <c r="C106" i="7"/>
  <c r="D106" i="7"/>
  <c r="C107" i="7" l="1"/>
  <c r="D107" i="7"/>
  <c r="A108" i="7"/>
  <c r="B108" i="7" s="1"/>
  <c r="A109" i="7" l="1"/>
  <c r="B109" i="7" s="1"/>
  <c r="C108" i="7"/>
  <c r="D108" i="7"/>
  <c r="C109" i="7" l="1"/>
  <c r="D109" i="7"/>
  <c r="A110" i="7"/>
  <c r="B110" i="7" s="1"/>
  <c r="C110" i="7" l="1"/>
  <c r="D11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<sst xmlns="http://schemas.openxmlformats.org/spreadsheetml/2006/main" count="134" uniqueCount="116">
  <si>
    <t>Year Fraction</t>
    <phoneticPr fontId="1" type="noConversion"/>
  </si>
  <si>
    <t>01/23/2026</t>
    <phoneticPr fontId="1" type="noConversion"/>
  </si>
  <si>
    <t>Forward Rate</t>
    <phoneticPr fontId="1" type="noConversion"/>
  </si>
  <si>
    <t>x</t>
    <phoneticPr fontId="1" type="noConversion"/>
  </si>
  <si>
    <t>Error</t>
    <phoneticPr fontId="1" type="noConversion"/>
  </si>
  <si>
    <t>1. Input</t>
    <phoneticPr fontId="1" type="noConversion"/>
  </si>
  <si>
    <t>Treasury Par Yield Curve Rates</t>
    <phoneticPr fontId="1" type="noConversion"/>
  </si>
  <si>
    <t>Tenor</t>
    <phoneticPr fontId="1" type="noConversion"/>
  </si>
  <si>
    <t>Value</t>
    <phoneticPr fontId="1" type="noConversion"/>
  </si>
  <si>
    <t>Effective Date</t>
    <phoneticPr fontId="1" type="noConversion"/>
  </si>
  <si>
    <t>1 Mo</t>
    <phoneticPr fontId="1" type="noConversion"/>
  </si>
  <si>
    <t>1.5 Mo</t>
    <phoneticPr fontId="1" type="noConversion"/>
  </si>
  <si>
    <t>2 Mo</t>
    <phoneticPr fontId="1" type="noConversion"/>
  </si>
  <si>
    <t>3 Mo</t>
    <phoneticPr fontId="1" type="noConversion"/>
  </si>
  <si>
    <t>4 Mo</t>
    <phoneticPr fontId="1" type="noConversion"/>
  </si>
  <si>
    <t>6 Mo</t>
    <phoneticPr fontId="1" type="noConversion"/>
  </si>
  <si>
    <t>1 Yr</t>
    <phoneticPr fontId="1" type="noConversion"/>
  </si>
  <si>
    <t>2 Yr</t>
    <phoneticPr fontId="1" type="noConversion"/>
  </si>
  <si>
    <t>3 Yr</t>
    <phoneticPr fontId="1" type="noConversion"/>
  </si>
  <si>
    <t>5 Yr</t>
    <phoneticPr fontId="1" type="noConversion"/>
  </si>
  <si>
    <t>7 Yr</t>
    <phoneticPr fontId="1" type="noConversion"/>
  </si>
  <si>
    <t>10 Yr</t>
    <phoneticPr fontId="1" type="noConversion"/>
  </si>
  <si>
    <t>20 Yr</t>
    <phoneticPr fontId="1" type="noConversion"/>
  </si>
  <si>
    <t>30 Yr</t>
    <phoneticPr fontId="1" type="noConversion"/>
  </si>
  <si>
    <t>2. (primary) Discount Factor (6m)</t>
    <phoneticPr fontId="1" type="noConversion"/>
  </si>
  <si>
    <t>T</t>
    <phoneticPr fontId="1" type="noConversion"/>
  </si>
  <si>
    <t>Discount Factor</t>
    <phoneticPr fontId="1" type="noConversion"/>
  </si>
  <si>
    <t>Par</t>
    <phoneticPr fontId="1" type="noConversion"/>
  </si>
  <si>
    <t>Spot(Continuously Compounded)</t>
    <phoneticPr fontId="1" type="noConversion"/>
  </si>
  <si>
    <t>Spot(Semi Annually  Compounded)</t>
    <phoneticPr fontId="1" type="noConversion"/>
  </si>
  <si>
    <t>Price</t>
    <phoneticPr fontId="1" type="noConversion"/>
  </si>
  <si>
    <t>3. Discount Factor (3m)</t>
    <phoneticPr fontId="1" type="noConversion"/>
  </si>
  <si>
    <t>Diff</t>
    <phoneticPr fontId="1" type="noConversion"/>
  </si>
  <si>
    <t>[Input Parameters]</t>
  </si>
  <si>
    <t>Valuation Date</t>
  </si>
  <si>
    <t>Bond Name</t>
  </si>
  <si>
    <t>Maturity Date</t>
  </si>
  <si>
    <t>Coupon Rate</t>
  </si>
  <si>
    <t>Frequency</t>
  </si>
  <si>
    <t>Face Value</t>
  </si>
  <si>
    <t>Forward Date</t>
  </si>
  <si>
    <t>SOFR Rate</t>
  </si>
  <si>
    <t>Haircut</t>
  </si>
  <si>
    <t>Effective Rate</t>
  </si>
  <si>
    <t>Time to Fwd</t>
  </si>
  <si>
    <t>Index</t>
    <phoneticPr fontId="1" type="noConversion"/>
  </si>
  <si>
    <t>Payment Date</t>
    <phoneticPr fontId="1" type="noConversion"/>
  </si>
  <si>
    <t>Cash Flow</t>
    <phoneticPr fontId="1" type="noConversion"/>
  </si>
  <si>
    <t>US Treasury 30Y</t>
  </si>
  <si>
    <t>Lower T</t>
    <phoneticPr fontId="1" type="noConversion"/>
  </si>
  <si>
    <t>Upper T</t>
    <phoneticPr fontId="1" type="noConversion"/>
  </si>
  <si>
    <t>Lower DF</t>
    <phoneticPr fontId="1" type="noConversion"/>
  </si>
  <si>
    <t>Upper DF</t>
    <phoneticPr fontId="1" type="noConversion"/>
  </si>
  <si>
    <t>PV</t>
    <phoneticPr fontId="1" type="noConversion"/>
  </si>
  <si>
    <t>Spot Dirty Price ($S$)</t>
  </si>
  <si>
    <t>(-) PV of Coupons ($I$)</t>
  </si>
  <si>
    <t>(=) Net Spot Value</t>
  </si>
  <si>
    <t>(x) Repo Factor</t>
  </si>
  <si>
    <t>(=) Fwd Dirty Price</t>
  </si>
  <si>
    <t>(-) Fwd Accrued</t>
  </si>
  <si>
    <t>(=) Fwd Clean Price</t>
  </si>
  <si>
    <t>최종 쿼트</t>
    <phoneticPr fontId="1" type="noConversion"/>
  </si>
  <si>
    <t>Forward Dirty Price</t>
    <phoneticPr fontId="1" type="noConversion"/>
  </si>
  <si>
    <t>FWD PV</t>
    <phoneticPr fontId="1" type="noConversion"/>
  </si>
  <si>
    <t>[Scenario]</t>
    <phoneticPr fontId="1" type="noConversion"/>
  </si>
  <si>
    <t>Curve Shift</t>
    <phoneticPr fontId="1" type="noConversion"/>
  </si>
  <si>
    <t>Current Fwd Price</t>
    <phoneticPr fontId="1" type="noConversion"/>
  </si>
  <si>
    <t>[Sensitivity Analysis]</t>
    <phoneticPr fontId="1" type="noConversion"/>
  </si>
  <si>
    <t>DV01</t>
    <phoneticPr fontId="1" type="noConversion"/>
  </si>
  <si>
    <t>3년뒤시점 현가합 (k열)</t>
    <phoneticPr fontId="1" type="noConversion"/>
  </si>
  <si>
    <t>검증</t>
    <phoneticPr fontId="1" type="noConversion"/>
  </si>
  <si>
    <t>[analysis]</t>
    <phoneticPr fontId="1" type="noConversion"/>
  </si>
  <si>
    <t>Adjusted Sofr</t>
    <phoneticPr fontId="1" type="noConversion"/>
  </si>
  <si>
    <t>Spread</t>
    <phoneticPr fontId="1" type="noConversion"/>
  </si>
  <si>
    <t>Adj Efective rate</t>
    <phoneticPr fontId="1" type="noConversion"/>
  </si>
  <si>
    <t>Ask Fwd Price</t>
    <phoneticPr fontId="1" type="noConversion"/>
  </si>
  <si>
    <t>Base Mid Price (Dealer)</t>
  </si>
  <si>
    <t>Margin per 100 Face</t>
  </si>
  <si>
    <t>Total Notional ($)</t>
  </si>
  <si>
    <t>Total Day 1 PnL ($)</t>
  </si>
  <si>
    <t>마진 얹은 실효 조달금리</t>
    <phoneticPr fontId="1" type="noConversion"/>
  </si>
  <si>
    <t>마진 얹은 최종 호가</t>
    <phoneticPr fontId="1" type="noConversion"/>
  </si>
  <si>
    <t>순수원가</t>
    <phoneticPr fontId="1" type="noConversion"/>
  </si>
  <si>
    <t>순수익 마진</t>
    <phoneticPr fontId="1" type="noConversion"/>
  </si>
  <si>
    <t>사이즈</t>
    <phoneticPr fontId="1" type="noConversion"/>
  </si>
  <si>
    <t>$</t>
    <phoneticPr fontId="1" type="noConversion"/>
  </si>
  <si>
    <t>민감도 분석</t>
    <phoneticPr fontId="1" type="noConversion"/>
  </si>
  <si>
    <t>Year Fraction</t>
  </si>
  <si>
    <t>DF</t>
  </si>
  <si>
    <t>ln(DF)</t>
  </si>
  <si>
    <t>Spot Curve</t>
  </si>
  <si>
    <t>Forward Curve(F(t,t+0.25))</t>
  </si>
  <si>
    <t xml:space="preserve"> </t>
  </si>
  <si>
    <t>임의</t>
    <phoneticPr fontId="1" type="noConversion"/>
  </si>
  <si>
    <t>데스크마진(단위bp)</t>
    <phoneticPr fontId="1" type="noConversion"/>
  </si>
  <si>
    <t>"Time: YEARFRAC(VD, PaymentDate, 1) = Act/Act" 두 날짜 사이의 기간을 연단위의 소수점으로 환산해 주는 함수</t>
    <phoneticPr fontId="1" type="noConversion"/>
  </si>
  <si>
    <t>← 전체 PV 합계</t>
    <phoneticPr fontId="1" type="noConversion"/>
  </si>
  <si>
    <t>← Forward Date 이전 쿠폰만</t>
    <phoneticPr fontId="1" type="noConversion"/>
  </si>
  <si>
    <t>← OIS 3Y Spot Rate * 잔존만기</t>
    <phoneticPr fontId="1" type="noConversion"/>
  </si>
  <si>
    <t>← continuous compounding 변환</t>
    <phoneticPr fontId="1" type="noConversion"/>
  </si>
  <si>
    <t>← 선도 만기일 시점 경과이자 계산 (Act/Act)</t>
    <phoneticPr fontId="1" type="noConversion"/>
  </si>
  <si>
    <t>미래 캐시플로를 FwdDate 시점으로 할인</t>
  </si>
  <si>
    <t>|</t>
    <phoneticPr fontId="1" type="noConversion"/>
  </si>
  <si>
    <t>OIS 무위험 조달금리에 데스크 마진을 더해 고객(보험사)에게 호가를 제시하고, 이것이 마진수익이 됩니다.</t>
    <phoneticPr fontId="1" type="noConversion"/>
  </si>
  <si>
    <t>데이터표 D2:E9드래그 - 데이터 - 가상분석 - 데이터표 -열입력B2</t>
    <phoneticPr fontId="1" type="noConversion"/>
  </si>
  <si>
    <t>Fwd PV 구하기</t>
    <phoneticPr fontId="1" type="noConversion"/>
  </si>
  <si>
    <t>FWD Interpolated DF</t>
    <phoneticPr fontId="1" type="noConversion"/>
  </si>
  <si>
    <t>5bp 더해주기 +5/10000</t>
    <phoneticPr fontId="1" type="noConversion"/>
  </si>
  <si>
    <r>
      <t xml:space="preserve">[Funding Cost] </t>
    </r>
    <r>
      <rPr>
        <b/>
        <sz val="12"/>
        <color theme="1"/>
        <rFont val="맑은 고딕"/>
        <family val="2"/>
        <charset val="129"/>
        <scheme val="minor"/>
      </rPr>
      <t>1번</t>
    </r>
    <phoneticPr fontId="1" type="noConversion"/>
  </si>
  <si>
    <r>
      <rPr>
        <b/>
        <sz val="12"/>
        <color theme="1"/>
        <rFont val="맑은 고딕"/>
        <family val="2"/>
        <charset val="129"/>
        <scheme val="minor"/>
      </rPr>
      <t>2-1번</t>
    </r>
    <r>
      <rPr>
        <sz val="12"/>
        <color theme="1"/>
        <rFont val="맑은 고딕"/>
        <family val="2"/>
        <charset val="129"/>
        <scheme val="minor"/>
      </rPr>
      <t xml:space="preserve"> Time</t>
    </r>
    <r>
      <rPr>
        <i/>
        <sz val="12"/>
        <color theme="1"/>
        <rFont val="맑은 고딕"/>
        <family val="2"/>
        <charset val="129"/>
        <scheme val="minor"/>
      </rPr>
      <t>(YEARFRAC)사용</t>
    </r>
    <phoneticPr fontId="1" type="noConversion"/>
  </si>
  <si>
    <r>
      <t>[Pricing]</t>
    </r>
    <r>
      <rPr>
        <b/>
        <sz val="12"/>
        <color theme="1"/>
        <rFont val="맑은 고딕"/>
        <family val="2"/>
        <charset val="129"/>
        <scheme val="minor"/>
      </rPr>
      <t xml:space="preserve"> 2-3번</t>
    </r>
    <phoneticPr fontId="1" type="noConversion"/>
  </si>
  <si>
    <r>
      <rPr>
        <b/>
        <sz val="12"/>
        <color theme="1"/>
        <rFont val="맑은 고딕"/>
        <family val="2"/>
        <charset val="129"/>
        <scheme val="minor"/>
      </rPr>
      <t xml:space="preserve">2-2번 </t>
    </r>
    <r>
      <rPr>
        <sz val="12"/>
        <color theme="1"/>
        <rFont val="맑은 고딕"/>
        <family val="2"/>
        <charset val="129"/>
        <scheme val="minor"/>
      </rPr>
      <t>Interpolated DF</t>
    </r>
    <phoneticPr fontId="1" type="noConversion"/>
  </si>
  <si>
    <r>
      <t xml:space="preserve">[Benchmak] </t>
    </r>
    <r>
      <rPr>
        <b/>
        <sz val="12"/>
        <color theme="1"/>
        <rFont val="맑은 고딕"/>
        <family val="2"/>
        <charset val="129"/>
        <scheme val="minor"/>
      </rPr>
      <t>3번</t>
    </r>
    <phoneticPr fontId="1" type="noConversion"/>
  </si>
  <si>
    <t>3번 푸실때 활용해주시면 됩니다</t>
    <phoneticPr fontId="1" type="noConversion"/>
  </si>
  <si>
    <t>금리 값들에 변수 연결</t>
    <phoneticPr fontId="1" type="noConversion"/>
  </si>
  <si>
    <t>리스크 분석 부분 어떻게 해야하는지 모르겠어요ㅠㅠㅠㅠ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</si>
</sst>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_);[Red]\(0.000\)"/>
    <numFmt numFmtId="177" formatCode="0.000000_);[Red]\(0.000000\)"/>
    <numFmt numFmtId="178" formatCode="0.000%"/>
    <numFmt numFmtId="179" formatCode="0.000"/>
    <numFmt numFmtId="180" formatCode="0.0000000000000000%"/>
    <numFmt numFmtId="181" formatCode="m&quot;월&quot;\ d&quot;일&quot;"/>
    <numFmt numFmtId="182" formatCode="0_);[Red]\(0\)"/>
    <numFmt numFmtId="183" formatCode="0.0000_);[Red]\(0.0000\)"/>
  </numFmts>
  <fonts count="11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2"/>
      <color rgb="FF000000"/>
      <name val="Calibri"/>
      <family val="2"/>
    </font>
    <font>
      <i/>
      <sz val="12"/>
      <color theme="1"/>
      <name val="맑은 고딕"/>
      <family val="2"/>
      <charset val="129"/>
      <scheme val="minor"/>
    </font>
    <font>
      <u/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176" fontId="3" fillId="2" borderId="0" xfId="0" applyNumberFormat="1" applyFont="1" applyFill="1">
      <alignment vertical="center"/>
    </xf>
    <xf numFmtId="177" fontId="3" fillId="2" borderId="0" xfId="0" applyNumberFormat="1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178" fontId="3" fillId="2" borderId="0" xfId="1" applyNumberFormat="1" applyFont="1" applyFill="1">
      <alignment vertical="center"/>
    </xf>
    <xf numFmtId="176" fontId="5" fillId="2" borderId="0" xfId="0" applyNumberFormat="1" applyFont="1" applyFill="1">
      <alignment vertical="center"/>
    </xf>
    <xf numFmtId="178" fontId="5" fillId="2" borderId="0" xfId="1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178" fontId="4" fillId="2" borderId="0" xfId="1" applyNumberFormat="1" applyFont="1" applyFill="1">
      <alignment vertical="center"/>
    </xf>
    <xf numFmtId="179" fontId="3" fillId="2" borderId="0" xfId="0" applyNumberFormat="1" applyFont="1" applyFill="1">
      <alignment vertical="center"/>
    </xf>
    <xf numFmtId="14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0" fillId="3" borderId="0" xfId="0" applyFill="1">
      <alignment vertical="center"/>
    </xf>
    <xf numFmtId="180" fontId="0" fillId="3" borderId="0" xfId="0" applyNumberFormat="1" applyFill="1">
      <alignment vertical="center"/>
    </xf>
    <xf numFmtId="181" fontId="0" fillId="2" borderId="0" xfId="0" applyNumberFormat="1" applyFill="1">
      <alignment vertical="center"/>
    </xf>
    <xf numFmtId="0" fontId="0" fillId="2" borderId="0" xfId="0" quotePrefix="1" applyFill="1">
      <alignment vertical="center"/>
    </xf>
    <xf numFmtId="178" fontId="10" fillId="4" borderId="0" xfId="1" applyNumberFormat="1" applyFont="1" applyFill="1">
      <alignment vertical="center"/>
    </xf>
    <xf numFmtId="183" fontId="3" fillId="2" borderId="0" xfId="1" applyNumberFormat="1" applyFont="1" applyFill="1">
      <alignment vertical="center"/>
    </xf>
    <xf numFmtId="182" fontId="0" fillId="2" borderId="0" xfId="0" applyNumberFormat="1" applyFill="1">
      <alignment vertical="center"/>
    </xf>
    <xf numFmtId="0" fontId="0" fillId="2" borderId="0" xfId="0" applyNumberFormat="1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data_treasury!$H$89</c:f>
              <c:strCache>
                <c:ptCount val="1"/>
                <c:pt idx="0">
                  <c:v>Par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data_treasury!$H$90:$H$209</c:f>
              <c:numCache>
                <c:formatCode>0.000%</c:formatCode>
                <c:ptCount val="120"/>
                <c:pt idx="0">
                  <c:v>3.6999999999999998E-2</c:v>
                </c:pt>
                <c:pt idx="1">
                  <c:v>3.61E-2</c:v>
                </c:pt>
                <c:pt idx="2">
                  <c:v>3.5699999999999996E-2</c:v>
                </c:pt>
                <c:pt idx="3">
                  <c:v>3.5299999999999998E-2</c:v>
                </c:pt>
                <c:pt idx="4">
                  <c:v>3.5475E-2</c:v>
                </c:pt>
                <c:pt idx="5">
                  <c:v>3.5650000000000001E-2</c:v>
                </c:pt>
                <c:pt idx="6">
                  <c:v>3.5824999999999996E-2</c:v>
                </c:pt>
                <c:pt idx="7">
                  <c:v>3.5999999999999997E-2</c:v>
                </c:pt>
                <c:pt idx="8">
                  <c:v>3.6174999999999999E-2</c:v>
                </c:pt>
                <c:pt idx="9">
                  <c:v>3.635E-2</c:v>
                </c:pt>
                <c:pt idx="10">
                  <c:v>3.6525000000000002E-2</c:v>
                </c:pt>
                <c:pt idx="11">
                  <c:v>3.6700000000000003E-2</c:v>
                </c:pt>
                <c:pt idx="12">
                  <c:v>3.6912500000000001E-2</c:v>
                </c:pt>
                <c:pt idx="13">
                  <c:v>3.7124999999999998E-2</c:v>
                </c:pt>
                <c:pt idx="14">
                  <c:v>3.7337500000000003E-2</c:v>
                </c:pt>
                <c:pt idx="15">
                  <c:v>3.755E-2</c:v>
                </c:pt>
                <c:pt idx="16">
                  <c:v>3.7762499999999997E-2</c:v>
                </c:pt>
                <c:pt idx="17">
                  <c:v>3.7975000000000002E-2</c:v>
                </c:pt>
                <c:pt idx="18">
                  <c:v>3.8187499999999999E-2</c:v>
                </c:pt>
                <c:pt idx="19">
                  <c:v>3.8399999999999997E-2</c:v>
                </c:pt>
                <c:pt idx="20">
                  <c:v>3.8637499999999998E-2</c:v>
                </c:pt>
                <c:pt idx="21">
                  <c:v>3.8875E-2</c:v>
                </c:pt>
                <c:pt idx="22">
                  <c:v>3.9112499999999994E-2</c:v>
                </c:pt>
                <c:pt idx="23">
                  <c:v>3.9349999999999996E-2</c:v>
                </c:pt>
                <c:pt idx="24">
                  <c:v>3.9587499999999998E-2</c:v>
                </c:pt>
                <c:pt idx="25">
                  <c:v>3.9824999999999999E-2</c:v>
                </c:pt>
                <c:pt idx="26">
                  <c:v>4.0062500000000001E-2</c:v>
                </c:pt>
                <c:pt idx="27">
                  <c:v>4.0300000000000002E-2</c:v>
                </c:pt>
                <c:pt idx="28">
                  <c:v>4.0475000000000004E-2</c:v>
                </c:pt>
                <c:pt idx="29">
                  <c:v>4.0649999999999999E-2</c:v>
                </c:pt>
                <c:pt idx="30">
                  <c:v>4.0825E-2</c:v>
                </c:pt>
                <c:pt idx="31">
                  <c:v>4.1000000000000002E-2</c:v>
                </c:pt>
                <c:pt idx="32">
                  <c:v>4.1174999999999996E-2</c:v>
                </c:pt>
                <c:pt idx="33">
                  <c:v>4.1350000000000005E-2</c:v>
                </c:pt>
                <c:pt idx="34">
                  <c:v>4.1524999999999999E-2</c:v>
                </c:pt>
                <c:pt idx="35">
                  <c:v>4.1699999999999994E-2</c:v>
                </c:pt>
                <c:pt idx="36">
                  <c:v>4.1874999999999996E-2</c:v>
                </c:pt>
                <c:pt idx="37">
                  <c:v>4.2049999999999997E-2</c:v>
                </c:pt>
                <c:pt idx="38">
                  <c:v>4.2224999999999992E-2</c:v>
                </c:pt>
                <c:pt idx="39">
                  <c:v>4.24E-2</c:v>
                </c:pt>
                <c:pt idx="40">
                  <c:v>4.2535000000000003E-2</c:v>
                </c:pt>
                <c:pt idx="41">
                  <c:v>4.267E-2</c:v>
                </c:pt>
                <c:pt idx="42">
                  <c:v>4.2804999999999996E-2</c:v>
                </c:pt>
                <c:pt idx="43">
                  <c:v>4.2939999999999999E-2</c:v>
                </c:pt>
                <c:pt idx="44">
                  <c:v>4.3075000000000002E-2</c:v>
                </c:pt>
                <c:pt idx="45">
                  <c:v>4.3209999999999998E-2</c:v>
                </c:pt>
                <c:pt idx="46">
                  <c:v>4.3345000000000002E-2</c:v>
                </c:pt>
                <c:pt idx="47">
                  <c:v>4.3480000000000005E-2</c:v>
                </c:pt>
                <c:pt idx="48">
                  <c:v>4.3615000000000001E-2</c:v>
                </c:pt>
                <c:pt idx="49">
                  <c:v>4.3749999999999997E-2</c:v>
                </c:pt>
                <c:pt idx="50">
                  <c:v>4.3885E-2</c:v>
                </c:pt>
                <c:pt idx="51">
                  <c:v>4.4020000000000004E-2</c:v>
                </c:pt>
                <c:pt idx="52">
                  <c:v>4.4155E-2</c:v>
                </c:pt>
                <c:pt idx="53">
                  <c:v>4.4290000000000003E-2</c:v>
                </c:pt>
                <c:pt idx="54">
                  <c:v>4.4425000000000006E-2</c:v>
                </c:pt>
                <c:pt idx="55">
                  <c:v>4.4560000000000002E-2</c:v>
                </c:pt>
                <c:pt idx="56">
                  <c:v>4.4694999999999999E-2</c:v>
                </c:pt>
                <c:pt idx="57">
                  <c:v>4.4830000000000002E-2</c:v>
                </c:pt>
                <c:pt idx="58">
                  <c:v>4.4964999999999998E-2</c:v>
                </c:pt>
                <c:pt idx="59">
                  <c:v>4.5100000000000001E-2</c:v>
                </c:pt>
                <c:pt idx="60">
                  <c:v>4.5235000000000004E-2</c:v>
                </c:pt>
                <c:pt idx="61">
                  <c:v>4.5370000000000001E-2</c:v>
                </c:pt>
                <c:pt idx="62">
                  <c:v>4.5505000000000004E-2</c:v>
                </c:pt>
                <c:pt idx="63">
                  <c:v>4.564E-2</c:v>
                </c:pt>
                <c:pt idx="64">
                  <c:v>4.5774999999999996E-2</c:v>
                </c:pt>
                <c:pt idx="65">
                  <c:v>4.5910000000000006E-2</c:v>
                </c:pt>
                <c:pt idx="66">
                  <c:v>4.6045000000000003E-2</c:v>
                </c:pt>
                <c:pt idx="67">
                  <c:v>4.6179999999999999E-2</c:v>
                </c:pt>
                <c:pt idx="68">
                  <c:v>4.6315000000000002E-2</c:v>
                </c:pt>
                <c:pt idx="69">
                  <c:v>4.6450000000000005E-2</c:v>
                </c:pt>
                <c:pt idx="70">
                  <c:v>4.6585000000000001E-2</c:v>
                </c:pt>
                <c:pt idx="71">
                  <c:v>4.6719999999999998E-2</c:v>
                </c:pt>
                <c:pt idx="72">
                  <c:v>4.6855000000000001E-2</c:v>
                </c:pt>
                <c:pt idx="73">
                  <c:v>4.6989999999999997E-2</c:v>
                </c:pt>
                <c:pt idx="74">
                  <c:v>4.7125E-2</c:v>
                </c:pt>
                <c:pt idx="75">
                  <c:v>4.7260000000000003E-2</c:v>
                </c:pt>
                <c:pt idx="76">
                  <c:v>4.7395000000000007E-2</c:v>
                </c:pt>
                <c:pt idx="77">
                  <c:v>4.7530000000000003E-2</c:v>
                </c:pt>
                <c:pt idx="78">
                  <c:v>4.7664999999999999E-2</c:v>
                </c:pt>
                <c:pt idx="79">
                  <c:v>4.7800000000000002E-2</c:v>
                </c:pt>
                <c:pt idx="80">
                  <c:v>4.7810000000000005E-2</c:v>
                </c:pt>
                <c:pt idx="81">
                  <c:v>4.7820000000000001E-2</c:v>
                </c:pt>
                <c:pt idx="82">
                  <c:v>4.7830000000000004E-2</c:v>
                </c:pt>
                <c:pt idx="83">
                  <c:v>4.7840000000000008E-2</c:v>
                </c:pt>
                <c:pt idx="84">
                  <c:v>4.7850000000000004E-2</c:v>
                </c:pt>
                <c:pt idx="85">
                  <c:v>4.786E-2</c:v>
                </c:pt>
                <c:pt idx="86">
                  <c:v>4.7870000000000003E-2</c:v>
                </c:pt>
                <c:pt idx="87">
                  <c:v>4.7879999999999999E-2</c:v>
                </c:pt>
                <c:pt idx="88">
                  <c:v>4.7890000000000002E-2</c:v>
                </c:pt>
                <c:pt idx="89">
                  <c:v>4.7900000000000005E-2</c:v>
                </c:pt>
                <c:pt idx="90">
                  <c:v>4.7910000000000001E-2</c:v>
                </c:pt>
                <c:pt idx="91">
                  <c:v>4.7920000000000004E-2</c:v>
                </c:pt>
                <c:pt idx="92">
                  <c:v>4.793E-2</c:v>
                </c:pt>
                <c:pt idx="93">
                  <c:v>4.7940000000000003E-2</c:v>
                </c:pt>
                <c:pt idx="94">
                  <c:v>4.7950000000000007E-2</c:v>
                </c:pt>
                <c:pt idx="95">
                  <c:v>4.7960000000000003E-2</c:v>
                </c:pt>
                <c:pt idx="96">
                  <c:v>4.7969999999999999E-2</c:v>
                </c:pt>
                <c:pt idx="97">
                  <c:v>4.7980000000000002E-2</c:v>
                </c:pt>
                <c:pt idx="98">
                  <c:v>4.7989999999999998E-2</c:v>
                </c:pt>
                <c:pt idx="99">
                  <c:v>4.8000000000000001E-2</c:v>
                </c:pt>
                <c:pt idx="100">
                  <c:v>4.8009999999999997E-2</c:v>
                </c:pt>
                <c:pt idx="101">
                  <c:v>4.802E-2</c:v>
                </c:pt>
                <c:pt idx="102">
                  <c:v>4.8030000000000003E-2</c:v>
                </c:pt>
                <c:pt idx="103">
                  <c:v>4.8040000000000006E-2</c:v>
                </c:pt>
                <c:pt idx="104">
                  <c:v>4.8050000000000002E-2</c:v>
                </c:pt>
                <c:pt idx="105">
                  <c:v>4.8060000000000005E-2</c:v>
                </c:pt>
                <c:pt idx="106">
                  <c:v>4.8070000000000002E-2</c:v>
                </c:pt>
                <c:pt idx="107">
                  <c:v>4.8079999999999998E-2</c:v>
                </c:pt>
                <c:pt idx="108">
                  <c:v>4.8090000000000001E-2</c:v>
                </c:pt>
                <c:pt idx="109">
                  <c:v>4.8099999999999997E-2</c:v>
                </c:pt>
                <c:pt idx="110">
                  <c:v>4.811E-2</c:v>
                </c:pt>
                <c:pt idx="111">
                  <c:v>4.8120000000000003E-2</c:v>
                </c:pt>
                <c:pt idx="112">
                  <c:v>4.8129999999999999E-2</c:v>
                </c:pt>
                <c:pt idx="113">
                  <c:v>4.8140000000000002E-2</c:v>
                </c:pt>
                <c:pt idx="114">
                  <c:v>4.8150000000000005E-2</c:v>
                </c:pt>
                <c:pt idx="115">
                  <c:v>4.8160000000000001E-2</c:v>
                </c:pt>
                <c:pt idx="116">
                  <c:v>4.8170000000000004E-2</c:v>
                </c:pt>
                <c:pt idx="117">
                  <c:v>4.8179999999999994E-2</c:v>
                </c:pt>
                <c:pt idx="118">
                  <c:v>4.8189999999999997E-2</c:v>
                </c:pt>
                <c:pt idx="119">
                  <c:v>4.82E-2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3-BD4F-B1E2-419431C743A3}"/>
            </c:ext>
          </c:extLst>
        </c:ser>
        <c:ser>
          <c:idx val="2"/>
          <c:order val="2"/>
          <c:tx>
            <c:strRef>
              <c:f>data_treasury!$I$89</c:f>
              <c:strCache>
                <c:ptCount val="1"/>
                <c:pt idx="0">
                  <c:v>Spot(Continuously Compounded)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data_treasury!$I$90:$I$209</c:f>
              <c:numCache>
                <c:formatCode>0.000%</c:formatCode>
                <c:ptCount val="120"/>
                <c:pt idx="0">
                  <c:v>3.6661913369446707E-2</c:v>
                </c:pt>
                <c:pt idx="1">
                  <c:v>3.5778065671479814E-2</c:v>
                </c:pt>
                <c:pt idx="2">
                  <c:v>3.5249462177936043E-2</c:v>
                </c:pt>
                <c:pt idx="3">
                  <c:v>3.498516043116412E-2</c:v>
                </c:pt>
                <c:pt idx="4">
                  <c:v>3.5266612680226697E-2</c:v>
                </c:pt>
                <c:pt idx="5">
                  <c:v>3.5454247512935126E-2</c:v>
                </c:pt>
                <c:pt idx="6">
                  <c:v>3.558827239344111E-2</c:v>
                </c:pt>
                <c:pt idx="7">
                  <c:v>3.5688791053820605E-2</c:v>
                </c:pt>
                <c:pt idx="8">
                  <c:v>3.5925603146266347E-2</c:v>
                </c:pt>
                <c:pt idx="9">
                  <c:v>3.6115052820222912E-2</c:v>
                </c:pt>
                <c:pt idx="10">
                  <c:v>3.6270057098914656E-2</c:v>
                </c:pt>
                <c:pt idx="11">
                  <c:v>3.6399227331157795E-2</c:v>
                </c:pt>
                <c:pt idx="12">
                  <c:v>3.6737176844066764E-2</c:v>
                </c:pt>
                <c:pt idx="13">
                  <c:v>3.7026847855131613E-2</c:v>
                </c:pt>
                <c:pt idx="14">
                  <c:v>3.7277896064721136E-2</c:v>
                </c:pt>
                <c:pt idx="15">
                  <c:v>3.7497563248112001E-2</c:v>
                </c:pt>
                <c:pt idx="16">
                  <c:v>3.7691387233456872E-2</c:v>
                </c:pt>
                <c:pt idx="17">
                  <c:v>3.7863675220430076E-2</c:v>
                </c:pt>
                <c:pt idx="18">
                  <c:v>3.8017827629827174E-2</c:v>
                </c:pt>
                <c:pt idx="19">
                  <c:v>3.815656479828454E-2</c:v>
                </c:pt>
                <c:pt idx="20">
                  <c:v>3.8495999676480201E-2</c:v>
                </c:pt>
                <c:pt idx="21">
                  <c:v>3.8804576838476261E-2</c:v>
                </c:pt>
                <c:pt idx="22">
                  <c:v>3.9086321203777002E-2</c:v>
                </c:pt>
                <c:pt idx="23">
                  <c:v>3.9344586871969359E-2</c:v>
                </c:pt>
                <c:pt idx="24">
                  <c:v>3.9582191286706328E-2</c:v>
                </c:pt>
                <c:pt idx="25">
                  <c:v>3.9801518438771215E-2</c:v>
                </c:pt>
                <c:pt idx="26">
                  <c:v>4.0004599135127585E-2</c:v>
                </c:pt>
                <c:pt idx="27">
                  <c:v>4.0193174067458502E-2</c:v>
                </c:pt>
                <c:pt idx="28">
                  <c:v>4.0460760750806332E-2</c:v>
                </c:pt>
                <c:pt idx="29">
                  <c:v>4.0710508321930967E-2</c:v>
                </c:pt>
                <c:pt idx="30">
                  <c:v>4.0944143146531414E-2</c:v>
                </c:pt>
                <c:pt idx="31">
                  <c:v>4.1163175794594352E-2</c:v>
                </c:pt>
                <c:pt idx="32">
                  <c:v>4.1368933736714075E-2</c:v>
                </c:pt>
                <c:pt idx="33">
                  <c:v>4.1562588270473814E-2</c:v>
                </c:pt>
                <c:pt idx="34">
                  <c:v>4.1745176830875863E-2</c:v>
                </c:pt>
                <c:pt idx="35">
                  <c:v>4.1917621582366692E-2</c:v>
                </c:pt>
                <c:pt idx="36">
                  <c:v>4.2080744995939078E-2</c:v>
                </c:pt>
                <c:pt idx="37">
                  <c:v>4.2235282966691878E-2</c:v>
                </c:pt>
                <c:pt idx="38">
                  <c:v>4.2381895913303505E-2</c:v>
                </c:pt>
                <c:pt idx="39">
                  <c:v>4.252117821258454E-2</c:v>
                </c:pt>
                <c:pt idx="40">
                  <c:v>4.2848623800172389E-2</c:v>
                </c:pt>
                <c:pt idx="41">
                  <c:v>4.3160476740732256E-2</c:v>
                </c:pt>
                <c:pt idx="42">
                  <c:v>4.3457824893359108E-2</c:v>
                </c:pt>
                <c:pt idx="43">
                  <c:v>4.3741657220866551E-2</c:v>
                </c:pt>
                <c:pt idx="44">
                  <c:v>4.4012874778262559E-2</c:v>
                </c:pt>
                <c:pt idx="45">
                  <c:v>4.4272300267945687E-2</c:v>
                </c:pt>
                <c:pt idx="46">
                  <c:v>4.4520686375089102E-2</c:v>
                </c:pt>
                <c:pt idx="47">
                  <c:v>4.4758723061101569E-2</c:v>
                </c:pt>
                <c:pt idx="48">
                  <c:v>4.4987043964011458E-2</c:v>
                </c:pt>
                <c:pt idx="49">
                  <c:v>4.5206232030804955E-2</c:v>
                </c:pt>
                <c:pt idx="50">
                  <c:v>4.5416824487135972E-2</c:v>
                </c:pt>
                <c:pt idx="51">
                  <c:v>4.5619317233608091E-2</c:v>
                </c:pt>
                <c:pt idx="52">
                  <c:v>4.5814168744364295E-2</c:v>
                </c:pt>
                <c:pt idx="53">
                  <c:v>4.6001803532499906E-2</c:v>
                </c:pt>
                <c:pt idx="54">
                  <c:v>4.6182615237430578E-2</c:v>
                </c:pt>
                <c:pt idx="55">
                  <c:v>4.635696938147086E-2</c:v>
                </c:pt>
                <c:pt idx="56">
                  <c:v>4.6525205836246565E-2</c:v>
                </c:pt>
                <c:pt idx="57">
                  <c:v>4.6687641033961051E-2</c:v>
                </c:pt>
                <c:pt idx="58">
                  <c:v>4.684456995378692E-2</c:v>
                </c:pt>
                <c:pt idx="59">
                  <c:v>4.6996267909618569E-2</c:v>
                </c:pt>
                <c:pt idx="60">
                  <c:v>4.7142992161980347E-2</c:v>
                </c:pt>
                <c:pt idx="61">
                  <c:v>4.7284983373943351E-2</c:v>
                </c:pt>
                <c:pt idx="62">
                  <c:v>4.7422466928383721E-2</c:v>
                </c:pt>
                <c:pt idx="63">
                  <c:v>4.755565412174783E-2</c:v>
                </c:pt>
                <c:pt idx="64">
                  <c:v>4.7684743247623812E-2</c:v>
                </c:pt>
                <c:pt idx="65">
                  <c:v>4.7809920581806574E-2</c:v>
                </c:pt>
                <c:pt idx="66">
                  <c:v>4.7931361279148064E-2</c:v>
                </c:pt>
                <c:pt idx="67">
                  <c:v>4.8049230191273634E-2</c:v>
                </c:pt>
                <c:pt idx="68">
                  <c:v>4.8163682613192663E-2</c:v>
                </c:pt>
                <c:pt idx="69">
                  <c:v>4.8274864965914002E-2</c:v>
                </c:pt>
                <c:pt idx="70">
                  <c:v>4.8382915421375593E-2</c:v>
                </c:pt>
                <c:pt idx="71">
                  <c:v>4.8487964475296588E-2</c:v>
                </c:pt>
                <c:pt idx="72">
                  <c:v>4.8590135472945765E-2</c:v>
                </c:pt>
                <c:pt idx="73">
                  <c:v>4.8689545092280101E-2</c:v>
                </c:pt>
                <c:pt idx="74">
                  <c:v>4.8786303788432184E-2</c:v>
                </c:pt>
                <c:pt idx="75">
                  <c:v>4.8880516203106579E-2</c:v>
                </c:pt>
                <c:pt idx="76">
                  <c:v>4.8972281542075155E-2</c:v>
                </c:pt>
                <c:pt idx="77">
                  <c:v>4.906169392363427E-2</c:v>
                </c:pt>
                <c:pt idx="78">
                  <c:v>4.9148842700596961E-2</c:v>
                </c:pt>
                <c:pt idx="79">
                  <c:v>4.9233812758135584E-2</c:v>
                </c:pt>
                <c:pt idx="80">
                  <c:v>4.9235686731708368E-2</c:v>
                </c:pt>
                <c:pt idx="81">
                  <c:v>4.9237514998608636E-2</c:v>
                </c:pt>
                <c:pt idx="82">
                  <c:v>4.9239299210884817E-2</c:v>
                </c:pt>
                <c:pt idx="83">
                  <c:v>4.9241040941916316E-2</c:v>
                </c:pt>
                <c:pt idx="84">
                  <c:v>4.9242741691041196E-2</c:v>
                </c:pt>
                <c:pt idx="85">
                  <c:v>4.924440288786084E-2</c:v>
                </c:pt>
                <c:pt idx="86">
                  <c:v>4.9246025896247853E-2</c:v>
                </c:pt>
                <c:pt idx="87">
                  <c:v>4.9247612018080617E-2</c:v>
                </c:pt>
                <c:pt idx="88">
                  <c:v>4.9249162496726118E-2</c:v>
                </c:pt>
                <c:pt idx="89">
                  <c:v>4.9250678520290622E-2</c:v>
                </c:pt>
                <c:pt idx="90">
                  <c:v>4.9252161224655901E-2</c:v>
                </c:pt>
                <c:pt idx="91">
                  <c:v>4.9253611696317583E-2</c:v>
                </c:pt>
                <c:pt idx="92">
                  <c:v>4.9255030975040304E-2</c:v>
                </c:pt>
                <c:pt idx="93">
                  <c:v>4.9256420056343404E-2</c:v>
                </c:pt>
                <c:pt idx="94">
                  <c:v>4.9257779893829588E-2</c:v>
                </c:pt>
                <c:pt idx="95">
                  <c:v>4.9259111401368148E-2</c:v>
                </c:pt>
                <c:pt idx="96">
                  <c:v>4.9260415455143022E-2</c:v>
                </c:pt>
                <c:pt idx="97">
                  <c:v>4.9261692895575554E-2</c:v>
                </c:pt>
                <c:pt idx="98">
                  <c:v>4.9262944529130652E-2</c:v>
                </c:pt>
                <c:pt idx="99">
                  <c:v>4.9264171130014647E-2</c:v>
                </c:pt>
                <c:pt idx="100">
                  <c:v>4.9265373441772238E-2</c:v>
                </c:pt>
                <c:pt idx="101">
                  <c:v>4.9266552178789481E-2</c:v>
                </c:pt>
                <c:pt idx="102">
                  <c:v>4.9267708027709294E-2</c:v>
                </c:pt>
                <c:pt idx="103">
                  <c:v>4.9268841648765278E-2</c:v>
                </c:pt>
                <c:pt idx="104">
                  <c:v>4.9269953677039235E-2</c:v>
                </c:pt>
                <c:pt idx="105">
                  <c:v>4.9271044723647649E-2</c:v>
                </c:pt>
                <c:pt idx="106">
                  <c:v>4.9272115376861512E-2</c:v>
                </c:pt>
                <c:pt idx="107">
                  <c:v>4.9273166203164007E-2</c:v>
                </c:pt>
                <c:pt idx="108">
                  <c:v>4.927419774824994E-2</c:v>
                </c:pt>
                <c:pt idx="109">
                  <c:v>4.9275210537970682E-2</c:v>
                </c:pt>
                <c:pt idx="110">
                  <c:v>4.9276205079227982E-2</c:v>
                </c:pt>
                <c:pt idx="111">
                  <c:v>4.9277181860819974E-2</c:v>
                </c:pt>
                <c:pt idx="112">
                  <c:v>4.9278141354242189E-2</c:v>
                </c:pt>
                <c:pt idx="113">
                  <c:v>4.927908401444648E-2</c:v>
                </c:pt>
                <c:pt idx="114">
                  <c:v>4.9280010280560262E-2</c:v>
                </c:pt>
                <c:pt idx="115">
                  <c:v>4.9280920576568618E-2</c:v>
                </c:pt>
                <c:pt idx="116">
                  <c:v>4.9281815311961456E-2</c:v>
                </c:pt>
                <c:pt idx="117">
                  <c:v>4.9282694882347641E-2</c:v>
                </c:pt>
                <c:pt idx="118">
                  <c:v>4.9283559670038259E-2</c:v>
                </c:pt>
                <c:pt idx="119">
                  <c:v>4.9284410044600699E-2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3-BD4F-B1E2-419431C743A3}"/>
            </c:ext>
          </c:extLst>
        </c:ser>
        <c:ser>
          <c:idx val="3"/>
          <c:order val="3"/>
          <c:tx>
            <c:strRef>
              <c:f>data_treasury!$J$89</c:f>
              <c:strCache>
                <c:ptCount val="1"/>
                <c:pt idx="0">
                  <c:v>Spot(Semi Annually  Compounded)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data_treasury!$J$90:$J$209</c:f>
              <c:numCache>
                <c:formatCode>0.000%</c:formatCode>
                <c:ptCount val="120"/>
                <c:pt idx="0">
                  <c:v>3.6999999999999922E-2</c:v>
                </c:pt>
                <c:pt idx="1">
                  <c:v>3.6099999999999799E-2</c:v>
                </c:pt>
                <c:pt idx="2">
                  <c:v>3.5561926323436133E-2</c:v>
                </c:pt>
                <c:pt idx="3">
                  <c:v>3.5292942810635886E-2</c:v>
                </c:pt>
                <c:pt idx="4">
                  <c:v>3.5579381853018788E-2</c:v>
                </c:pt>
                <c:pt idx="5">
                  <c:v>3.5770363609975764E-2</c:v>
                </c:pt>
                <c:pt idx="6">
                  <c:v>3.5906790120921794E-2</c:v>
                </c:pt>
                <c:pt idx="7">
                  <c:v>3.600911600391532E-2</c:v>
                </c:pt>
                <c:pt idx="8">
                  <c:v>3.6250206066394064E-2</c:v>
                </c:pt>
                <c:pt idx="9">
                  <c:v>3.6443098670926766E-2</c:v>
                </c:pt>
                <c:pt idx="10">
                  <c:v>3.6600933483918574E-2</c:v>
                </c:pt>
                <c:pt idx="11">
                  <c:v>3.6732471839365122E-2</c:v>
                </c:pt>
                <c:pt idx="12">
                  <c:v>3.7076657291264858E-2</c:v>
                </c:pt>
                <c:pt idx="13">
                  <c:v>3.7371719685971527E-2</c:v>
                </c:pt>
                <c:pt idx="14">
                  <c:v>3.7627474998611632E-2</c:v>
                </c:pt>
                <c:pt idx="15">
                  <c:v>3.7851287233554132E-2</c:v>
                </c:pt>
                <c:pt idx="16">
                  <c:v>3.8048789032561814E-2</c:v>
                </c:pt>
                <c:pt idx="17">
                  <c:v>3.8224362256350286E-2</c:v>
                </c:pt>
                <c:pt idx="18">
                  <c:v>3.8381466908954831E-2</c:v>
                </c:pt>
                <c:pt idx="19">
                  <c:v>3.8522871449891749E-2</c:v>
                </c:pt>
                <c:pt idx="20">
                  <c:v>3.886887369165315E-2</c:v>
                </c:pt>
                <c:pt idx="21">
                  <c:v>3.9183472145866816E-2</c:v>
                </c:pt>
                <c:pt idx="22">
                  <c:v>3.947075660713173E-2</c:v>
                </c:pt>
                <c:pt idx="23">
                  <c:v>3.9734136251103003E-2</c:v>
                </c:pt>
                <c:pt idx="24">
                  <c:v>3.9976475563872071E-2</c:v>
                </c:pt>
                <c:pt idx="25">
                  <c:v>4.0200198946132915E-2</c:v>
                </c:pt>
                <c:pt idx="26">
                  <c:v>4.0407372102726491E-2</c:v>
                </c:pt>
                <c:pt idx="27">
                  <c:v>4.0599766013812211E-2</c:v>
                </c:pt>
                <c:pt idx="28">
                  <c:v>4.0872802940380204E-2</c:v>
                </c:pt>
                <c:pt idx="29">
                  <c:v>4.1127670365933344E-2</c:v>
                </c:pt>
                <c:pt idx="30">
                  <c:v>4.1366123546030309E-2</c:v>
                </c:pt>
                <c:pt idx="31">
                  <c:v>4.1589698702225064E-2</c:v>
                </c:pt>
                <c:pt idx="32">
                  <c:v>4.1799746154301598E-2</c:v>
                </c:pt>
                <c:pt idx="33">
                  <c:v>4.1997457615013278E-2</c:v>
                </c:pt>
                <c:pt idx="34">
                  <c:v>4.218388881300017E-2</c:v>
                </c:pt>
                <c:pt idx="35">
                  <c:v>4.2359978350922312E-2</c:v>
                </c:pt>
                <c:pt idx="36">
                  <c:v>4.2526563510021376E-2</c:v>
                </c:pt>
                <c:pt idx="37">
                  <c:v>4.2684393562793854E-2</c:v>
                </c:pt>
                <c:pt idx="38">
                  <c:v>4.2834141040425155E-2</c:v>
                </c:pt>
                <c:pt idx="39">
                  <c:v>4.2976411312407148E-2</c:v>
                </c:pt>
                <c:pt idx="40">
                  <c:v>4.331092050076446E-2</c:v>
                </c:pt>
                <c:pt idx="41">
                  <c:v>4.3629551601148453E-2</c:v>
                </c:pt>
                <c:pt idx="42">
                  <c:v>4.393340892435349E-2</c:v>
                </c:pt>
                <c:pt idx="43">
                  <c:v>4.4223496696301101E-2</c:v>
                </c:pt>
                <c:pt idx="44">
                  <c:v>4.4500730145293765E-2</c:v>
                </c:pt>
                <c:pt idx="45">
                  <c:v>4.4765945147342556E-2</c:v>
                </c:pt>
                <c:pt idx="46">
                  <c:v>4.501990664371025E-2</c:v>
                </c:pt>
                <c:pt idx="47">
                  <c:v>4.5263316009215959E-2</c:v>
                </c:pt>
                <c:pt idx="48">
                  <c:v>4.5496817520781274E-2</c:v>
                </c:pt>
                <c:pt idx="49">
                  <c:v>4.5721004051842318E-2</c:v>
                </c:pt>
                <c:pt idx="50">
                  <c:v>4.5936422098602936E-2</c:v>
                </c:pt>
                <c:pt idx="51">
                  <c:v>4.6143576227836824E-2</c:v>
                </c:pt>
                <c:pt idx="52">
                  <c:v>4.6342933022448296E-2</c:v>
                </c:pt>
                <c:pt idx="53">
                  <c:v>4.65349245897273E-2</c:v>
                </c:pt>
                <c:pt idx="54">
                  <c:v>4.6719951687824945E-2</c:v>
                </c:pt>
                <c:pt idx="55">
                  <c:v>4.6898386518058111E-2</c:v>
                </c:pt>
                <c:pt idx="56">
                  <c:v>4.7070575223978395E-2</c:v>
                </c:pt>
                <c:pt idx="57">
                  <c:v>4.7236840132516278E-2</c:v>
                </c:pt>
                <c:pt idx="58">
                  <c:v>4.7397481767738281E-2</c:v>
                </c:pt>
                <c:pt idx="59">
                  <c:v>4.7552780663674632E-2</c:v>
                </c:pt>
                <c:pt idx="60">
                  <c:v>4.770299899923236E-2</c:v>
                </c:pt>
                <c:pt idx="61">
                  <c:v>4.7848382075235119E-2</c:v>
                </c:pt>
                <c:pt idx="62">
                  <c:v>4.798915965109174E-2</c:v>
                </c:pt>
                <c:pt idx="63">
                  <c:v>4.8125547156415482E-2</c:v>
                </c:pt>
                <c:pt idx="64">
                  <c:v>4.825774679103656E-2</c:v>
                </c:pt>
                <c:pt idx="65">
                  <c:v>4.8385948525214051E-2</c:v>
                </c:pt>
                <c:pt idx="66">
                  <c:v>4.8510331010456209E-2</c:v>
                </c:pt>
                <c:pt idx="67">
                  <c:v>4.8631062410138259E-2</c:v>
                </c:pt>
                <c:pt idx="68">
                  <c:v>4.8748301158026308E-2</c:v>
                </c:pt>
                <c:pt idx="69">
                  <c:v>4.88621966519176E-2</c:v>
                </c:pt>
                <c:pt idx="70">
                  <c:v>4.8972889888767579E-2</c:v>
                </c:pt>
                <c:pt idx="71">
                  <c:v>4.9080514046992985E-2</c:v>
                </c:pt>
                <c:pt idx="72">
                  <c:v>4.9185195021002048E-2</c:v>
                </c:pt>
                <c:pt idx="73">
                  <c:v>4.9287051912461077E-2</c:v>
                </c:pt>
                <c:pt idx="74">
                  <c:v>4.9386197482333305E-2</c:v>
                </c:pt>
                <c:pt idx="75">
                  <c:v>4.9482738567289797E-2</c:v>
                </c:pt>
                <c:pt idx="76">
                  <c:v>4.9576776463735595E-2</c:v>
                </c:pt>
                <c:pt idx="77">
                  <c:v>4.9668407282339011E-2</c:v>
                </c:pt>
                <c:pt idx="78">
                  <c:v>4.9757722275684646E-2</c:v>
                </c:pt>
                <c:pt idx="79">
                  <c:v>4.9844808141395358E-2</c:v>
                </c:pt>
                <c:pt idx="80">
                  <c:v>4.9846728819794794E-2</c:v>
                </c:pt>
                <c:pt idx="81">
                  <c:v>4.9848602654113616E-2</c:v>
                </c:pt>
                <c:pt idx="82">
                  <c:v>4.9850431337449486E-2</c:v>
                </c:pt>
                <c:pt idx="83">
                  <c:v>4.9852216482280109E-2</c:v>
                </c:pt>
                <c:pt idx="84">
                  <c:v>4.9853959625203004E-2</c:v>
                </c:pt>
                <c:pt idx="85">
                  <c:v>4.9855662231349296E-2</c:v>
                </c:pt>
                <c:pt idx="86">
                  <c:v>4.9857325698490218E-2</c:v>
                </c:pt>
                <c:pt idx="87">
                  <c:v>4.9858951360864268E-2</c:v>
                </c:pt>
                <c:pt idx="88">
                  <c:v>4.986054049274502E-2</c:v>
                </c:pt>
                <c:pt idx="89">
                  <c:v>4.9862094311775795E-2</c:v>
                </c:pt>
                <c:pt idx="90">
                  <c:v>4.9863613982076949E-2</c:v>
                </c:pt>
                <c:pt idx="91">
                  <c:v>4.9865100617157321E-2</c:v>
                </c:pt>
                <c:pt idx="92">
                  <c:v>4.9866555282634284E-2</c:v>
                </c:pt>
                <c:pt idx="93">
                  <c:v>4.9867978998781481E-2</c:v>
                </c:pt>
                <c:pt idx="94">
                  <c:v>4.9869372742914919E-2</c:v>
                </c:pt>
                <c:pt idx="95">
                  <c:v>4.9870737451630731E-2</c:v>
                </c:pt>
                <c:pt idx="96">
                  <c:v>4.9872074022903057E-2</c:v>
                </c:pt>
                <c:pt idx="97">
                  <c:v>4.9873383318055797E-2</c:v>
                </c:pt>
                <c:pt idx="98">
                  <c:v>4.9874666163612247E-2</c:v>
                </c:pt>
                <c:pt idx="99">
                  <c:v>4.9875923353036367E-2</c:v>
                </c:pt>
                <c:pt idx="100">
                  <c:v>4.9877155648368809E-2</c:v>
                </c:pt>
                <c:pt idx="101">
                  <c:v>4.9878363781767021E-2</c:v>
                </c:pt>
                <c:pt idx="102">
                  <c:v>4.9879548456955636E-2</c:v>
                </c:pt>
                <c:pt idx="103">
                  <c:v>4.9880710350594271E-2</c:v>
                </c:pt>
                <c:pt idx="104">
                  <c:v>4.9881850113564941E-2</c:v>
                </c:pt>
                <c:pt idx="105">
                  <c:v>4.9882968372190195E-2</c:v>
                </c:pt>
                <c:pt idx="106">
                  <c:v>4.988406572937798E-2</c:v>
                </c:pt>
                <c:pt idx="107">
                  <c:v>4.9885142765707879E-2</c:v>
                </c:pt>
                <c:pt idx="108">
                  <c:v>4.988620004045341E-2</c:v>
                </c:pt>
                <c:pt idx="109">
                  <c:v>4.9887238092551911E-2</c:v>
                </c:pt>
                <c:pt idx="110">
                  <c:v>4.9888257441521144E-2</c:v>
                </c:pt>
                <c:pt idx="111">
                  <c:v>4.9889258588323493E-2</c:v>
                </c:pt>
                <c:pt idx="112">
                  <c:v>4.9890242016188857E-2</c:v>
                </c:pt>
                <c:pt idx="113">
                  <c:v>4.9891208191394032E-2</c:v>
                </c:pt>
                <c:pt idx="114">
                  <c:v>4.9892157563995454E-2</c:v>
                </c:pt>
                <c:pt idx="115">
                  <c:v>4.9893090568531751E-2</c:v>
                </c:pt>
                <c:pt idx="116">
                  <c:v>4.9894007624687209E-2</c:v>
                </c:pt>
                <c:pt idx="117">
                  <c:v>4.9894909137917054E-2</c:v>
                </c:pt>
                <c:pt idx="118">
                  <c:v>4.9895795500050966E-2</c:v>
                </c:pt>
                <c:pt idx="119">
                  <c:v>4.9896667089856184E-2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3-BD4F-B1E2-419431C743A3}"/>
            </c:ext>
          </c:extLst>
        </c:ser>
        <c:ser>
          <c:idx val="4"/>
          <c:order val="4"/>
          <c:tx>
            <c:strRef>
              <c:f>data_treasury!$K$89</c:f>
              <c:strCache>
                <c:ptCount val="1"/>
                <c:pt idx="0">
                  <c:v>Forward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data_treasury!$K$90:$K$209</c:f>
              <c:numCache>
                <c:formatCode>0.000%</c:formatCode>
                <c:ptCount val="120"/>
                <c:pt idx="0">
                  <c:v>3.6661913369446707E-2</c:v>
                </c:pt>
                <c:pt idx="1">
                  <c:v>3.4894217973512921E-2</c:v>
                </c:pt>
                <c:pt idx="2">
                  <c:v>3.4192255190848508E-2</c:v>
                </c:pt>
                <c:pt idx="3">
                  <c:v>3.4192255190848342E-2</c:v>
                </c:pt>
                <c:pt idx="4">
                  <c:v>3.6392421676476994E-2</c:v>
                </c:pt>
                <c:pt idx="5">
                  <c:v>3.6392421676477271E-2</c:v>
                </c:pt>
                <c:pt idx="6">
                  <c:v>3.6392421676477021E-2</c:v>
                </c:pt>
                <c:pt idx="7">
                  <c:v>3.6392421676477077E-2</c:v>
                </c:pt>
                <c:pt idx="8">
                  <c:v>3.7820099885832292E-2</c:v>
                </c:pt>
                <c:pt idx="9">
                  <c:v>3.7820099885832015E-2</c:v>
                </c:pt>
                <c:pt idx="10">
                  <c:v>3.782009988583207E-2</c:v>
                </c:pt>
                <c:pt idx="11">
                  <c:v>3.7820099885832292E-2</c:v>
                </c:pt>
                <c:pt idx="12">
                  <c:v>4.0792570998974431E-2</c:v>
                </c:pt>
                <c:pt idx="13">
                  <c:v>4.0792570998974653E-2</c:v>
                </c:pt>
                <c:pt idx="14">
                  <c:v>4.0792570998974487E-2</c:v>
                </c:pt>
                <c:pt idx="15">
                  <c:v>4.0792570998974931E-2</c:v>
                </c:pt>
                <c:pt idx="16">
                  <c:v>4.079257099897482E-2</c:v>
                </c:pt>
                <c:pt idx="17">
                  <c:v>4.0792570998974598E-2</c:v>
                </c:pt>
                <c:pt idx="18">
                  <c:v>4.079257099897482E-2</c:v>
                </c:pt>
                <c:pt idx="19">
                  <c:v>4.0792570998974598E-2</c:v>
                </c:pt>
                <c:pt idx="20">
                  <c:v>4.5284697240393412E-2</c:v>
                </c:pt>
                <c:pt idx="21">
                  <c:v>4.5284697240393523E-2</c:v>
                </c:pt>
                <c:pt idx="22">
                  <c:v>4.5284697240393301E-2</c:v>
                </c:pt>
                <c:pt idx="23">
                  <c:v>4.5284697240393523E-2</c:v>
                </c:pt>
                <c:pt idx="24">
                  <c:v>4.5284697240393634E-2</c:v>
                </c:pt>
                <c:pt idx="25">
                  <c:v>4.5284697240393301E-2</c:v>
                </c:pt>
                <c:pt idx="26">
                  <c:v>4.5284697240393301E-2</c:v>
                </c:pt>
                <c:pt idx="27">
                  <c:v>4.5284697240393301E-2</c:v>
                </c:pt>
                <c:pt idx="28">
                  <c:v>4.795318788454539E-2</c:v>
                </c:pt>
                <c:pt idx="29">
                  <c:v>4.795318788454539E-2</c:v>
                </c:pt>
                <c:pt idx="30">
                  <c:v>4.7953187884544946E-2</c:v>
                </c:pt>
                <c:pt idx="31">
                  <c:v>4.795318788454539E-2</c:v>
                </c:pt>
                <c:pt idx="32">
                  <c:v>4.7953187884545168E-2</c:v>
                </c:pt>
                <c:pt idx="33">
                  <c:v>4.7953187884545168E-2</c:v>
                </c:pt>
                <c:pt idx="34">
                  <c:v>4.7953187884545612E-2</c:v>
                </c:pt>
                <c:pt idx="35">
                  <c:v>4.7953187884545612E-2</c:v>
                </c:pt>
                <c:pt idx="36">
                  <c:v>4.7953187884544946E-2</c:v>
                </c:pt>
                <c:pt idx="37">
                  <c:v>4.7953187884545612E-2</c:v>
                </c:pt>
                <c:pt idx="38">
                  <c:v>4.795318788454539E-2</c:v>
                </c:pt>
                <c:pt idx="39">
                  <c:v>4.7953187884544946E-2</c:v>
                </c:pt>
                <c:pt idx="40">
                  <c:v>5.5946447303686142E-2</c:v>
                </c:pt>
                <c:pt idx="41">
                  <c:v>5.594644730368703E-2</c:v>
                </c:pt>
                <c:pt idx="42">
                  <c:v>5.5946447303686808E-2</c:v>
                </c:pt>
                <c:pt idx="43">
                  <c:v>5.5946447303686586E-2</c:v>
                </c:pt>
                <c:pt idx="44">
                  <c:v>5.5946447303686808E-2</c:v>
                </c:pt>
                <c:pt idx="45">
                  <c:v>5.5946447303686586E-2</c:v>
                </c:pt>
                <c:pt idx="46">
                  <c:v>5.5946447303686142E-2</c:v>
                </c:pt>
                <c:pt idx="47">
                  <c:v>5.5946447303687474E-2</c:v>
                </c:pt>
                <c:pt idx="48">
                  <c:v>5.5946447303686142E-2</c:v>
                </c:pt>
                <c:pt idx="49">
                  <c:v>5.5946447303686142E-2</c:v>
                </c:pt>
                <c:pt idx="50">
                  <c:v>5.594644730368703E-2</c:v>
                </c:pt>
                <c:pt idx="51">
                  <c:v>5.5946447303686142E-2</c:v>
                </c:pt>
                <c:pt idx="52">
                  <c:v>5.594644730368703E-2</c:v>
                </c:pt>
                <c:pt idx="53">
                  <c:v>5.594644730368703E-2</c:v>
                </c:pt>
                <c:pt idx="54">
                  <c:v>5.594644730368703E-2</c:v>
                </c:pt>
                <c:pt idx="55">
                  <c:v>5.5946447303686142E-2</c:v>
                </c:pt>
                <c:pt idx="56">
                  <c:v>5.5946447303686142E-2</c:v>
                </c:pt>
                <c:pt idx="57">
                  <c:v>5.594644730368703E-2</c:v>
                </c:pt>
                <c:pt idx="58">
                  <c:v>5.594644730368703E-2</c:v>
                </c:pt>
                <c:pt idx="59">
                  <c:v>5.5946447303686142E-2</c:v>
                </c:pt>
                <c:pt idx="60">
                  <c:v>5.594644730368703E-2</c:v>
                </c:pt>
                <c:pt idx="61">
                  <c:v>5.5946447303686586E-2</c:v>
                </c:pt>
                <c:pt idx="62">
                  <c:v>5.5946447303686586E-2</c:v>
                </c:pt>
                <c:pt idx="63">
                  <c:v>5.5946447303686586E-2</c:v>
                </c:pt>
                <c:pt idx="64">
                  <c:v>5.5946447303686586E-2</c:v>
                </c:pt>
                <c:pt idx="65">
                  <c:v>5.5946447303686142E-2</c:v>
                </c:pt>
                <c:pt idx="66">
                  <c:v>5.5946447303686586E-2</c:v>
                </c:pt>
                <c:pt idx="67">
                  <c:v>5.5946447303686586E-2</c:v>
                </c:pt>
                <c:pt idx="68">
                  <c:v>5.5946447303686586E-2</c:v>
                </c:pt>
                <c:pt idx="69">
                  <c:v>5.5946447303686586E-2</c:v>
                </c:pt>
                <c:pt idx="70">
                  <c:v>5.594644730368703E-2</c:v>
                </c:pt>
                <c:pt idx="71">
                  <c:v>5.594644730368703E-2</c:v>
                </c:pt>
                <c:pt idx="72">
                  <c:v>5.5946447303686586E-2</c:v>
                </c:pt>
                <c:pt idx="73">
                  <c:v>5.5946447303686586E-2</c:v>
                </c:pt>
                <c:pt idx="74">
                  <c:v>5.5946447303686142E-2</c:v>
                </c:pt>
                <c:pt idx="75">
                  <c:v>5.5946447303686586E-2</c:v>
                </c:pt>
                <c:pt idx="76">
                  <c:v>5.5946447303686586E-2</c:v>
                </c:pt>
                <c:pt idx="77">
                  <c:v>5.5946447303686142E-2</c:v>
                </c:pt>
                <c:pt idx="78">
                  <c:v>5.594644730368703E-2</c:v>
                </c:pt>
                <c:pt idx="79">
                  <c:v>5.594644730368703E-2</c:v>
                </c:pt>
                <c:pt idx="80">
                  <c:v>4.9385604617530721E-2</c:v>
                </c:pt>
                <c:pt idx="81">
                  <c:v>4.9385604617530721E-2</c:v>
                </c:pt>
                <c:pt idx="82">
                  <c:v>4.9385604617531165E-2</c:v>
                </c:pt>
                <c:pt idx="83">
                  <c:v>4.9385604617531165E-2</c:v>
                </c:pt>
                <c:pt idx="84">
                  <c:v>4.9385604617531165E-2</c:v>
                </c:pt>
                <c:pt idx="85">
                  <c:v>4.9385604617530277E-2</c:v>
                </c:pt>
                <c:pt idx="86">
                  <c:v>4.9385604617531165E-2</c:v>
                </c:pt>
                <c:pt idx="87">
                  <c:v>4.9385604617531165E-2</c:v>
                </c:pt>
                <c:pt idx="88">
                  <c:v>4.9385604617530277E-2</c:v>
                </c:pt>
                <c:pt idx="89">
                  <c:v>4.9385604617531165E-2</c:v>
                </c:pt>
                <c:pt idx="90">
                  <c:v>4.9385604617531165E-2</c:v>
                </c:pt>
                <c:pt idx="91">
                  <c:v>4.9385604617530277E-2</c:v>
                </c:pt>
                <c:pt idx="92">
                  <c:v>4.9385604617531165E-2</c:v>
                </c:pt>
                <c:pt idx="93">
                  <c:v>4.9385604617531165E-2</c:v>
                </c:pt>
                <c:pt idx="94">
                  <c:v>4.9385604617531165E-2</c:v>
                </c:pt>
                <c:pt idx="95">
                  <c:v>4.9385604617531165E-2</c:v>
                </c:pt>
                <c:pt idx="96">
                  <c:v>4.9385604617531165E-2</c:v>
                </c:pt>
                <c:pt idx="97">
                  <c:v>4.9385604617531165E-2</c:v>
                </c:pt>
                <c:pt idx="98">
                  <c:v>4.9385604617530277E-2</c:v>
                </c:pt>
                <c:pt idx="99">
                  <c:v>4.9385604617530277E-2</c:v>
                </c:pt>
                <c:pt idx="100">
                  <c:v>4.9385604617531165E-2</c:v>
                </c:pt>
                <c:pt idx="101">
                  <c:v>4.9385604617531165E-2</c:v>
                </c:pt>
                <c:pt idx="102">
                  <c:v>4.9385604617530277E-2</c:v>
                </c:pt>
                <c:pt idx="103">
                  <c:v>4.9385604617531165E-2</c:v>
                </c:pt>
                <c:pt idx="104">
                  <c:v>4.9385604617531165E-2</c:v>
                </c:pt>
                <c:pt idx="105">
                  <c:v>4.9385604617531165E-2</c:v>
                </c:pt>
                <c:pt idx="106">
                  <c:v>4.9385604617531165E-2</c:v>
                </c:pt>
                <c:pt idx="107">
                  <c:v>4.9385604617530277E-2</c:v>
                </c:pt>
                <c:pt idx="108">
                  <c:v>4.9385604617531165E-2</c:v>
                </c:pt>
                <c:pt idx="109">
                  <c:v>4.9385604617531165E-2</c:v>
                </c:pt>
                <c:pt idx="110">
                  <c:v>4.9385604617531165E-2</c:v>
                </c:pt>
                <c:pt idx="111">
                  <c:v>4.9385604617531165E-2</c:v>
                </c:pt>
                <c:pt idx="112">
                  <c:v>4.9385604617530277E-2</c:v>
                </c:pt>
                <c:pt idx="113">
                  <c:v>4.9385604617531165E-2</c:v>
                </c:pt>
                <c:pt idx="114">
                  <c:v>4.9385604617531165E-2</c:v>
                </c:pt>
                <c:pt idx="115">
                  <c:v>4.9385604617530277E-2</c:v>
                </c:pt>
                <c:pt idx="116">
                  <c:v>4.9385604617530277E-2</c:v>
                </c:pt>
                <c:pt idx="117">
                  <c:v>4.9385604617531165E-2</c:v>
                </c:pt>
                <c:pt idx="118">
                  <c:v>4.9385604617531165E-2</c:v>
                </c:pt>
                <c:pt idx="119">
                  <c:v>4.9385604617531165E-2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03-BD4F-B1E2-419431C74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46815"/>
        <c:axId val="213347711"/>
      </c:lineChart>
      <c:lineChart>
        <c:grouping val="standard"/>
        <c:varyColors val="0"/>
        <c:ser>
          <c:idx val="0"/>
          <c:order val="0"/>
          <c:tx>
            <c:strRef>
              <c:f>data_treasury!$G$89</c:f>
              <c:strCache>
                <c:ptCount val="1"/>
                <c:pt idx="0">
                  <c:v>Discount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data_treasury!$G$90:$G$209</c:f>
              <c:numCache>
                <c:formatCode>0.000000_);[Red]\(0.000000\)</c:formatCode>
                <c:ptCount val="120"/>
                <c:pt idx="0">
                  <c:v>0.99087639662191229</c:v>
                </c:pt>
                <c:pt idx="1">
                  <c:v>0.98227002603015579</c:v>
                </c:pt>
                <c:pt idx="2">
                  <c:v>0.97390930408271614</c:v>
                </c:pt>
                <c:pt idx="3">
                  <c:v>0.9656197455319292</c:v>
                </c:pt>
                <c:pt idx="4">
                  <c:v>0.95687427920538104</c:v>
                </c:pt>
                <c:pt idx="5">
                  <c:v>0.94820801919335018</c:v>
                </c:pt>
                <c:pt idx="6">
                  <c:v>0.93962024813669032</c:v>
                </c:pt>
                <c:pt idx="7">
                  <c:v>0.93111025517326396</c:v>
                </c:pt>
                <c:pt idx="8">
                  <c:v>0.92234807306108957</c:v>
                </c:pt>
                <c:pt idx="9">
                  <c:v>0.91366834717248313</c:v>
                </c:pt>
                <c:pt idx="10">
                  <c:v>0.90507030155589296</c:v>
                </c:pt>
                <c:pt idx="11">
                  <c:v>0.89655316756183379</c:v>
                </c:pt>
                <c:pt idx="12">
                  <c:v>0.88745645400764417</c:v>
                </c:pt>
                <c:pt idx="13">
                  <c:v>0.87845203860205401</c:v>
                </c:pt>
                <c:pt idx="14">
                  <c:v>0.86953898485869563</c:v>
                </c:pt>
                <c:pt idx="15">
                  <c:v>0.86071636579308963</c:v>
                </c:pt>
                <c:pt idx="16">
                  <c:v>0.85198326382623624</c:v>
                </c:pt>
                <c:pt idx="17">
                  <c:v>0.84333877068918384</c:v>
                </c:pt>
                <c:pt idx="18">
                  <c:v>0.83478198732856634</c:v>
                </c:pt>
                <c:pt idx="19">
                  <c:v>0.82631202381309932</c:v>
                </c:pt>
                <c:pt idx="20">
                  <c:v>0.81700995587610103</c:v>
                </c:pt>
                <c:pt idx="21">
                  <c:v>0.80781260439657998</c:v>
                </c:pt>
                <c:pt idx="22">
                  <c:v>0.79871879054671624</c:v>
                </c:pt>
                <c:pt idx="23">
                  <c:v>0.78972734876914485</c:v>
                </c:pt>
                <c:pt idx="24">
                  <c:v>0.78083712662756588</c:v>
                </c:pt>
                <c:pt idx="25">
                  <c:v>0.77204698465903632</c:v>
                </c:pt>
                <c:pt idx="26">
                  <c:v>0.76335579622792449</c:v>
                </c:pt>
                <c:pt idx="27">
                  <c:v>0.75476244738150899</c:v>
                </c:pt>
                <c:pt idx="28">
                  <c:v>0.74576815188324708</c:v>
                </c:pt>
                <c:pt idx="29">
                  <c:v>0.73688103891876211</c:v>
                </c:pt>
                <c:pt idx="30">
                  <c:v>0.72809983122342026</c:v>
                </c:pt>
                <c:pt idx="31">
                  <c:v>0.71942326675339718</c:v>
                </c:pt>
                <c:pt idx="32">
                  <c:v>0.71085009850429615</c:v>
                </c:pt>
                <c:pt idx="33">
                  <c:v>0.70237909433192713</c:v>
                </c:pt>
                <c:pt idx="34">
                  <c:v>0.69400903677522185</c:v>
                </c:pt>
                <c:pt idx="35">
                  <c:v>0.68573872288125926</c:v>
                </c:pt>
                <c:pt idx="36">
                  <c:v>0.67756696403237582</c:v>
                </c:pt>
                <c:pt idx="37">
                  <c:v>0.66949258577533599</c:v>
                </c:pt>
                <c:pt idx="38">
                  <c:v>0.66151442765253909</c:v>
                </c:pt>
                <c:pt idx="39">
                  <c:v>0.65363134303523696</c:v>
                </c:pt>
                <c:pt idx="40">
                  <c:v>0.64455289154883266</c:v>
                </c:pt>
                <c:pt idx="41">
                  <c:v>0.63560053297744712</c:v>
                </c:pt>
                <c:pt idx="42">
                  <c:v>0.62677251598460615</c:v>
                </c:pt>
                <c:pt idx="43">
                  <c:v>0.61806711355859201</c:v>
                </c:pt>
                <c:pt idx="44">
                  <c:v>0.60948262267459041</c:v>
                </c:pt>
                <c:pt idx="45">
                  <c:v>0.60101736396153105</c:v>
                </c:pt>
                <c:pt idx="46">
                  <c:v>0.59266968137355391</c:v>
                </c:pt>
                <c:pt idx="47">
                  <c:v>0.58443794186603992</c:v>
                </c:pt>
                <c:pt idx="48">
                  <c:v>0.57632053507614123</c:v>
                </c:pt>
                <c:pt idx="49">
                  <c:v>0.56831587300774766</c:v>
                </c:pt>
                <c:pt idx="50">
                  <c:v>0.56042238972082969</c:v>
                </c:pt>
                <c:pt idx="51">
                  <c:v>0.55263854102509624</c:v>
                </c:pt>
                <c:pt idx="52">
                  <c:v>0.54496280417790655</c:v>
                </c:pt>
                <c:pt idx="53">
                  <c:v>0.53739367758637879</c:v>
                </c:pt>
                <c:pt idx="54">
                  <c:v>0.52992968051363532</c:v>
                </c:pt>
                <c:pt idx="55">
                  <c:v>0.52256935278912864</c:v>
                </c:pt>
                <c:pt idx="56">
                  <c:v>0.5153112545229902</c:v>
                </c:pt>
                <c:pt idx="57">
                  <c:v>0.50815396582434691</c:v>
                </c:pt>
                <c:pt idx="58">
                  <c:v>0.5010960865235502</c:v>
                </c:pt>
                <c:pt idx="59">
                  <c:v>0.494136235898263</c:v>
                </c:pt>
                <c:pt idx="60">
                  <c:v>0.48727305240335061</c:v>
                </c:pt>
                <c:pt idx="61">
                  <c:v>0.48050519340452424</c:v>
                </c:pt>
                <c:pt idx="62">
                  <c:v>0.47383133491568313</c:v>
                </c:pt>
                <c:pt idx="63">
                  <c:v>0.46725017133990532</c:v>
                </c:pt>
                <c:pt idx="64">
                  <c:v>0.46076041521403549</c:v>
                </c:pt>
                <c:pt idx="65">
                  <c:v>0.45436079695682074</c:v>
                </c:pt>
                <c:pt idx="66">
                  <c:v>0.44805006462054392</c:v>
                </c:pt>
                <c:pt idx="67">
                  <c:v>0.44182698364610745</c:v>
                </c:pt>
                <c:pt idx="68">
                  <c:v>0.43569033662151807</c:v>
                </c:pt>
                <c:pt idx="69">
                  <c:v>0.42963892304372636</c:v>
                </c:pt>
                <c:pt idx="70">
                  <c:v>0.42367155908377435</c:v>
                </c:pt>
                <c:pt idx="71">
                  <c:v>0.41778707735520459</c:v>
                </c:pt>
                <c:pt idx="72">
                  <c:v>0.41198432668568624</c:v>
                </c:pt>
                <c:pt idx="73">
                  <c:v>0.40626217189181291</c:v>
                </c:pt>
                <c:pt idx="74">
                  <c:v>0.40061949355702836</c:v>
                </c:pt>
                <c:pt idx="75">
                  <c:v>0.39505518781263677</c:v>
                </c:pt>
                <c:pt idx="76">
                  <c:v>0.38956816612185463</c:v>
                </c:pt>
                <c:pt idx="77">
                  <c:v>0.38415735506686199</c:v>
                </c:pt>
                <c:pt idx="78">
                  <c:v>0.378821696138811</c:v>
                </c:pt>
                <c:pt idx="79">
                  <c:v>0.37356014553075173</c:v>
                </c:pt>
                <c:pt idx="80">
                  <c:v>0.36897637686864693</c:v>
                </c:pt>
                <c:pt idx="81">
                  <c:v>0.36444885332636845</c:v>
                </c:pt>
                <c:pt idx="82">
                  <c:v>0.3599768847483395</c:v>
                </c:pt>
                <c:pt idx="83">
                  <c:v>0.35555978944753541</c:v>
                </c:pt>
                <c:pt idx="84">
                  <c:v>0.35119689410157023</c:v>
                </c:pt>
                <c:pt idx="85">
                  <c:v>0.3468875336500582</c:v>
                </c:pt>
                <c:pt idx="86">
                  <c:v>0.342631051193235</c:v>
                </c:pt>
                <c:pt idx="87">
                  <c:v>0.33842679789182306</c:v>
                </c:pt>
                <c:pt idx="88">
                  <c:v>0.3342741328681253</c:v>
                </c:pt>
                <c:pt idx="89">
                  <c:v>0.33017242310833228</c:v>
                </c:pt>
                <c:pt idx="90">
                  <c:v>0.32612104336602893</c:v>
                </c:pt>
                <c:pt idx="91">
                  <c:v>0.32211937606688434</c:v>
                </c:pt>
                <c:pt idx="92">
                  <c:v>0.31816681121451146</c:v>
                </c:pt>
                <c:pt idx="93">
                  <c:v>0.31426274629748235</c:v>
                </c:pt>
                <c:pt idx="94">
                  <c:v>0.31040658619748362</c:v>
                </c:pt>
                <c:pt idx="95">
                  <c:v>0.30659774309859944</c:v>
                </c:pt>
                <c:pt idx="96">
                  <c:v>0.30283563639770744</c:v>
                </c:pt>
                <c:pt idx="97">
                  <c:v>0.29911969261597415</c:v>
                </c:pt>
                <c:pt idx="98">
                  <c:v>0.29544934531143646</c:v>
                </c:pt>
                <c:pt idx="99">
                  <c:v>0.29182403499265558</c:v>
                </c:pt>
                <c:pt idx="100">
                  <c:v>0.28824320903343076</c:v>
                </c:pt>
                <c:pt idx="101">
                  <c:v>0.28470632158855957</c:v>
                </c:pt>
                <c:pt idx="102">
                  <c:v>0.28121283351063148</c:v>
                </c:pt>
                <c:pt idx="103">
                  <c:v>0.27776221226784259</c:v>
                </c:pt>
                <c:pt idx="104">
                  <c:v>0.27435393186281892</c:v>
                </c:pt>
                <c:pt idx="105">
                  <c:v>0.27098747275243584</c:v>
                </c:pt>
                <c:pt idx="106">
                  <c:v>0.26766232176862098</c:v>
                </c:pt>
                <c:pt idx="107">
                  <c:v>0.26437797204012936</c:v>
                </c:pt>
                <c:pt idx="108">
                  <c:v>0.26113392291527804</c:v>
                </c:pt>
                <c:pt idx="109">
                  <c:v>0.25792967988562915</c:v>
                </c:pt>
                <c:pt idx="110">
                  <c:v>0.25476475451060904</c:v>
                </c:pt>
                <c:pt idx="111">
                  <c:v>0.25163866434305276</c:v>
                </c:pt>
                <c:pt idx="112">
                  <c:v>0.24855093285566202</c:v>
                </c:pt>
                <c:pt idx="113">
                  <c:v>0.24550108936836496</c:v>
                </c:pt>
                <c:pt idx="114">
                  <c:v>0.24248866897656846</c:v>
                </c:pt>
                <c:pt idx="115">
                  <c:v>0.23951321248028978</c:v>
                </c:pt>
                <c:pt idx="116">
                  <c:v>0.23657426631415812</c:v>
                </c:pt>
                <c:pt idx="117">
                  <c:v>0.23367138247827524</c:v>
                </c:pt>
                <c:pt idx="118">
                  <c:v>0.23080411846992438</c:v>
                </c:pt>
                <c:pt idx="119">
                  <c:v>0.22797203721611708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03-BD4F-B1E2-419431C74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152063"/>
        <c:axId val="225164607"/>
      </c:lineChart>
      <c:catAx>
        <c:axId val="21334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13347711"/>
        <c:crosses val="autoZero"/>
        <c:auto val="1"/>
        <c:lblAlgn val="ctr"/>
        <c:lblOffset val="100"/>
        <c:noMultiLvlLbl val="0"/>
      </c:catAx>
      <c:valAx>
        <c:axId val="213347711"/>
        <c:scaling>
          <c:orientation val="minMax"/>
          <c:min val="3.4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13346815"/>
        <c:crosses val="autoZero"/>
        <c:crossBetween val="between"/>
      </c:valAx>
      <c:valAx>
        <c:axId val="225164607"/>
        <c:scaling>
          <c:orientation val="minMax"/>
          <c:max val="1"/>
          <c:min val="0.6"/>
        </c:scaling>
        <c:delete val="0"/>
        <c:axPos val="r"/>
        <c:numFmt formatCode="0.000000_);[Red]\(0.0000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25152063"/>
        <c:crosses val="max"/>
        <c:crossBetween val="between"/>
      </c:valAx>
      <c:catAx>
        <c:axId val="225152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5164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628650</xdr:colOff>
      <xdr:row>92</xdr:row>
      <xdr:rowOff>247650</xdr:rowOff>
    </xdr:from>
    <xdr:to>
      <xdr:col>20</xdr:col>
      <xdr:colOff>939800</xdr:colOff>
      <xdr:row>121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35DC49F-1394-A74C-B6EE-9B874DCD2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C635-7428-CC45-8FC1-6CDE05B00D0C}">
  <dimension ref="A2:M209"/>
  <sheetViews>
    <sheetView zoomScale="87" zoomScaleNormal="100" workbookViewId="0">
      <selection activeCell="H5" sqref="H5"/>
    </sheetView>
  </sheetViews>
  <sheetFormatPr defaultColWidth="15.69140625" defaultRowHeight="20" customHeight="1" x14ac:dyDescent="0.45"/>
  <cols>
    <col min="1" max="1" width="3.69140625" style="6" customWidth="1"/>
    <col min="2" max="5" width="3.69140625" style="5" customWidth="1"/>
    <col min="6" max="6" width="15.69140625" style="2"/>
    <col min="7" max="7" width="15.69140625" style="3" customWidth="1"/>
    <col min="8" max="8" width="15.69140625" style="7" customWidth="1"/>
    <col min="9" max="9" width="28.53515625" style="2" bestFit="1" customWidth="1"/>
    <col min="10" max="11" width="28.53515625" style="2" customWidth="1"/>
    <col min="12" max="12" width="15.69140625" style="2" customWidth="1"/>
    <col min="13" max="16384" width="15.69140625" style="2"/>
  </cols>
  <sheetData>
    <row r="2" spans="1:11" ht="20" customHeight="1" x14ac:dyDescent="0.45">
      <c r="A2" s="6" t="s">
        <v>3</v>
      </c>
      <c r="B2" s="5" t="s">
        <v>5</v>
      </c>
    </row>
    <row r="3" spans="1:11" ht="20" customHeight="1" x14ac:dyDescent="0.45">
      <c r="C3" s="5" t="s">
        <v>6</v>
      </c>
    </row>
    <row r="4" spans="1:11" ht="20" customHeight="1" x14ac:dyDescent="0.45">
      <c r="F4" s="2" t="s">
        <v>7</v>
      </c>
      <c r="G4" s="3" t="s">
        <v>0</v>
      </c>
      <c r="H4" s="7" t="s">
        <v>8</v>
      </c>
      <c r="I4" s="8" t="s">
        <v>9</v>
      </c>
      <c r="J4" s="9" t="s">
        <v>1</v>
      </c>
      <c r="K4" s="25" t="s">
        <v>114</v>
      </c>
    </row>
    <row r="5" spans="1:11" ht="20" customHeight="1" x14ac:dyDescent="0.45">
      <c r="F5" s="2" t="s">
        <v>10</v>
      </c>
      <c r="G5" s="3">
        <f>1/12</f>
        <v>8.3333333333333329E-2</v>
      </c>
      <c r="H5" s="7">
        <f xml:space="preserve"> K5 + (analysis!$B$2 / 10000)</f>
        <v>3.78E-2</v>
      </c>
      <c r="K5" s="26">
        <v>3.78E-2</v>
      </c>
    </row>
    <row r="6" spans="1:11" ht="20" customHeight="1" x14ac:dyDescent="0.45">
      <c r="F6" s="2" t="s">
        <v>11</v>
      </c>
      <c r="G6" s="3">
        <f>1.5/12</f>
        <v>0.125</v>
      </c>
      <c r="H6" s="7">
        <f xml:space="preserve"> K6 + (analysis!$B$2 / 10000)</f>
        <v>3.7100000000000001E-2</v>
      </c>
      <c r="K6" s="26">
        <v>3.7100000000000001E-2</v>
      </c>
    </row>
    <row r="7" spans="1:11" ht="20" customHeight="1" x14ac:dyDescent="0.45">
      <c r="F7" s="2" t="s">
        <v>12</v>
      </c>
      <c r="G7" s="3">
        <f>2/12</f>
        <v>0.16666666666666666</v>
      </c>
      <c r="H7" s="7">
        <f xml:space="preserve"> K7 + (analysis!$B$2 / 10000)</f>
        <v>3.7199999999999997E-2</v>
      </c>
      <c r="K7" s="26">
        <v>3.7199999999999997E-2</v>
      </c>
    </row>
    <row r="8" spans="1:11" ht="20" customHeight="1" x14ac:dyDescent="0.45">
      <c r="F8" s="2" t="s">
        <v>13</v>
      </c>
      <c r="G8" s="3">
        <f>3/12</f>
        <v>0.25</v>
      </c>
      <c r="H8" s="7">
        <f xml:space="preserve"> K8 + (analysis!$B$2 / 10000)</f>
        <v>3.6999999999999998E-2</v>
      </c>
      <c r="K8" s="26">
        <v>3.6999999999999998E-2</v>
      </c>
    </row>
    <row r="9" spans="1:11" ht="20" customHeight="1" x14ac:dyDescent="0.45">
      <c r="F9" s="2" t="s">
        <v>14</v>
      </c>
      <c r="G9" s="3">
        <f>4/12</f>
        <v>0.33333333333333331</v>
      </c>
      <c r="H9" s="7">
        <f xml:space="preserve"> K9 + (analysis!$B$2 / 10000)</f>
        <v>3.6700000000000003E-2</v>
      </c>
      <c r="K9" s="26">
        <v>3.6700000000000003E-2</v>
      </c>
    </row>
    <row r="10" spans="1:11" ht="20" customHeight="1" x14ac:dyDescent="0.45">
      <c r="F10" s="2" t="s">
        <v>15</v>
      </c>
      <c r="G10" s="3">
        <f>6/12</f>
        <v>0.5</v>
      </c>
      <c r="H10" s="7">
        <f xml:space="preserve"> K10 + (analysis!$B$2 / 10000)</f>
        <v>3.61E-2</v>
      </c>
      <c r="K10" s="26">
        <v>3.61E-2</v>
      </c>
    </row>
    <row r="11" spans="1:11" ht="20" customHeight="1" x14ac:dyDescent="0.45">
      <c r="F11" s="2" t="s">
        <v>16</v>
      </c>
      <c r="G11" s="3">
        <v>1</v>
      </c>
      <c r="H11" s="7">
        <f xml:space="preserve"> K11 + (analysis!$B$2 / 10000)</f>
        <v>3.5299999999999998E-2</v>
      </c>
      <c r="K11" s="26">
        <v>3.5299999999999998E-2</v>
      </c>
    </row>
    <row r="12" spans="1:11" ht="20" customHeight="1" x14ac:dyDescent="0.45">
      <c r="F12" s="2" t="s">
        <v>17</v>
      </c>
      <c r="G12" s="3">
        <v>2</v>
      </c>
      <c r="H12" s="7">
        <f xml:space="preserve"> K12 + (analysis!$B$2 / 10000)</f>
        <v>3.5999999999999997E-2</v>
      </c>
      <c r="K12" s="26">
        <v>3.5999999999999997E-2</v>
      </c>
    </row>
    <row r="13" spans="1:11" ht="20" customHeight="1" x14ac:dyDescent="0.45">
      <c r="F13" s="2" t="s">
        <v>18</v>
      </c>
      <c r="G13" s="3">
        <v>3</v>
      </c>
      <c r="H13" s="7">
        <f xml:space="preserve"> K13 + (analysis!$B$2 / 10000)</f>
        <v>3.6700000000000003E-2</v>
      </c>
      <c r="K13" s="26">
        <v>3.6700000000000003E-2</v>
      </c>
    </row>
    <row r="14" spans="1:11" ht="20" customHeight="1" x14ac:dyDescent="0.45">
      <c r="F14" s="2" t="s">
        <v>19</v>
      </c>
      <c r="G14" s="3">
        <v>5</v>
      </c>
      <c r="H14" s="7">
        <f xml:space="preserve"> K14 + (analysis!$B$2 / 10000)</f>
        <v>3.8399999999999997E-2</v>
      </c>
      <c r="K14" s="26">
        <v>3.8399999999999997E-2</v>
      </c>
    </row>
    <row r="15" spans="1:11" ht="20" customHeight="1" x14ac:dyDescent="0.45">
      <c r="F15" s="2" t="s">
        <v>20</v>
      </c>
      <c r="G15" s="3">
        <v>7</v>
      </c>
      <c r="H15" s="7">
        <f xml:space="preserve"> K15 + (analysis!$B$2 / 10000)</f>
        <v>4.0300000000000002E-2</v>
      </c>
      <c r="K15" s="26">
        <v>4.0300000000000002E-2</v>
      </c>
    </row>
    <row r="16" spans="1:11" ht="20" customHeight="1" x14ac:dyDescent="0.45">
      <c r="F16" s="2" t="s">
        <v>21</v>
      </c>
      <c r="G16" s="3">
        <v>10</v>
      </c>
      <c r="H16" s="7">
        <f xml:space="preserve"> K16 + (analysis!$B$2 / 10000)</f>
        <v>4.24E-2</v>
      </c>
      <c r="K16" s="26">
        <v>4.24E-2</v>
      </c>
    </row>
    <row r="17" spans="1:13" ht="20" customHeight="1" x14ac:dyDescent="0.45">
      <c r="F17" s="2" t="s">
        <v>22</v>
      </c>
      <c r="G17" s="3">
        <v>20</v>
      </c>
      <c r="H17" s="7">
        <f xml:space="preserve"> K17 + (analysis!$B$2 / 10000)</f>
        <v>4.7800000000000002E-2</v>
      </c>
      <c r="K17" s="26">
        <v>4.7800000000000002E-2</v>
      </c>
    </row>
    <row r="18" spans="1:13" ht="20" customHeight="1" x14ac:dyDescent="0.45">
      <c r="F18" s="2" t="s">
        <v>23</v>
      </c>
      <c r="G18" s="3">
        <v>30</v>
      </c>
      <c r="H18" s="7">
        <f xml:space="preserve"> K18 + (analysis!$B$2 / 10000)</f>
        <v>4.82E-2</v>
      </c>
      <c r="K18" s="26">
        <v>4.82E-2</v>
      </c>
    </row>
    <row r="21" spans="1:13" ht="20" customHeight="1" x14ac:dyDescent="0.45">
      <c r="A21" s="6" t="s">
        <v>3</v>
      </c>
      <c r="B21" s="5" t="s">
        <v>24</v>
      </c>
    </row>
    <row r="22" spans="1:13" s="5" customFormat="1" ht="20" customHeight="1" x14ac:dyDescent="0.45">
      <c r="A22" s="6"/>
      <c r="F22" s="5" t="s">
        <v>25</v>
      </c>
      <c r="G22" s="10" t="s">
        <v>26</v>
      </c>
      <c r="H22" s="11" t="s">
        <v>27</v>
      </c>
      <c r="I22" s="9" t="s">
        <v>28</v>
      </c>
      <c r="J22" s="9" t="s">
        <v>29</v>
      </c>
      <c r="K22" s="9" t="s">
        <v>2</v>
      </c>
      <c r="L22" s="5" t="s">
        <v>30</v>
      </c>
      <c r="M22" s="5" t="s">
        <v>4</v>
      </c>
    </row>
    <row r="23" spans="1:13" ht="20" customHeight="1" x14ac:dyDescent="0.45">
      <c r="F23" s="2">
        <v>0.5</v>
      </c>
      <c r="G23" s="4">
        <f>1/(1+VLOOKUP(F23,$G$5:$H$18,2,0)*F23)</f>
        <v>0.98227002603015579</v>
      </c>
      <c r="H23" s="7">
        <f>_xlfn.XLOOKUP(F23,$G$5:$G$18,$H$5:$H$18,"",0)</f>
        <v>3.61E-2</v>
      </c>
      <c r="I23" s="7">
        <f t="shared" ref="I23:I82" si="0">-LN(G23)/F23</f>
        <v>3.5778065671479814E-2</v>
      </c>
      <c r="J23" s="7">
        <f t="shared" ref="J23:J82" si="1">2*(G23^(-1/(2*F23))-1)</f>
        <v>3.6099999999999799E-2</v>
      </c>
      <c r="K23" s="7">
        <f>I23</f>
        <v>3.5778065671479814E-2</v>
      </c>
    </row>
    <row r="24" spans="1:13" ht="20" customHeight="1" x14ac:dyDescent="0.45">
      <c r="F24" s="2">
        <v>1</v>
      </c>
      <c r="G24" s="4">
        <v>0.9656197455319292</v>
      </c>
      <c r="H24" s="7">
        <f>_xlfn.XLOOKUP(F24,$G$5:$G$18,$H$5:$H$18,"",0)</f>
        <v>3.5299999999999998E-2</v>
      </c>
      <c r="I24" s="7">
        <f t="shared" si="0"/>
        <v>3.498516043116412E-2</v>
      </c>
      <c r="J24" s="7">
        <f t="shared" si="1"/>
        <v>3.5292942810635886E-2</v>
      </c>
      <c r="K24" s="7">
        <f>(I24*F24-I23*F23)/(F24-F23)</f>
        <v>3.4192255190848425E-2</v>
      </c>
      <c r="L24" s="12">
        <f>100*H24/2*SUM($G$23:G24)+100*G24</f>
        <v>100</v>
      </c>
      <c r="M24" s="2">
        <f t="shared" ref="M24:M42" si="2">L24-100</f>
        <v>0</v>
      </c>
    </row>
    <row r="25" spans="1:13" ht="20" customHeight="1" x14ac:dyDescent="0.45">
      <c r="F25" s="2">
        <v>1.5</v>
      </c>
      <c r="G25" s="4">
        <f>EXP((F26-F25)/(F26-F24)*LN(G24)+(F25-F24)/(F26-F24)*LN(G26))</f>
        <v>0.94820801919335018</v>
      </c>
      <c r="H25" s="7">
        <f>AVERAGE(H24,H26)</f>
        <v>3.5650000000000001E-2</v>
      </c>
      <c r="I25" s="7">
        <f t="shared" si="0"/>
        <v>3.5454247512935126E-2</v>
      </c>
      <c r="J25" s="7">
        <f t="shared" si="1"/>
        <v>3.5770363609975764E-2</v>
      </c>
      <c r="K25" s="7">
        <f t="shared" ref="K25:K82" si="3">(I25*F25-I24*F24)/(F25-F24)</f>
        <v>3.6392421676477132E-2</v>
      </c>
    </row>
    <row r="26" spans="1:13" ht="20" customHeight="1" x14ac:dyDescent="0.45">
      <c r="F26" s="2">
        <v>2</v>
      </c>
      <c r="G26" s="4">
        <v>0.93111025517326396</v>
      </c>
      <c r="H26" s="7">
        <f>_xlfn.XLOOKUP(F26,$G$5:$G$18,$H$5:$H$18,"",0)</f>
        <v>3.5999999999999997E-2</v>
      </c>
      <c r="I26" s="7">
        <f t="shared" si="0"/>
        <v>3.5688791053820605E-2</v>
      </c>
      <c r="J26" s="7">
        <f t="shared" si="1"/>
        <v>3.600911600391532E-2</v>
      </c>
      <c r="K26" s="7">
        <f t="shared" si="3"/>
        <v>3.6392421676477049E-2</v>
      </c>
      <c r="L26" s="12">
        <f>100*H26/2*SUM($G$23:G26)+100*G26</f>
        <v>99.999999999998053</v>
      </c>
      <c r="M26" s="2">
        <f t="shared" si="2"/>
        <v>-1.9468870959826745E-12</v>
      </c>
    </row>
    <row r="27" spans="1:13" ht="20" customHeight="1" x14ac:dyDescent="0.45">
      <c r="F27" s="2">
        <v>2.5</v>
      </c>
      <c r="G27" s="4">
        <f>EXP((F28-F27)/(F28-F26)*LN(G26)+(F27-F26)/(F28-F26)*LN(G28))</f>
        <v>0.91366834717248313</v>
      </c>
      <c r="H27" s="7">
        <f>AVERAGE(H28,H26)</f>
        <v>3.635E-2</v>
      </c>
      <c r="I27" s="7">
        <f t="shared" si="0"/>
        <v>3.6115052820222912E-2</v>
      </c>
      <c r="J27" s="7">
        <f t="shared" si="1"/>
        <v>3.6443098670926766E-2</v>
      </c>
      <c r="K27" s="7">
        <f t="shared" si="3"/>
        <v>3.7820099885832154E-2</v>
      </c>
    </row>
    <row r="28" spans="1:13" ht="20" customHeight="1" x14ac:dyDescent="0.45">
      <c r="F28" s="2">
        <v>3</v>
      </c>
      <c r="G28" s="4">
        <v>0.89655316756183379</v>
      </c>
      <c r="H28" s="7">
        <f>_xlfn.XLOOKUP(F28,$G$5:$G$18,$H$5:$H$18,"",0)</f>
        <v>3.6700000000000003E-2</v>
      </c>
      <c r="I28" s="7">
        <f t="shared" si="0"/>
        <v>3.6399227331157795E-2</v>
      </c>
      <c r="J28" s="7">
        <f t="shared" si="1"/>
        <v>3.6732471839365122E-2</v>
      </c>
      <c r="K28" s="7">
        <f t="shared" si="3"/>
        <v>3.7820099885832181E-2</v>
      </c>
      <c r="L28" s="12">
        <f>100*H28/2*SUM($G$23:G28)+100*G28</f>
        <v>100.00000000000001</v>
      </c>
      <c r="M28" s="2">
        <f t="shared" si="2"/>
        <v>0</v>
      </c>
    </row>
    <row r="29" spans="1:13" ht="20" customHeight="1" x14ac:dyDescent="0.45">
      <c r="F29" s="2">
        <v>3.5</v>
      </c>
      <c r="G29" s="4">
        <f>EXP(($F$32-F29)/($F$32-$F$28)*LN($G$28)+(F29-$F$28)/($F$32-$F$28)*LN($G$32))</f>
        <v>0.87845203860205401</v>
      </c>
      <c r="H29" s="7">
        <f>($F$32-F29)/($F$32-$F$28)*$H$28+(F29-$F$28)/($F$32-$F$28)*$H$32</f>
        <v>3.7124999999999998E-2</v>
      </c>
      <c r="I29" s="7">
        <f t="shared" si="0"/>
        <v>3.7026847855131613E-2</v>
      </c>
      <c r="J29" s="7">
        <f t="shared" si="1"/>
        <v>3.7371719685971527E-2</v>
      </c>
      <c r="K29" s="7">
        <f t="shared" si="3"/>
        <v>4.0792570998974542E-2</v>
      </c>
    </row>
    <row r="30" spans="1:13" ht="20" customHeight="1" x14ac:dyDescent="0.45">
      <c r="F30" s="2">
        <v>4</v>
      </c>
      <c r="G30" s="4">
        <f>EXP(($F$32-F30)/($F$32-$F$28)*LN($G$28)+(F30-$F$28)/($F$32-$F$28)*LN($G$32))</f>
        <v>0.86071636579308963</v>
      </c>
      <c r="H30" s="7">
        <f t="shared" ref="H30:H31" si="4">($F$32-F30)/($F$32-$F$28)*$H$28+(F30-$F$28)/($F$32-$F$28)*$H$32</f>
        <v>3.755E-2</v>
      </c>
      <c r="I30" s="7">
        <f t="shared" si="0"/>
        <v>3.7497563248112001E-2</v>
      </c>
      <c r="J30" s="7">
        <f t="shared" si="1"/>
        <v>3.7851287233554132E-2</v>
      </c>
      <c r="K30" s="7">
        <f t="shared" si="3"/>
        <v>4.0792570998974709E-2</v>
      </c>
    </row>
    <row r="31" spans="1:13" ht="20" customHeight="1" x14ac:dyDescent="0.45">
      <c r="F31" s="2">
        <v>4.5</v>
      </c>
      <c r="G31" s="4">
        <f>EXP(($F$32-F31)/($F$32-$F$28)*LN($G$28)+(F31-$F$28)/($F$32-$F$28)*LN($G$32))</f>
        <v>0.84333877068918384</v>
      </c>
      <c r="H31" s="7">
        <f t="shared" si="4"/>
        <v>3.7975000000000002E-2</v>
      </c>
      <c r="I31" s="7">
        <f t="shared" si="0"/>
        <v>3.7863675220430076E-2</v>
      </c>
      <c r="J31" s="7">
        <f t="shared" si="1"/>
        <v>3.8224362256350286E-2</v>
      </c>
      <c r="K31" s="7">
        <f t="shared" si="3"/>
        <v>4.0792570998974709E-2</v>
      </c>
    </row>
    <row r="32" spans="1:13" ht="20" customHeight="1" x14ac:dyDescent="0.45">
      <c r="F32" s="2">
        <v>5</v>
      </c>
      <c r="G32" s="4">
        <v>0.82631202381309932</v>
      </c>
      <c r="H32" s="7">
        <f>_xlfn.XLOOKUP(F32,$G$5:$G$18,$H$5:$H$18,"",0)</f>
        <v>3.8399999999999997E-2</v>
      </c>
      <c r="I32" s="7">
        <f t="shared" si="0"/>
        <v>3.815656479828454E-2</v>
      </c>
      <c r="J32" s="7">
        <f t="shared" si="1"/>
        <v>3.8522871449891749E-2</v>
      </c>
      <c r="K32" s="7">
        <f t="shared" si="3"/>
        <v>4.0792570998974709E-2</v>
      </c>
      <c r="L32" s="12">
        <f>100*H32/2*SUM($G$23:G32)+100*G32</f>
        <v>99.999999999665988</v>
      </c>
      <c r="M32" s="2">
        <f t="shared" si="2"/>
        <v>-3.340119292261079E-10</v>
      </c>
    </row>
    <row r="33" spans="6:13" ht="20" customHeight="1" x14ac:dyDescent="0.45">
      <c r="F33" s="2">
        <v>5.5</v>
      </c>
      <c r="G33" s="4">
        <f>EXP(($F$36-F33)/($F$36-$F$32)*LN($G$32)+(F33-$F$32)/($F$36-$F$32)*LN($G$36))</f>
        <v>0.80781260439657998</v>
      </c>
      <c r="H33" s="7">
        <f>($F$36-F33)/($F$36-$F$32)*$H$32+(F33-$F$32)/($F$36-$F$32)*$H$36</f>
        <v>3.8875E-2</v>
      </c>
      <c r="I33" s="7">
        <f t="shared" si="0"/>
        <v>3.8804576838476261E-2</v>
      </c>
      <c r="J33" s="7">
        <f t="shared" si="1"/>
        <v>3.9183472145866816E-2</v>
      </c>
      <c r="K33" s="7">
        <f t="shared" si="3"/>
        <v>4.5284697240393468E-2</v>
      </c>
    </row>
    <row r="34" spans="6:13" ht="20" customHeight="1" x14ac:dyDescent="0.45">
      <c r="F34" s="2">
        <v>6</v>
      </c>
      <c r="G34" s="4">
        <f>EXP(($F$36-F34)/($F$36-$F$32)*LN($G$32)+(F34-$F$32)/($F$36-$F$32)*LN($G$36))</f>
        <v>0.78972734876914485</v>
      </c>
      <c r="H34" s="7">
        <f t="shared" ref="H34:H35" si="5">($F$36-F34)/($F$36-$F$32)*$H$32+(F34-$F$32)/($F$36-$F$32)*$H$36</f>
        <v>3.9349999999999996E-2</v>
      </c>
      <c r="I34" s="7">
        <f t="shared" si="0"/>
        <v>3.9344586871969359E-2</v>
      </c>
      <c r="J34" s="7">
        <f t="shared" si="1"/>
        <v>3.9734136251103003E-2</v>
      </c>
      <c r="K34" s="7">
        <f t="shared" si="3"/>
        <v>4.5284697240393412E-2</v>
      </c>
    </row>
    <row r="35" spans="6:13" ht="20" customHeight="1" x14ac:dyDescent="0.45">
      <c r="F35" s="2">
        <v>6.5</v>
      </c>
      <c r="G35" s="4">
        <f>EXP(($F$36-F35)/($F$36-$F$32)*LN($G$32)+(F35-$F$32)/($F$36-$F$32)*LN($G$36))</f>
        <v>0.77204698465903632</v>
      </c>
      <c r="H35" s="7">
        <f t="shared" si="5"/>
        <v>3.9824999999999999E-2</v>
      </c>
      <c r="I35" s="7">
        <f t="shared" si="0"/>
        <v>3.9801518438771215E-2</v>
      </c>
      <c r="J35" s="7">
        <f t="shared" si="1"/>
        <v>4.0200198946132915E-2</v>
      </c>
      <c r="K35" s="7">
        <f t="shared" si="3"/>
        <v>4.5284697240393468E-2</v>
      </c>
    </row>
    <row r="36" spans="6:13" ht="20" customHeight="1" x14ac:dyDescent="0.45">
      <c r="F36" s="2">
        <v>7</v>
      </c>
      <c r="G36" s="4">
        <v>0.75476244738150899</v>
      </c>
      <c r="H36" s="7">
        <f>_xlfn.XLOOKUP(F36,$G$5:$G$18,$H$5:$H$18,"",0)</f>
        <v>4.0300000000000002E-2</v>
      </c>
      <c r="I36" s="7">
        <f t="shared" si="0"/>
        <v>4.0193174067458502E-2</v>
      </c>
      <c r="J36" s="7">
        <f t="shared" si="1"/>
        <v>4.0599766013812211E-2</v>
      </c>
      <c r="K36" s="7">
        <f t="shared" si="3"/>
        <v>4.5284697240393301E-2</v>
      </c>
      <c r="L36" s="12">
        <f>100*H36/2*SUM($G$23:G36)+100*G36</f>
        <v>99.999999999855817</v>
      </c>
      <c r="M36" s="2">
        <f t="shared" si="2"/>
        <v>-1.4418333194043953E-10</v>
      </c>
    </row>
    <row r="37" spans="6:13" ht="20" customHeight="1" x14ac:dyDescent="0.45">
      <c r="F37" s="2">
        <v>7.5</v>
      </c>
      <c r="G37" s="4">
        <f>EXP(($F$42-F37)/($F$42-$F$36)*LN($G$36)+(F37-$F$36)/($F$42-$F$36)*LN($G$42))</f>
        <v>0.73688103891876211</v>
      </c>
      <c r="H37" s="7">
        <f>($F$42-F37)/($F$42-$F$36)*$H$36+(F37-$F$36)/($F$42-$F$36)*$H$42</f>
        <v>4.0650000000000006E-2</v>
      </c>
      <c r="I37" s="7">
        <f t="shared" si="0"/>
        <v>4.0710508321930967E-2</v>
      </c>
      <c r="J37" s="7">
        <f t="shared" si="1"/>
        <v>4.1127670365933344E-2</v>
      </c>
      <c r="K37" s="7">
        <f t="shared" si="3"/>
        <v>4.795318788454539E-2</v>
      </c>
    </row>
    <row r="38" spans="6:13" ht="20" customHeight="1" x14ac:dyDescent="0.45">
      <c r="F38" s="2">
        <v>8</v>
      </c>
      <c r="G38" s="4">
        <f>EXP(($F$42-F38)/($F$42-$F$36)*LN($G$36)+(F38-$F$36)/($F$42-$F$36)*LN($G$42))</f>
        <v>0.71942326675339718</v>
      </c>
      <c r="H38" s="7">
        <f t="shared" ref="H38:H41" si="6">($F$42-F38)/($F$42-$F$36)*$H$36+(F38-$F$36)/($F$42-$F$36)*$H$42</f>
        <v>4.1000000000000002E-2</v>
      </c>
      <c r="I38" s="7">
        <f t="shared" si="0"/>
        <v>4.1163175794594352E-2</v>
      </c>
      <c r="J38" s="7">
        <f t="shared" si="1"/>
        <v>4.1589698702225064E-2</v>
      </c>
      <c r="K38" s="7">
        <f t="shared" si="3"/>
        <v>4.7953187884545168E-2</v>
      </c>
    </row>
    <row r="39" spans="6:13" ht="20" customHeight="1" x14ac:dyDescent="0.45">
      <c r="F39" s="2">
        <v>8.5</v>
      </c>
      <c r="G39" s="4">
        <f>EXP(($F$42-F39)/($F$42-$F$36)*LN($G$36)+(F39-$F$36)/($F$42-$F$36)*LN($G$42))</f>
        <v>0.70237909433192713</v>
      </c>
      <c r="H39" s="7">
        <f t="shared" si="6"/>
        <v>4.1349999999999998E-2</v>
      </c>
      <c r="I39" s="7">
        <f t="shared" si="0"/>
        <v>4.1562588270473814E-2</v>
      </c>
      <c r="J39" s="7">
        <f t="shared" si="1"/>
        <v>4.1997457615013278E-2</v>
      </c>
      <c r="K39" s="7">
        <f t="shared" si="3"/>
        <v>4.7953187884545168E-2</v>
      </c>
    </row>
    <row r="40" spans="6:13" ht="20" customHeight="1" x14ac:dyDescent="0.45">
      <c r="F40" s="2">
        <v>9</v>
      </c>
      <c r="G40" s="4">
        <f>EXP(($F$42-F40)/($F$42-$F$36)*LN($G$36)+(F40-$F$36)/($F$42-$F$36)*LN($G$42))</f>
        <v>0.68573872288125926</v>
      </c>
      <c r="H40" s="7">
        <f t="shared" si="6"/>
        <v>4.1700000000000001E-2</v>
      </c>
      <c r="I40" s="7">
        <f t="shared" si="0"/>
        <v>4.1917621582366692E-2</v>
      </c>
      <c r="J40" s="7">
        <f t="shared" si="1"/>
        <v>4.2359978350922312E-2</v>
      </c>
      <c r="K40" s="7">
        <f t="shared" si="3"/>
        <v>4.7953187884545612E-2</v>
      </c>
    </row>
    <row r="41" spans="6:13" ht="20" customHeight="1" x14ac:dyDescent="0.45">
      <c r="F41" s="2">
        <v>9.5</v>
      </c>
      <c r="G41" s="4">
        <f>EXP(($F$42-F41)/($F$42-$F$36)*LN($G$36)+(F41-$F$36)/($F$42-$F$36)*LN($G$42))</f>
        <v>0.66949258577533599</v>
      </c>
      <c r="H41" s="7">
        <f t="shared" si="6"/>
        <v>4.2050000000000004E-2</v>
      </c>
      <c r="I41" s="7">
        <f t="shared" si="0"/>
        <v>4.2235282966691878E-2</v>
      </c>
      <c r="J41" s="7">
        <f t="shared" si="1"/>
        <v>4.2684393562793854E-2</v>
      </c>
      <c r="K41" s="7">
        <f t="shared" si="3"/>
        <v>4.7953187884545279E-2</v>
      </c>
    </row>
    <row r="42" spans="6:13" ht="20" customHeight="1" x14ac:dyDescent="0.45">
      <c r="F42" s="2">
        <v>10</v>
      </c>
      <c r="G42" s="4">
        <v>0.65363134303523696</v>
      </c>
      <c r="H42" s="7">
        <f>_xlfn.XLOOKUP(F42,$G$5:$G$18,$H$5:$H$18,"",0)</f>
        <v>4.24E-2</v>
      </c>
      <c r="I42" s="7">
        <f t="shared" si="0"/>
        <v>4.252117821258454E-2</v>
      </c>
      <c r="J42" s="7">
        <f t="shared" si="1"/>
        <v>4.2976411312407148E-2</v>
      </c>
      <c r="K42" s="7">
        <f t="shared" si="3"/>
        <v>4.7953187884545168E-2</v>
      </c>
      <c r="L42" s="12">
        <f>100*H42/2*SUM($G$23:G42)+100*G42</f>
        <v>100.00000000002447</v>
      </c>
      <c r="M42" s="2">
        <f t="shared" si="2"/>
        <v>2.447109181957785E-11</v>
      </c>
    </row>
    <row r="43" spans="6:13" ht="20" customHeight="1" x14ac:dyDescent="0.45">
      <c r="F43" s="2">
        <v>10.5</v>
      </c>
      <c r="G43" s="4">
        <f>EXP(($F$62-F43)/($F$62-$F$42)*LN($G$42)+(F43-$F$42)/($F$62-$F$42)*LN($G$62))</f>
        <v>0.63560053297744712</v>
      </c>
      <c r="H43" s="7">
        <f>($F$62-F43)/($F$62-$F$42)*$H$42+(F43-$F$42)/($F$62-$F$42)*$H$62</f>
        <v>4.267E-2</v>
      </c>
      <c r="I43" s="7">
        <f t="shared" si="0"/>
        <v>4.3160476740732256E-2</v>
      </c>
      <c r="J43" s="7">
        <f t="shared" si="1"/>
        <v>4.3629551601148453E-2</v>
      </c>
      <c r="K43" s="7">
        <f t="shared" si="3"/>
        <v>5.5946447303686586E-2</v>
      </c>
      <c r="L43" s="12"/>
    </row>
    <row r="44" spans="6:13" ht="20" customHeight="1" x14ac:dyDescent="0.45">
      <c r="F44" s="2">
        <v>11</v>
      </c>
      <c r="G44" s="4">
        <f t="shared" ref="G44:G61" si="7">EXP(($F$62-F44)/($F$62-$F$42)*LN($G$42)+(F44-$F$42)/($F$62-$F$42)*LN($G$62))</f>
        <v>0.61806711355859201</v>
      </c>
      <c r="H44" s="7">
        <f t="shared" ref="H44:H61" si="8">($F$62-F44)/($F$62-$F$42)*$H$42+(F44-$F$42)/($F$62-$F$42)*$H$62</f>
        <v>4.2939999999999999E-2</v>
      </c>
      <c r="I44" s="7">
        <f t="shared" si="0"/>
        <v>4.3741657220866551E-2</v>
      </c>
      <c r="J44" s="7">
        <f t="shared" si="1"/>
        <v>4.4223496696301101E-2</v>
      </c>
      <c r="K44" s="7">
        <f t="shared" si="3"/>
        <v>5.5946447303686697E-2</v>
      </c>
      <c r="L44" s="12"/>
    </row>
    <row r="45" spans="6:13" ht="20" customHeight="1" x14ac:dyDescent="0.45">
      <c r="F45" s="2">
        <v>11.5</v>
      </c>
      <c r="G45" s="4">
        <f t="shared" si="7"/>
        <v>0.60101736396153105</v>
      </c>
      <c r="H45" s="7">
        <f t="shared" si="8"/>
        <v>4.3210000000000005E-2</v>
      </c>
      <c r="I45" s="7">
        <f t="shared" si="0"/>
        <v>4.4272300267945687E-2</v>
      </c>
      <c r="J45" s="7">
        <f t="shared" si="1"/>
        <v>4.4765945147342556E-2</v>
      </c>
      <c r="K45" s="7">
        <f t="shared" si="3"/>
        <v>5.5946447303686697E-2</v>
      </c>
      <c r="L45" s="12"/>
    </row>
    <row r="46" spans="6:13" ht="20" customHeight="1" x14ac:dyDescent="0.45">
      <c r="F46" s="2">
        <v>12</v>
      </c>
      <c r="G46" s="4">
        <f t="shared" si="7"/>
        <v>0.58443794186603992</v>
      </c>
      <c r="H46" s="7">
        <f t="shared" si="8"/>
        <v>4.3479999999999998E-2</v>
      </c>
      <c r="I46" s="7">
        <f t="shared" si="0"/>
        <v>4.4758723061101569E-2</v>
      </c>
      <c r="J46" s="7">
        <f t="shared" si="1"/>
        <v>4.5263316009215959E-2</v>
      </c>
      <c r="K46" s="7">
        <f t="shared" si="3"/>
        <v>5.5946447303686808E-2</v>
      </c>
      <c r="L46" s="12"/>
    </row>
    <row r="47" spans="6:13" ht="20" customHeight="1" x14ac:dyDescent="0.45">
      <c r="F47" s="2">
        <v>12.5</v>
      </c>
      <c r="G47" s="4">
        <f t="shared" si="7"/>
        <v>0.56831587300774766</v>
      </c>
      <c r="H47" s="7">
        <f t="shared" si="8"/>
        <v>4.3750000000000004E-2</v>
      </c>
      <c r="I47" s="7">
        <f t="shared" si="0"/>
        <v>4.5206232030804955E-2</v>
      </c>
      <c r="J47" s="7">
        <f t="shared" si="1"/>
        <v>4.5721004051842318E-2</v>
      </c>
      <c r="K47" s="7">
        <f t="shared" si="3"/>
        <v>5.5946447303686142E-2</v>
      </c>
      <c r="L47" s="12"/>
    </row>
    <row r="48" spans="6:13" ht="20" customHeight="1" x14ac:dyDescent="0.45">
      <c r="F48" s="2">
        <v>13</v>
      </c>
      <c r="G48" s="4">
        <f t="shared" si="7"/>
        <v>0.55263854102509624</v>
      </c>
      <c r="H48" s="7">
        <f t="shared" si="8"/>
        <v>4.4019999999999997E-2</v>
      </c>
      <c r="I48" s="7">
        <f t="shared" si="0"/>
        <v>4.5619317233608091E-2</v>
      </c>
      <c r="J48" s="7">
        <f t="shared" si="1"/>
        <v>4.6143576227836824E-2</v>
      </c>
      <c r="K48" s="7">
        <f t="shared" si="3"/>
        <v>5.5946447303686586E-2</v>
      </c>
      <c r="L48" s="12"/>
    </row>
    <row r="49" spans="6:13" ht="20" customHeight="1" x14ac:dyDescent="0.45">
      <c r="F49" s="2">
        <v>13.5</v>
      </c>
      <c r="G49" s="4">
        <f t="shared" si="7"/>
        <v>0.53739367758637879</v>
      </c>
      <c r="H49" s="7">
        <f t="shared" si="8"/>
        <v>4.4289999999999996E-2</v>
      </c>
      <c r="I49" s="7">
        <f t="shared" si="0"/>
        <v>4.6001803532499906E-2</v>
      </c>
      <c r="J49" s="7">
        <f t="shared" si="1"/>
        <v>4.65349245897273E-2</v>
      </c>
      <c r="K49" s="7">
        <f t="shared" si="3"/>
        <v>5.594644730368703E-2</v>
      </c>
      <c r="L49" s="12"/>
    </row>
    <row r="50" spans="6:13" ht="20" customHeight="1" x14ac:dyDescent="0.45">
      <c r="F50" s="2">
        <v>14</v>
      </c>
      <c r="G50" s="4">
        <f t="shared" si="7"/>
        <v>0.52256935278912864</v>
      </c>
      <c r="H50" s="7">
        <f t="shared" si="8"/>
        <v>4.4560000000000002E-2</v>
      </c>
      <c r="I50" s="7">
        <f t="shared" si="0"/>
        <v>4.635696938147086E-2</v>
      </c>
      <c r="J50" s="7">
        <f t="shared" si="1"/>
        <v>4.6898386518058111E-2</v>
      </c>
      <c r="K50" s="7">
        <f t="shared" si="3"/>
        <v>5.5946447303686586E-2</v>
      </c>
      <c r="L50" s="12"/>
    </row>
    <row r="51" spans="6:13" ht="20" customHeight="1" x14ac:dyDescent="0.45">
      <c r="F51" s="2">
        <v>14.5</v>
      </c>
      <c r="G51" s="4">
        <f t="shared" si="7"/>
        <v>0.50815396582434691</v>
      </c>
      <c r="H51" s="7">
        <f t="shared" si="8"/>
        <v>4.4830000000000002E-2</v>
      </c>
      <c r="I51" s="7">
        <f t="shared" si="0"/>
        <v>4.6687641033961051E-2</v>
      </c>
      <c r="J51" s="7">
        <f t="shared" si="1"/>
        <v>4.7236840132516278E-2</v>
      </c>
      <c r="K51" s="7">
        <f t="shared" si="3"/>
        <v>5.5946447303686586E-2</v>
      </c>
      <c r="L51" s="12"/>
    </row>
    <row r="52" spans="6:13" ht="20" customHeight="1" x14ac:dyDescent="0.45">
      <c r="F52" s="2">
        <v>15</v>
      </c>
      <c r="G52" s="4">
        <f t="shared" si="7"/>
        <v>0.494136235898263</v>
      </c>
      <c r="H52" s="7">
        <f t="shared" si="8"/>
        <v>4.5100000000000001E-2</v>
      </c>
      <c r="I52" s="7">
        <f t="shared" si="0"/>
        <v>4.6996267909618569E-2</v>
      </c>
      <c r="J52" s="7">
        <f t="shared" si="1"/>
        <v>4.7552780663674632E-2</v>
      </c>
      <c r="K52" s="7">
        <f t="shared" si="3"/>
        <v>5.5946447303686586E-2</v>
      </c>
      <c r="L52" s="12"/>
    </row>
    <row r="53" spans="6:13" ht="20" customHeight="1" x14ac:dyDescent="0.45">
      <c r="F53" s="2">
        <v>15.5</v>
      </c>
      <c r="G53" s="4">
        <f t="shared" si="7"/>
        <v>0.48050519340452424</v>
      </c>
      <c r="H53" s="7">
        <f t="shared" si="8"/>
        <v>4.5370000000000008E-2</v>
      </c>
      <c r="I53" s="7">
        <f t="shared" si="0"/>
        <v>4.7284983373943351E-2</v>
      </c>
      <c r="J53" s="7">
        <f t="shared" si="1"/>
        <v>4.7848382075235119E-2</v>
      </c>
      <c r="K53" s="7">
        <f t="shared" si="3"/>
        <v>5.5946447303686808E-2</v>
      </c>
      <c r="L53" s="12"/>
    </row>
    <row r="54" spans="6:13" ht="20" customHeight="1" x14ac:dyDescent="0.45">
      <c r="F54" s="2">
        <v>16</v>
      </c>
      <c r="G54" s="4">
        <f t="shared" si="7"/>
        <v>0.46725017133990532</v>
      </c>
      <c r="H54" s="7">
        <f t="shared" si="8"/>
        <v>4.564E-2</v>
      </c>
      <c r="I54" s="7">
        <f t="shared" si="0"/>
        <v>4.755565412174783E-2</v>
      </c>
      <c r="J54" s="7">
        <f t="shared" si="1"/>
        <v>4.8125547156415482E-2</v>
      </c>
      <c r="K54" s="7">
        <f t="shared" si="3"/>
        <v>5.5946447303686586E-2</v>
      </c>
      <c r="L54" s="12"/>
    </row>
    <row r="55" spans="6:13" ht="20" customHeight="1" x14ac:dyDescent="0.45">
      <c r="F55" s="2">
        <v>16.5</v>
      </c>
      <c r="G55" s="4">
        <f t="shared" si="7"/>
        <v>0.45436079695682074</v>
      </c>
      <c r="H55" s="7">
        <f t="shared" si="8"/>
        <v>4.5910000000000006E-2</v>
      </c>
      <c r="I55" s="7">
        <f t="shared" si="0"/>
        <v>4.7809920581806574E-2</v>
      </c>
      <c r="J55" s="7">
        <f t="shared" si="1"/>
        <v>4.8385948525214051E-2</v>
      </c>
      <c r="K55" s="7">
        <f t="shared" si="3"/>
        <v>5.5946447303686364E-2</v>
      </c>
      <c r="L55" s="12"/>
    </row>
    <row r="56" spans="6:13" ht="20" customHeight="1" x14ac:dyDescent="0.45">
      <c r="F56" s="2">
        <v>17</v>
      </c>
      <c r="G56" s="4">
        <f t="shared" si="7"/>
        <v>0.44182698364610745</v>
      </c>
      <c r="H56" s="7">
        <f t="shared" si="8"/>
        <v>4.6179999999999999E-2</v>
      </c>
      <c r="I56" s="7">
        <f t="shared" si="0"/>
        <v>4.8049230191273634E-2</v>
      </c>
      <c r="J56" s="7">
        <f t="shared" si="1"/>
        <v>4.8631062410138259E-2</v>
      </c>
      <c r="K56" s="7">
        <f t="shared" si="3"/>
        <v>5.5946447303686586E-2</v>
      </c>
      <c r="L56" s="12"/>
    </row>
    <row r="57" spans="6:13" ht="20" customHeight="1" x14ac:dyDescent="0.45">
      <c r="F57" s="2">
        <v>17.5</v>
      </c>
      <c r="G57" s="4">
        <f t="shared" si="7"/>
        <v>0.42963892304372636</v>
      </c>
      <c r="H57" s="7">
        <f t="shared" si="8"/>
        <v>4.6449999999999998E-2</v>
      </c>
      <c r="I57" s="7">
        <f t="shared" si="0"/>
        <v>4.8274864965914002E-2</v>
      </c>
      <c r="J57" s="7">
        <f t="shared" si="1"/>
        <v>4.88621966519176E-2</v>
      </c>
      <c r="K57" s="7">
        <f t="shared" si="3"/>
        <v>5.5946447303686586E-2</v>
      </c>
      <c r="L57" s="12"/>
    </row>
    <row r="58" spans="6:13" ht="20" customHeight="1" x14ac:dyDescent="0.45">
      <c r="F58" s="2">
        <v>18</v>
      </c>
      <c r="G58" s="4">
        <f t="shared" si="7"/>
        <v>0.41778707735520459</v>
      </c>
      <c r="H58" s="7">
        <f t="shared" si="8"/>
        <v>4.6720000000000005E-2</v>
      </c>
      <c r="I58" s="7">
        <f t="shared" si="0"/>
        <v>4.8487964475296588E-2</v>
      </c>
      <c r="J58" s="7">
        <f t="shared" si="1"/>
        <v>4.9080514046992985E-2</v>
      </c>
      <c r="K58" s="7">
        <f t="shared" si="3"/>
        <v>5.594644730368703E-2</v>
      </c>
      <c r="L58" s="12"/>
    </row>
    <row r="59" spans="6:13" ht="20" customHeight="1" x14ac:dyDescent="0.45">
      <c r="F59" s="2">
        <v>18.5</v>
      </c>
      <c r="G59" s="4">
        <f t="shared" si="7"/>
        <v>0.40626217189181291</v>
      </c>
      <c r="H59" s="7">
        <f t="shared" si="8"/>
        <v>4.6989999999999997E-2</v>
      </c>
      <c r="I59" s="7">
        <f t="shared" si="0"/>
        <v>4.8689545092280101E-2</v>
      </c>
      <c r="J59" s="7">
        <f t="shared" si="1"/>
        <v>4.9287051912461077E-2</v>
      </c>
      <c r="K59" s="7">
        <f t="shared" si="3"/>
        <v>5.5946447303686586E-2</v>
      </c>
      <c r="L59" s="12"/>
    </row>
    <row r="60" spans="6:13" ht="20" customHeight="1" x14ac:dyDescent="0.45">
      <c r="F60" s="2">
        <v>19</v>
      </c>
      <c r="G60" s="4">
        <f t="shared" si="7"/>
        <v>0.39505518781263677</v>
      </c>
      <c r="H60" s="7">
        <f t="shared" si="8"/>
        <v>4.7260000000000003E-2</v>
      </c>
      <c r="I60" s="7">
        <f t="shared" si="0"/>
        <v>4.8880516203106579E-2</v>
      </c>
      <c r="J60" s="7">
        <f t="shared" si="1"/>
        <v>4.9482738567289797E-2</v>
      </c>
      <c r="K60" s="7">
        <f t="shared" si="3"/>
        <v>5.5946447303686364E-2</v>
      </c>
      <c r="L60" s="12"/>
    </row>
    <row r="61" spans="6:13" ht="20" customHeight="1" x14ac:dyDescent="0.45">
      <c r="F61" s="2">
        <v>19.5</v>
      </c>
      <c r="G61" s="4">
        <f t="shared" si="7"/>
        <v>0.38415735506686199</v>
      </c>
      <c r="H61" s="7">
        <f t="shared" si="8"/>
        <v>4.7529999999999996E-2</v>
      </c>
      <c r="I61" s="7">
        <f t="shared" si="0"/>
        <v>4.906169392363427E-2</v>
      </c>
      <c r="J61" s="7">
        <f t="shared" si="1"/>
        <v>4.9668407282339011E-2</v>
      </c>
      <c r="K61" s="7">
        <f t="shared" si="3"/>
        <v>5.5946447303686364E-2</v>
      </c>
      <c r="L61" s="12"/>
    </row>
    <row r="62" spans="6:13" ht="20" customHeight="1" x14ac:dyDescent="0.45">
      <c r="F62" s="2">
        <v>20</v>
      </c>
      <c r="G62" s="4">
        <v>0.37356014553075173</v>
      </c>
      <c r="H62" s="7">
        <f>_xlfn.XLOOKUP(F62,$G$5:$G$18,$H$5:$H$18,"",0)</f>
        <v>4.7800000000000002E-2</v>
      </c>
      <c r="I62" s="7">
        <f t="shared" si="0"/>
        <v>4.9233812758135584E-2</v>
      </c>
      <c r="J62" s="7">
        <f t="shared" si="1"/>
        <v>4.9844808141395358E-2</v>
      </c>
      <c r="K62" s="7">
        <f t="shared" si="3"/>
        <v>5.594644730368703E-2</v>
      </c>
      <c r="L62" s="12">
        <f>100*H62/2*SUM($G$23:G62)+100*G62</f>
        <v>100.00001488747847</v>
      </c>
      <c r="M62" s="2">
        <f t="shared" ref="M62" si="9">L62-100</f>
        <v>1.488747847133709E-5</v>
      </c>
    </row>
    <row r="63" spans="6:13" ht="20" customHeight="1" x14ac:dyDescent="0.45">
      <c r="F63" s="2">
        <v>20.5</v>
      </c>
      <c r="G63" s="4">
        <f>EXP(($F$82-F63)/($F$82-$F$62)*LN($G$62)+(F63-$F$62)/($F$82-$F$62)*LN($G$82))</f>
        <v>0.36444885332636845</v>
      </c>
      <c r="H63" s="7">
        <f>($F$82-F63)/($F$82-$F$62)*$H$62+(F63-$F$62)/($F$82-$F$62)*$H$82</f>
        <v>4.7820000000000001E-2</v>
      </c>
      <c r="I63" s="7">
        <f t="shared" si="0"/>
        <v>4.9237514998608636E-2</v>
      </c>
      <c r="J63" s="7">
        <f t="shared" si="1"/>
        <v>4.9848602654113616E-2</v>
      </c>
      <c r="K63" s="7">
        <f t="shared" si="3"/>
        <v>4.9385604617530721E-2</v>
      </c>
      <c r="L63" s="12"/>
    </row>
    <row r="64" spans="6:13" ht="20" customHeight="1" x14ac:dyDescent="0.45">
      <c r="F64" s="2">
        <v>21</v>
      </c>
      <c r="G64" s="4">
        <f t="shared" ref="G64:G81" si="10">EXP(($F$82-F64)/($F$82-$F$62)*LN($G$62)+(F64-$F$62)/($F$82-$F$62)*LN($G$82))</f>
        <v>0.35555978944753541</v>
      </c>
      <c r="H64" s="7">
        <f t="shared" ref="H64:H81" si="11">($F$82-F64)/($F$82-$F$62)*$H$62+(F64-$F$62)/($F$82-$F$62)*$H$82</f>
        <v>4.7840000000000001E-2</v>
      </c>
      <c r="I64" s="7">
        <f t="shared" si="0"/>
        <v>4.9241040941916316E-2</v>
      </c>
      <c r="J64" s="7">
        <f t="shared" si="1"/>
        <v>4.9852216482280109E-2</v>
      </c>
      <c r="K64" s="7">
        <f t="shared" si="3"/>
        <v>4.9385604617531165E-2</v>
      </c>
      <c r="L64" s="12"/>
    </row>
    <row r="65" spans="6:12" ht="20" customHeight="1" x14ac:dyDescent="0.45">
      <c r="F65" s="2">
        <v>21.5</v>
      </c>
      <c r="G65" s="4">
        <f t="shared" si="10"/>
        <v>0.3468875336500582</v>
      </c>
      <c r="H65" s="7">
        <f t="shared" si="11"/>
        <v>4.786E-2</v>
      </c>
      <c r="I65" s="7">
        <f t="shared" si="0"/>
        <v>4.924440288786084E-2</v>
      </c>
      <c r="J65" s="7">
        <f t="shared" si="1"/>
        <v>4.9855662231349296E-2</v>
      </c>
      <c r="K65" s="7">
        <f t="shared" si="3"/>
        <v>4.9385604617530721E-2</v>
      </c>
      <c r="L65" s="12"/>
    </row>
    <row r="66" spans="6:12" ht="20" customHeight="1" x14ac:dyDescent="0.45">
      <c r="F66" s="2">
        <v>22</v>
      </c>
      <c r="G66" s="4">
        <f t="shared" si="10"/>
        <v>0.33842679789182306</v>
      </c>
      <c r="H66" s="7">
        <f t="shared" si="11"/>
        <v>4.7880000000000006E-2</v>
      </c>
      <c r="I66" s="7">
        <f t="shared" si="0"/>
        <v>4.9247612018080617E-2</v>
      </c>
      <c r="J66" s="7">
        <f t="shared" si="1"/>
        <v>4.9858951360864268E-2</v>
      </c>
      <c r="K66" s="7">
        <f t="shared" si="3"/>
        <v>4.9385604617531165E-2</v>
      </c>
      <c r="L66" s="12"/>
    </row>
    <row r="67" spans="6:12" ht="20" customHeight="1" x14ac:dyDescent="0.45">
      <c r="F67" s="2">
        <v>22.5</v>
      </c>
      <c r="G67" s="4">
        <f t="shared" si="10"/>
        <v>0.33017242310833228</v>
      </c>
      <c r="H67" s="7">
        <f t="shared" si="11"/>
        <v>4.7899999999999998E-2</v>
      </c>
      <c r="I67" s="7">
        <f t="shared" si="0"/>
        <v>4.9250678520290622E-2</v>
      </c>
      <c r="J67" s="7">
        <f t="shared" si="1"/>
        <v>4.9862094311775795E-2</v>
      </c>
      <c r="K67" s="7">
        <f t="shared" si="3"/>
        <v>4.9385604617530721E-2</v>
      </c>
      <c r="L67" s="12"/>
    </row>
    <row r="68" spans="6:12" ht="20" customHeight="1" x14ac:dyDescent="0.45">
      <c r="F68" s="2">
        <v>23</v>
      </c>
      <c r="G68" s="4">
        <f t="shared" si="10"/>
        <v>0.32211937606688434</v>
      </c>
      <c r="H68" s="7">
        <f t="shared" si="11"/>
        <v>4.7919999999999997E-2</v>
      </c>
      <c r="I68" s="7">
        <f t="shared" si="0"/>
        <v>4.9253611696317583E-2</v>
      </c>
      <c r="J68" s="7">
        <f t="shared" si="1"/>
        <v>4.9865100617157321E-2</v>
      </c>
      <c r="K68" s="7">
        <f t="shared" si="3"/>
        <v>4.9385604617530721E-2</v>
      </c>
      <c r="L68" s="12"/>
    </row>
    <row r="69" spans="6:12" ht="20" customHeight="1" x14ac:dyDescent="0.45">
      <c r="F69" s="2">
        <v>23.5</v>
      </c>
      <c r="G69" s="4">
        <f t="shared" si="10"/>
        <v>0.31426274629748235</v>
      </c>
      <c r="H69" s="7">
        <f t="shared" si="11"/>
        <v>4.7940000000000003E-2</v>
      </c>
      <c r="I69" s="7">
        <f t="shared" si="0"/>
        <v>4.9256420056343404E-2</v>
      </c>
      <c r="J69" s="7">
        <f t="shared" si="1"/>
        <v>4.9867978998781481E-2</v>
      </c>
      <c r="K69" s="7">
        <f t="shared" si="3"/>
        <v>4.9385604617531165E-2</v>
      </c>
      <c r="L69" s="12"/>
    </row>
    <row r="70" spans="6:12" ht="20" customHeight="1" x14ac:dyDescent="0.45">
      <c r="F70" s="2">
        <v>24</v>
      </c>
      <c r="G70" s="4">
        <f t="shared" si="10"/>
        <v>0.30659774309859944</v>
      </c>
      <c r="H70" s="7">
        <f t="shared" si="11"/>
        <v>4.7960000000000003E-2</v>
      </c>
      <c r="I70" s="7">
        <f t="shared" si="0"/>
        <v>4.9259111401368148E-2</v>
      </c>
      <c r="J70" s="7">
        <f t="shared" si="1"/>
        <v>4.9870737451630731E-2</v>
      </c>
      <c r="K70" s="7">
        <f t="shared" si="3"/>
        <v>4.9385604617531165E-2</v>
      </c>
      <c r="L70" s="12"/>
    </row>
    <row r="71" spans="6:12" ht="20" customHeight="1" x14ac:dyDescent="0.45">
      <c r="F71" s="2">
        <v>24.5</v>
      </c>
      <c r="G71" s="4">
        <f t="shared" si="10"/>
        <v>0.29911969261597415</v>
      </c>
      <c r="H71" s="7">
        <f t="shared" si="11"/>
        <v>4.7980000000000009E-2</v>
      </c>
      <c r="I71" s="7">
        <f t="shared" si="0"/>
        <v>4.9261692895575554E-2</v>
      </c>
      <c r="J71" s="7">
        <f t="shared" si="1"/>
        <v>4.9873383318055797E-2</v>
      </c>
      <c r="K71" s="7">
        <f t="shared" si="3"/>
        <v>4.9385604617531165E-2</v>
      </c>
      <c r="L71" s="12"/>
    </row>
    <row r="72" spans="6:12" ht="20" customHeight="1" x14ac:dyDescent="0.45">
      <c r="F72" s="2">
        <v>25</v>
      </c>
      <c r="G72" s="4">
        <f t="shared" si="10"/>
        <v>0.29182403499265558</v>
      </c>
      <c r="H72" s="7">
        <f t="shared" si="11"/>
        <v>4.8000000000000001E-2</v>
      </c>
      <c r="I72" s="7">
        <f t="shared" si="0"/>
        <v>4.9264171130014647E-2</v>
      </c>
      <c r="J72" s="7">
        <f t="shared" si="1"/>
        <v>4.9875923353036367E-2</v>
      </c>
      <c r="K72" s="7">
        <f t="shared" si="3"/>
        <v>4.9385604617530277E-2</v>
      </c>
      <c r="L72" s="12"/>
    </row>
    <row r="73" spans="6:12" ht="20" customHeight="1" x14ac:dyDescent="0.45">
      <c r="F73" s="2">
        <v>25.5</v>
      </c>
      <c r="G73" s="4">
        <f t="shared" si="10"/>
        <v>0.28470632158855957</v>
      </c>
      <c r="H73" s="7">
        <f t="shared" si="11"/>
        <v>4.8020000000000007E-2</v>
      </c>
      <c r="I73" s="7">
        <f t="shared" si="0"/>
        <v>4.9266552178789481E-2</v>
      </c>
      <c r="J73" s="7">
        <f t="shared" si="1"/>
        <v>4.9878363781767021E-2</v>
      </c>
      <c r="K73" s="7">
        <f t="shared" si="3"/>
        <v>4.9385604617531165E-2</v>
      </c>
      <c r="L73" s="12"/>
    </row>
    <row r="74" spans="6:12" ht="20" customHeight="1" x14ac:dyDescent="0.45">
      <c r="F74" s="2">
        <v>26</v>
      </c>
      <c r="G74" s="4">
        <f t="shared" si="10"/>
        <v>0.27776221226784259</v>
      </c>
      <c r="H74" s="7">
        <f t="shared" si="11"/>
        <v>4.8039999999999999E-2</v>
      </c>
      <c r="I74" s="7">
        <f t="shared" si="0"/>
        <v>4.9268841648765278E-2</v>
      </c>
      <c r="J74" s="7">
        <f t="shared" si="1"/>
        <v>4.9880710350594271E-2</v>
      </c>
      <c r="K74" s="7">
        <f t="shared" si="3"/>
        <v>4.9385604617530721E-2</v>
      </c>
      <c r="L74" s="12"/>
    </row>
    <row r="75" spans="6:12" ht="20" customHeight="1" x14ac:dyDescent="0.45">
      <c r="F75" s="2">
        <v>26.5</v>
      </c>
      <c r="G75" s="4">
        <f t="shared" si="10"/>
        <v>0.27098747275243584</v>
      </c>
      <c r="H75" s="7">
        <f t="shared" si="11"/>
        <v>4.8060000000000005E-2</v>
      </c>
      <c r="I75" s="7">
        <f t="shared" si="0"/>
        <v>4.9271044723647649E-2</v>
      </c>
      <c r="J75" s="7">
        <f t="shared" si="1"/>
        <v>4.9882968372190195E-2</v>
      </c>
      <c r="K75" s="7">
        <f t="shared" si="3"/>
        <v>4.9385604617531165E-2</v>
      </c>
      <c r="L75" s="12"/>
    </row>
    <row r="76" spans="6:12" ht="20" customHeight="1" x14ac:dyDescent="0.45">
      <c r="F76" s="2">
        <v>27</v>
      </c>
      <c r="G76" s="4">
        <f t="shared" si="10"/>
        <v>0.26437797204012936</v>
      </c>
      <c r="H76" s="7">
        <f t="shared" si="11"/>
        <v>4.8079999999999998E-2</v>
      </c>
      <c r="I76" s="7">
        <f t="shared" si="0"/>
        <v>4.9273166203164007E-2</v>
      </c>
      <c r="J76" s="7">
        <f t="shared" si="1"/>
        <v>4.9885142765707879E-2</v>
      </c>
      <c r="K76" s="7">
        <f t="shared" si="3"/>
        <v>4.9385604617530721E-2</v>
      </c>
      <c r="L76" s="12"/>
    </row>
    <row r="77" spans="6:12" ht="20" customHeight="1" x14ac:dyDescent="0.45">
      <c r="F77" s="2">
        <v>27.5</v>
      </c>
      <c r="G77" s="4">
        <f t="shared" si="10"/>
        <v>0.25792967988562915</v>
      </c>
      <c r="H77" s="7">
        <f t="shared" si="11"/>
        <v>4.8100000000000004E-2</v>
      </c>
      <c r="I77" s="7">
        <f t="shared" si="0"/>
        <v>4.9275210537970682E-2</v>
      </c>
      <c r="J77" s="7">
        <f t="shared" si="1"/>
        <v>4.9887238092551911E-2</v>
      </c>
      <c r="K77" s="7">
        <f t="shared" si="3"/>
        <v>4.9385604617531165E-2</v>
      </c>
      <c r="L77" s="12"/>
    </row>
    <row r="78" spans="6:12" ht="20" customHeight="1" x14ac:dyDescent="0.45">
      <c r="F78" s="2">
        <v>28</v>
      </c>
      <c r="G78" s="4">
        <f t="shared" si="10"/>
        <v>0.25163866434305276</v>
      </c>
      <c r="H78" s="7">
        <f t="shared" si="11"/>
        <v>4.8120000000000003E-2</v>
      </c>
      <c r="I78" s="7">
        <f t="shared" si="0"/>
        <v>4.9277181860819974E-2</v>
      </c>
      <c r="J78" s="7">
        <f t="shared" si="1"/>
        <v>4.9889258588323493E-2</v>
      </c>
      <c r="K78" s="7">
        <f t="shared" si="3"/>
        <v>4.9385604617531165E-2</v>
      </c>
      <c r="L78" s="12"/>
    </row>
    <row r="79" spans="6:12" ht="20" customHeight="1" x14ac:dyDescent="0.45">
      <c r="F79" s="2">
        <v>28.5</v>
      </c>
      <c r="G79" s="4">
        <f t="shared" si="10"/>
        <v>0.24550108936836496</v>
      </c>
      <c r="H79" s="7">
        <f t="shared" si="11"/>
        <v>4.8140000000000002E-2</v>
      </c>
      <c r="I79" s="7">
        <f t="shared" si="0"/>
        <v>4.927908401444648E-2</v>
      </c>
      <c r="J79" s="7">
        <f t="shared" si="1"/>
        <v>4.9891208191394032E-2</v>
      </c>
      <c r="K79" s="7">
        <f t="shared" si="3"/>
        <v>4.9385604617530721E-2</v>
      </c>
      <c r="L79" s="12"/>
    </row>
    <row r="80" spans="6:12" ht="20" customHeight="1" x14ac:dyDescent="0.45">
      <c r="F80" s="2">
        <v>29</v>
      </c>
      <c r="G80" s="4">
        <f t="shared" si="10"/>
        <v>0.23951321248028978</v>
      </c>
      <c r="H80" s="7">
        <f t="shared" si="11"/>
        <v>4.8160000000000001E-2</v>
      </c>
      <c r="I80" s="7">
        <f t="shared" si="0"/>
        <v>4.9280920576568618E-2</v>
      </c>
      <c r="J80" s="7">
        <f t="shared" si="1"/>
        <v>4.9893090568531751E-2</v>
      </c>
      <c r="K80" s="7">
        <f t="shared" si="3"/>
        <v>4.9385604617530721E-2</v>
      </c>
      <c r="L80" s="12"/>
    </row>
    <row r="81" spans="1:13" ht="20" customHeight="1" x14ac:dyDescent="0.45">
      <c r="F81" s="2">
        <v>29.5</v>
      </c>
      <c r="G81" s="4">
        <f t="shared" si="10"/>
        <v>0.23367138247827524</v>
      </c>
      <c r="H81" s="7">
        <f t="shared" si="11"/>
        <v>4.8180000000000001E-2</v>
      </c>
      <c r="I81" s="7">
        <f t="shared" si="0"/>
        <v>4.9282694882347641E-2</v>
      </c>
      <c r="J81" s="7">
        <f t="shared" si="1"/>
        <v>4.9894909137917054E-2</v>
      </c>
      <c r="K81" s="7">
        <f t="shared" si="3"/>
        <v>4.9385604617530721E-2</v>
      </c>
      <c r="L81" s="12"/>
    </row>
    <row r="82" spans="1:13" ht="20" customHeight="1" x14ac:dyDescent="0.45">
      <c r="F82" s="2">
        <v>30</v>
      </c>
      <c r="G82" s="4">
        <v>0.22797203721611708</v>
      </c>
      <c r="H82" s="7">
        <f>_xlfn.XLOOKUP(F82,$G$5:$G$18,$H$5:$H$18,"",0)</f>
        <v>4.82E-2</v>
      </c>
      <c r="I82" s="7">
        <f t="shared" si="0"/>
        <v>4.9284410044600699E-2</v>
      </c>
      <c r="J82" s="7">
        <f t="shared" si="1"/>
        <v>4.9896667089856184E-2</v>
      </c>
      <c r="K82" s="7">
        <f t="shared" si="3"/>
        <v>4.9385604617531165E-2</v>
      </c>
      <c r="L82" s="12">
        <f>100*H82/2*SUM($G$23:G82)+100*G82</f>
        <v>100.00000610618365</v>
      </c>
      <c r="M82" s="2">
        <f t="shared" ref="M82" si="12">L82-100</f>
        <v>6.1061836476028475E-6</v>
      </c>
    </row>
    <row r="83" spans="1:13" ht="20" customHeight="1" x14ac:dyDescent="0.45">
      <c r="G83" s="4"/>
      <c r="I83" s="7"/>
      <c r="J83" s="7"/>
      <c r="K83" s="7"/>
      <c r="L83" s="12"/>
    </row>
    <row r="84" spans="1:13" ht="20" customHeight="1" x14ac:dyDescent="0.45">
      <c r="G84" s="4"/>
      <c r="I84" s="7"/>
      <c r="J84" s="7"/>
      <c r="K84" s="7"/>
      <c r="L84" s="12"/>
    </row>
    <row r="85" spans="1:13" ht="20" customHeight="1" x14ac:dyDescent="0.45">
      <c r="G85" s="4"/>
      <c r="I85" s="7"/>
      <c r="J85" s="7"/>
      <c r="K85" s="7"/>
      <c r="L85" s="12"/>
    </row>
    <row r="86" spans="1:13" ht="20" customHeight="1" x14ac:dyDescent="0.45">
      <c r="G86" s="4"/>
      <c r="I86" s="7"/>
      <c r="J86" s="7"/>
      <c r="K86" s="7"/>
      <c r="L86" s="12"/>
    </row>
    <row r="88" spans="1:13" ht="20" customHeight="1" x14ac:dyDescent="0.45">
      <c r="A88" s="6" t="s">
        <v>3</v>
      </c>
      <c r="B88" s="5" t="s">
        <v>31</v>
      </c>
    </row>
    <row r="89" spans="1:13" s="5" customFormat="1" ht="20" customHeight="1" x14ac:dyDescent="0.45">
      <c r="A89" s="6"/>
      <c r="F89" s="5" t="s">
        <v>25</v>
      </c>
      <c r="G89" s="10" t="s">
        <v>26</v>
      </c>
      <c r="H89" s="11" t="s">
        <v>27</v>
      </c>
      <c r="I89" s="9" t="s">
        <v>28</v>
      </c>
      <c r="J89" s="9" t="s">
        <v>29</v>
      </c>
      <c r="K89" s="9" t="s">
        <v>2</v>
      </c>
    </row>
    <row r="90" spans="1:13" ht="20" customHeight="1" x14ac:dyDescent="0.45">
      <c r="F90" s="2" cm="1">
        <f t="array" ref="F90:F209">_xlfn.SEQUENCE(120,1,0.25,0.25)</f>
        <v>0.25</v>
      </c>
      <c r="G90" s="4">
        <f>1/(1+H90/2)^(2*F90)</f>
        <v>0.99087639662191229</v>
      </c>
      <c r="H90" s="7">
        <f>VLOOKUP(F90,$G$5:$H$18,2,0)</f>
        <v>3.6999999999999998E-2</v>
      </c>
      <c r="I90" s="7">
        <f>-LN(G90)/F90</f>
        <v>3.6661913369446707E-2</v>
      </c>
      <c r="J90" s="7">
        <f>2*(G90^(-1/(2*F90))-1)</f>
        <v>3.6999999999999922E-2</v>
      </c>
      <c r="K90" s="7">
        <f>I90</f>
        <v>3.6661913369446707E-2</v>
      </c>
    </row>
    <row r="91" spans="1:13" ht="20" customHeight="1" x14ac:dyDescent="0.45">
      <c r="F91" s="2">
        <v>0.5</v>
      </c>
      <c r="G91" s="4">
        <f>IFERROR(VLOOKUP(F91,$F$23:$G$42,2,0),"")</f>
        <v>0.98227002603015579</v>
      </c>
      <c r="H91" s="7">
        <f>_xlfn.XLOOKUP(F91,$G$5:$G$18,$H$5:$H$18,"",0)</f>
        <v>3.61E-2</v>
      </c>
      <c r="I91" s="7">
        <f t="shared" ref="I91:I154" si="13">-LN(G91)/F91</f>
        <v>3.5778065671479814E-2</v>
      </c>
      <c r="J91" s="7">
        <f t="shared" ref="J91:J154" si="14">2*(G91^(-1/(2*F91))-1)</f>
        <v>3.6099999999999799E-2</v>
      </c>
      <c r="K91" s="7">
        <f>(I91*F91-I90*F90)/(F91-F90)</f>
        <v>3.4894217973512921E-2</v>
      </c>
    </row>
    <row r="92" spans="1:13" ht="20" customHeight="1" x14ac:dyDescent="0.45">
      <c r="F92" s="2">
        <v>0.75</v>
      </c>
      <c r="G92" s="4">
        <f>EXP((F93-F92)/(F93-F91)*LN(G91)+(F92-F91)/(F93-F91)*LN(G93))</f>
        <v>0.97390930408271614</v>
      </c>
      <c r="H92" s="7">
        <f>AVERAGE(H91,H93)</f>
        <v>3.5699999999999996E-2</v>
      </c>
      <c r="I92" s="7">
        <f t="shared" si="13"/>
        <v>3.5249462177936043E-2</v>
      </c>
      <c r="J92" s="7">
        <f t="shared" si="14"/>
        <v>3.5561926323436133E-2</v>
      </c>
      <c r="K92" s="7">
        <f t="shared" ref="K92:K155" si="15">(I92*F92-I91*F91)/(F92-F91)</f>
        <v>3.4192255190848508E-2</v>
      </c>
    </row>
    <row r="93" spans="1:13" ht="20" customHeight="1" x14ac:dyDescent="0.45">
      <c r="F93" s="2">
        <v>1</v>
      </c>
      <c r="G93" s="4">
        <f>IFERROR(VLOOKUP(F93,$F$23:$G$42,2,0),"")</f>
        <v>0.9656197455319292</v>
      </c>
      <c r="H93" s="7">
        <f>_xlfn.XLOOKUP(F93,$G$5:$G$18,$H$5:$H$18,"",0)</f>
        <v>3.5299999999999998E-2</v>
      </c>
      <c r="I93" s="7">
        <f t="shared" si="13"/>
        <v>3.498516043116412E-2</v>
      </c>
      <c r="J93" s="7">
        <f t="shared" si="14"/>
        <v>3.5292942810635886E-2</v>
      </c>
      <c r="K93" s="7">
        <f t="shared" si="15"/>
        <v>3.4192255190848342E-2</v>
      </c>
    </row>
    <row r="94" spans="1:13" ht="20" customHeight="1" x14ac:dyDescent="0.45">
      <c r="F94" s="2">
        <v>1.25</v>
      </c>
      <c r="G94" s="4">
        <f>EXP((F95-F94)/(F95-F93)*LN(G93)+(F94-F93)/(F95-F93)*LN(G95))</f>
        <v>0.95687427920538104</v>
      </c>
      <c r="H94" s="7">
        <f>((F94-$F$93)*$H$97+($F$97-F94)*$H$93)/($F$97-$F$93)</f>
        <v>3.5475E-2</v>
      </c>
      <c r="I94" s="7">
        <f t="shared" si="13"/>
        <v>3.5266612680226697E-2</v>
      </c>
      <c r="J94" s="7">
        <f t="shared" si="14"/>
        <v>3.5579381853018788E-2</v>
      </c>
      <c r="K94" s="7">
        <f t="shared" si="15"/>
        <v>3.6392421676476994E-2</v>
      </c>
    </row>
    <row r="95" spans="1:13" ht="20" customHeight="1" x14ac:dyDescent="0.45">
      <c r="F95" s="2">
        <v>1.5</v>
      </c>
      <c r="G95" s="4">
        <f>IFERROR(VLOOKUP(F95,$F$23:$G$42,2,0),"")</f>
        <v>0.94820801919335018</v>
      </c>
      <c r="H95" s="7">
        <f t="shared" ref="H95:H96" si="16">((F95-$F$93)*$H$97+($F$97-F95)*$H$93)/($F$97-$F$93)</f>
        <v>3.5650000000000001E-2</v>
      </c>
      <c r="I95" s="7">
        <f t="shared" si="13"/>
        <v>3.5454247512935126E-2</v>
      </c>
      <c r="J95" s="7">
        <f t="shared" si="14"/>
        <v>3.5770363609975764E-2</v>
      </c>
      <c r="K95" s="7">
        <f t="shared" si="15"/>
        <v>3.6392421676477271E-2</v>
      </c>
    </row>
    <row r="96" spans="1:13" ht="20" customHeight="1" x14ac:dyDescent="0.45">
      <c r="F96" s="2">
        <v>1.75</v>
      </c>
      <c r="G96" s="4">
        <f>EXP((F97-F96)/(F97-F95)*LN(G95)+(F96-F95)/(F97-F95)*LN(G97))</f>
        <v>0.93962024813669032</v>
      </c>
      <c r="H96" s="7">
        <f t="shared" si="16"/>
        <v>3.5824999999999996E-2</v>
      </c>
      <c r="I96" s="7">
        <f t="shared" si="13"/>
        <v>3.558827239344111E-2</v>
      </c>
      <c r="J96" s="7">
        <f t="shared" si="14"/>
        <v>3.5906790120921794E-2</v>
      </c>
      <c r="K96" s="7">
        <f t="shared" si="15"/>
        <v>3.6392421676477021E-2</v>
      </c>
    </row>
    <row r="97" spans="6:11" ht="20" customHeight="1" x14ac:dyDescent="0.45">
      <c r="F97" s="2">
        <v>2</v>
      </c>
      <c r="G97" s="4">
        <f>IFERROR(VLOOKUP(F97,$F$23:$G$42,2,0),"")</f>
        <v>0.93111025517326396</v>
      </c>
      <c r="H97" s="7">
        <f>_xlfn.XLOOKUP(F97,$G$5:$G$18,$H$5:$H$18,"",0)</f>
        <v>3.5999999999999997E-2</v>
      </c>
      <c r="I97" s="7">
        <f t="shared" si="13"/>
        <v>3.5688791053820605E-2</v>
      </c>
      <c r="J97" s="7">
        <f t="shared" si="14"/>
        <v>3.600911600391532E-2</v>
      </c>
      <c r="K97" s="7">
        <f t="shared" si="15"/>
        <v>3.6392421676477077E-2</v>
      </c>
    </row>
    <row r="98" spans="6:11" ht="20" customHeight="1" x14ac:dyDescent="0.45">
      <c r="F98" s="2">
        <v>2.25</v>
      </c>
      <c r="G98" s="4">
        <f>EXP((F99-F98)/(F99-F97)*LN(G97)+(F98-F97)/(F99-F97)*LN(G99))</f>
        <v>0.92234807306108957</v>
      </c>
      <c r="H98" s="7">
        <f>((F98-$F$97)*$H$101+($F$101-F98)*$H$97)/($F$101-$F$97)</f>
        <v>3.6174999999999999E-2</v>
      </c>
      <c r="I98" s="7">
        <f t="shared" si="13"/>
        <v>3.5925603146266347E-2</v>
      </c>
      <c r="J98" s="7">
        <f t="shared" si="14"/>
        <v>3.6250206066394064E-2</v>
      </c>
      <c r="K98" s="7">
        <f t="shared" si="15"/>
        <v>3.7820099885832292E-2</v>
      </c>
    </row>
    <row r="99" spans="6:11" ht="20" customHeight="1" x14ac:dyDescent="0.45">
      <c r="F99" s="2">
        <v>2.5</v>
      </c>
      <c r="G99" s="4">
        <f>IFERROR(VLOOKUP(F99,$F$23:$G$42,2,0),"")</f>
        <v>0.91366834717248313</v>
      </c>
      <c r="H99" s="7">
        <f t="shared" ref="H99:H100" si="17">((F99-$F$97)*$H$101+($F$101-F99)*$H$97)/($F$101-$F$97)</f>
        <v>3.635E-2</v>
      </c>
      <c r="I99" s="7">
        <f t="shared" si="13"/>
        <v>3.6115052820222912E-2</v>
      </c>
      <c r="J99" s="7">
        <f t="shared" si="14"/>
        <v>3.6443098670926766E-2</v>
      </c>
      <c r="K99" s="7">
        <f t="shared" si="15"/>
        <v>3.7820099885832015E-2</v>
      </c>
    </row>
    <row r="100" spans="6:11" ht="20" customHeight="1" x14ac:dyDescent="0.45">
      <c r="F100" s="2">
        <v>2.75</v>
      </c>
      <c r="G100" s="4">
        <f>EXP((F101-F100)/(F101-F99)*LN(G99)+(F100-F99)/(F101-F99)*LN(G101))</f>
        <v>0.90507030155589296</v>
      </c>
      <c r="H100" s="7">
        <f t="shared" si="17"/>
        <v>3.6525000000000002E-2</v>
      </c>
      <c r="I100" s="7">
        <f t="shared" si="13"/>
        <v>3.6270057098914656E-2</v>
      </c>
      <c r="J100" s="7">
        <f t="shared" si="14"/>
        <v>3.6600933483918574E-2</v>
      </c>
      <c r="K100" s="7">
        <f t="shared" si="15"/>
        <v>3.782009988583207E-2</v>
      </c>
    </row>
    <row r="101" spans="6:11" ht="20" customHeight="1" x14ac:dyDescent="0.45">
      <c r="F101" s="2">
        <v>3</v>
      </c>
      <c r="G101" s="4">
        <f>IFERROR(VLOOKUP(F101,$F$23:$G$42,2,0),"")</f>
        <v>0.89655316756183379</v>
      </c>
      <c r="H101" s="7">
        <f>_xlfn.XLOOKUP(F101,$G$5:$G$18,$H$5:$H$18,"",0)</f>
        <v>3.6700000000000003E-2</v>
      </c>
      <c r="I101" s="7">
        <f t="shared" si="13"/>
        <v>3.6399227331157795E-2</v>
      </c>
      <c r="J101" s="7">
        <f t="shared" si="14"/>
        <v>3.6732471839365122E-2</v>
      </c>
      <c r="K101" s="7">
        <f t="shared" si="15"/>
        <v>3.7820099885832292E-2</v>
      </c>
    </row>
    <row r="102" spans="6:11" ht="20" customHeight="1" x14ac:dyDescent="0.45">
      <c r="F102" s="2">
        <v>3.25</v>
      </c>
      <c r="G102" s="4">
        <f>EXP((F103-F102)/(F103-F101)*LN(G101)+(F102-F101)/(F103-F101)*LN(G103))</f>
        <v>0.88745645400764417</v>
      </c>
      <c r="H102" s="7">
        <f>((F102-$F$101)*$H$109+($F$109-F102)*$H$101)/($F$109-$F$101)</f>
        <v>3.6912500000000001E-2</v>
      </c>
      <c r="I102" s="7">
        <f t="shared" si="13"/>
        <v>3.6737176844066764E-2</v>
      </c>
      <c r="J102" s="7">
        <f t="shared" si="14"/>
        <v>3.7076657291264858E-2</v>
      </c>
      <c r="K102" s="7">
        <f t="shared" si="15"/>
        <v>4.0792570998974431E-2</v>
      </c>
    </row>
    <row r="103" spans="6:11" ht="20" customHeight="1" x14ac:dyDescent="0.45">
      <c r="F103" s="2">
        <v>3.5</v>
      </c>
      <c r="G103" s="4">
        <f>IFERROR(VLOOKUP(F103,$F$23:$G$42,2,0),"")</f>
        <v>0.87845203860205401</v>
      </c>
      <c r="H103" s="7">
        <f t="shared" ref="H103:H108" si="18">((F103-$F$101)*$H$109+($F$109-F103)*$H$101)/($F$109-$F$101)</f>
        <v>3.7124999999999998E-2</v>
      </c>
      <c r="I103" s="7">
        <f t="shared" si="13"/>
        <v>3.7026847855131613E-2</v>
      </c>
      <c r="J103" s="7">
        <f t="shared" si="14"/>
        <v>3.7371719685971527E-2</v>
      </c>
      <c r="K103" s="7">
        <f t="shared" si="15"/>
        <v>4.0792570998974653E-2</v>
      </c>
    </row>
    <row r="104" spans="6:11" ht="20" customHeight="1" x14ac:dyDescent="0.45">
      <c r="F104" s="2">
        <v>3.75</v>
      </c>
      <c r="G104" s="4">
        <f>EXP((F105-F104)/(F105-F103)*LN(G103)+(F104-F103)/(F105-F103)*LN(G105))</f>
        <v>0.86953898485869563</v>
      </c>
      <c r="H104" s="7">
        <f t="shared" si="18"/>
        <v>3.7337500000000003E-2</v>
      </c>
      <c r="I104" s="7">
        <f t="shared" si="13"/>
        <v>3.7277896064721136E-2</v>
      </c>
      <c r="J104" s="7">
        <f t="shared" si="14"/>
        <v>3.7627474998611632E-2</v>
      </c>
      <c r="K104" s="7">
        <f t="shared" si="15"/>
        <v>4.0792570998974487E-2</v>
      </c>
    </row>
    <row r="105" spans="6:11" ht="20" customHeight="1" x14ac:dyDescent="0.45">
      <c r="F105" s="2">
        <v>4</v>
      </c>
      <c r="G105" s="4">
        <f>IFERROR(VLOOKUP(F105,$F$23:$G$42,2,0),"")</f>
        <v>0.86071636579308963</v>
      </c>
      <c r="H105" s="7">
        <f t="shared" si="18"/>
        <v>3.755E-2</v>
      </c>
      <c r="I105" s="7">
        <f t="shared" si="13"/>
        <v>3.7497563248112001E-2</v>
      </c>
      <c r="J105" s="7">
        <f t="shared" si="14"/>
        <v>3.7851287233554132E-2</v>
      </c>
      <c r="K105" s="7">
        <f t="shared" si="15"/>
        <v>4.0792570998974931E-2</v>
      </c>
    </row>
    <row r="106" spans="6:11" ht="20" customHeight="1" x14ac:dyDescent="0.45">
      <c r="F106" s="2">
        <v>4.25</v>
      </c>
      <c r="G106" s="4">
        <f>EXP((F107-F106)/(F107-F105)*LN(G105)+(F106-F105)/(F107-F105)*LN(G107))</f>
        <v>0.85198326382623624</v>
      </c>
      <c r="H106" s="7">
        <f t="shared" si="18"/>
        <v>3.7762499999999997E-2</v>
      </c>
      <c r="I106" s="7">
        <f t="shared" si="13"/>
        <v>3.7691387233456872E-2</v>
      </c>
      <c r="J106" s="7">
        <f t="shared" si="14"/>
        <v>3.8048789032561814E-2</v>
      </c>
      <c r="K106" s="7">
        <f t="shared" si="15"/>
        <v>4.079257099897482E-2</v>
      </c>
    </row>
    <row r="107" spans="6:11" ht="20" customHeight="1" x14ac:dyDescent="0.45">
      <c r="F107" s="2">
        <v>4.5</v>
      </c>
      <c r="G107" s="4">
        <f>IFERROR(VLOOKUP(F107,$F$23:$G$42,2,0),"")</f>
        <v>0.84333877068918384</v>
      </c>
      <c r="H107" s="7">
        <f t="shared" si="18"/>
        <v>3.7975000000000002E-2</v>
      </c>
      <c r="I107" s="7">
        <f t="shared" si="13"/>
        <v>3.7863675220430076E-2</v>
      </c>
      <c r="J107" s="7">
        <f t="shared" si="14"/>
        <v>3.8224362256350286E-2</v>
      </c>
      <c r="K107" s="7">
        <f t="shared" si="15"/>
        <v>4.0792570998974598E-2</v>
      </c>
    </row>
    <row r="108" spans="6:11" ht="20" customHeight="1" x14ac:dyDescent="0.45">
      <c r="F108" s="2">
        <v>4.75</v>
      </c>
      <c r="G108" s="4">
        <f>EXP((F109-F108)/(F109-F107)*LN(G107)+(F108-F107)/(F109-F107)*LN(G109))</f>
        <v>0.83478198732856634</v>
      </c>
      <c r="H108" s="7">
        <f t="shared" si="18"/>
        <v>3.8187499999999999E-2</v>
      </c>
      <c r="I108" s="7">
        <f t="shared" si="13"/>
        <v>3.8017827629827174E-2</v>
      </c>
      <c r="J108" s="7">
        <f t="shared" si="14"/>
        <v>3.8381466908954831E-2</v>
      </c>
      <c r="K108" s="7">
        <f t="shared" si="15"/>
        <v>4.079257099897482E-2</v>
      </c>
    </row>
    <row r="109" spans="6:11" ht="20" customHeight="1" x14ac:dyDescent="0.45">
      <c r="F109" s="2">
        <v>5</v>
      </c>
      <c r="G109" s="4">
        <f>IFERROR(VLOOKUP(F109,$F$23:$G$42,2,0),"")</f>
        <v>0.82631202381309932</v>
      </c>
      <c r="H109" s="7">
        <f>_xlfn.XLOOKUP(F109,$G$5:$G$18,$H$5:$H$18,"",0)</f>
        <v>3.8399999999999997E-2</v>
      </c>
      <c r="I109" s="7">
        <f t="shared" si="13"/>
        <v>3.815656479828454E-2</v>
      </c>
      <c r="J109" s="7">
        <f t="shared" si="14"/>
        <v>3.8522871449891749E-2</v>
      </c>
      <c r="K109" s="7">
        <f t="shared" si="15"/>
        <v>4.0792570998974598E-2</v>
      </c>
    </row>
    <row r="110" spans="6:11" ht="20" customHeight="1" x14ac:dyDescent="0.45">
      <c r="F110" s="2">
        <v>5.25</v>
      </c>
      <c r="G110" s="4">
        <f>EXP((F111-F110)/(F111-F109)*LN(G109)+(F110-F109)/(F111-F109)*LN(G111))</f>
        <v>0.81700995587610103</v>
      </c>
      <c r="H110" s="7">
        <f>((F110-$F$109)*$H$117+($F$117-F110)*$H$109)/($F$117-$F$109)</f>
        <v>3.8637499999999998E-2</v>
      </c>
      <c r="I110" s="7">
        <f t="shared" si="13"/>
        <v>3.8495999676480201E-2</v>
      </c>
      <c r="J110" s="7">
        <f t="shared" si="14"/>
        <v>3.886887369165315E-2</v>
      </c>
      <c r="K110" s="7">
        <f t="shared" si="15"/>
        <v>4.5284697240393412E-2</v>
      </c>
    </row>
    <row r="111" spans="6:11" ht="20" customHeight="1" x14ac:dyDescent="0.45">
      <c r="F111" s="2">
        <v>5.5</v>
      </c>
      <c r="G111" s="4">
        <f>IFERROR(VLOOKUP(F111,$F$23:$G$42,2,0),"")</f>
        <v>0.80781260439657998</v>
      </c>
      <c r="H111" s="7">
        <f t="shared" ref="H111:H116" si="19">((F111-$F$109)*$H$117+($F$117-F111)*$H$109)/($F$117-$F$109)</f>
        <v>3.8875E-2</v>
      </c>
      <c r="I111" s="7">
        <f t="shared" si="13"/>
        <v>3.8804576838476261E-2</v>
      </c>
      <c r="J111" s="7">
        <f t="shared" si="14"/>
        <v>3.9183472145866816E-2</v>
      </c>
      <c r="K111" s="7">
        <f t="shared" si="15"/>
        <v>4.5284697240393523E-2</v>
      </c>
    </row>
    <row r="112" spans="6:11" ht="20" customHeight="1" x14ac:dyDescent="0.45">
      <c r="F112" s="2">
        <v>5.75</v>
      </c>
      <c r="G112" s="4">
        <f>EXP((F113-F112)/(F113-F111)*LN(G111)+(F112-F111)/(F113-F111)*LN(G113))</f>
        <v>0.79871879054671624</v>
      </c>
      <c r="H112" s="7">
        <f t="shared" si="19"/>
        <v>3.9112499999999994E-2</v>
      </c>
      <c r="I112" s="7">
        <f t="shared" si="13"/>
        <v>3.9086321203777002E-2</v>
      </c>
      <c r="J112" s="7">
        <f t="shared" si="14"/>
        <v>3.947075660713173E-2</v>
      </c>
      <c r="K112" s="7">
        <f t="shared" si="15"/>
        <v>4.5284697240393301E-2</v>
      </c>
    </row>
    <row r="113" spans="6:11" ht="20" customHeight="1" x14ac:dyDescent="0.45">
      <c r="F113" s="2">
        <v>6</v>
      </c>
      <c r="G113" s="4">
        <f>IFERROR(VLOOKUP(F113,$F$23:$G$42,2,0),"")</f>
        <v>0.78972734876914485</v>
      </c>
      <c r="H113" s="7">
        <f t="shared" si="19"/>
        <v>3.9349999999999996E-2</v>
      </c>
      <c r="I113" s="7">
        <f t="shared" si="13"/>
        <v>3.9344586871969359E-2</v>
      </c>
      <c r="J113" s="7">
        <f t="shared" si="14"/>
        <v>3.9734136251103003E-2</v>
      </c>
      <c r="K113" s="7">
        <f t="shared" si="15"/>
        <v>4.5284697240393523E-2</v>
      </c>
    </row>
    <row r="114" spans="6:11" ht="20" customHeight="1" x14ac:dyDescent="0.45">
      <c r="F114" s="2">
        <v>6.25</v>
      </c>
      <c r="G114" s="4">
        <f>EXP((F115-F114)/(F115-F113)*LN(G113)+(F114-F113)/(F115-F113)*LN(G115))</f>
        <v>0.78083712662756588</v>
      </c>
      <c r="H114" s="7">
        <f t="shared" si="19"/>
        <v>3.9587499999999998E-2</v>
      </c>
      <c r="I114" s="7">
        <f t="shared" si="13"/>
        <v>3.9582191286706328E-2</v>
      </c>
      <c r="J114" s="7">
        <f t="shared" si="14"/>
        <v>3.9976475563872071E-2</v>
      </c>
      <c r="K114" s="7">
        <f t="shared" si="15"/>
        <v>4.5284697240393634E-2</v>
      </c>
    </row>
    <row r="115" spans="6:11" ht="20" customHeight="1" x14ac:dyDescent="0.45">
      <c r="F115" s="2">
        <v>6.5</v>
      </c>
      <c r="G115" s="4">
        <f>IFERROR(VLOOKUP(F115,$F$23:$G$42,2,0),"")</f>
        <v>0.77204698465903632</v>
      </c>
      <c r="H115" s="7">
        <f t="shared" si="19"/>
        <v>3.9824999999999999E-2</v>
      </c>
      <c r="I115" s="7">
        <f t="shared" si="13"/>
        <v>3.9801518438771215E-2</v>
      </c>
      <c r="J115" s="7">
        <f t="shared" si="14"/>
        <v>4.0200198946132915E-2</v>
      </c>
      <c r="K115" s="7">
        <f t="shared" si="15"/>
        <v>4.5284697240393301E-2</v>
      </c>
    </row>
    <row r="116" spans="6:11" ht="20" customHeight="1" x14ac:dyDescent="0.45">
      <c r="F116" s="2">
        <v>6.75</v>
      </c>
      <c r="G116" s="4">
        <f>EXP((F117-F116)/(F117-F115)*LN(G115)+(F116-F115)/(F117-F115)*LN(G117))</f>
        <v>0.76335579622792449</v>
      </c>
      <c r="H116" s="7">
        <f t="shared" si="19"/>
        <v>4.0062500000000001E-2</v>
      </c>
      <c r="I116" s="7">
        <f t="shared" si="13"/>
        <v>4.0004599135127585E-2</v>
      </c>
      <c r="J116" s="7">
        <f t="shared" si="14"/>
        <v>4.0407372102726491E-2</v>
      </c>
      <c r="K116" s="7">
        <f t="shared" si="15"/>
        <v>4.5284697240393301E-2</v>
      </c>
    </row>
    <row r="117" spans="6:11" ht="20" customHeight="1" x14ac:dyDescent="0.45">
      <c r="F117" s="2">
        <v>7</v>
      </c>
      <c r="G117" s="4">
        <f>IFERROR(VLOOKUP(F117,$F$23:$G$42,2,0),"")</f>
        <v>0.75476244738150899</v>
      </c>
      <c r="H117" s="7">
        <f>_xlfn.XLOOKUP(F117,$G$5:$G$18,$H$5:$H$18,"",0)</f>
        <v>4.0300000000000002E-2</v>
      </c>
      <c r="I117" s="7">
        <f t="shared" si="13"/>
        <v>4.0193174067458502E-2</v>
      </c>
      <c r="J117" s="7">
        <f t="shared" si="14"/>
        <v>4.0599766013812211E-2</v>
      </c>
      <c r="K117" s="7">
        <f t="shared" si="15"/>
        <v>4.5284697240393301E-2</v>
      </c>
    </row>
    <row r="118" spans="6:11" ht="20" customHeight="1" x14ac:dyDescent="0.45">
      <c r="F118" s="2">
        <v>7.25</v>
      </c>
      <c r="G118" s="4">
        <f>EXP((F119-F118)/(F119-F117)*LN(G117)+(F118-F117)/(F119-F117)*LN(G119))</f>
        <v>0.74576815188324708</v>
      </c>
      <c r="H118" s="7">
        <f>((F118-$F$117)*$H$129+($F$129-F118)*$H$117)/($F$129-$F$117)</f>
        <v>4.0475000000000004E-2</v>
      </c>
      <c r="I118" s="7">
        <f t="shared" si="13"/>
        <v>4.0460760750806332E-2</v>
      </c>
      <c r="J118" s="7">
        <f t="shared" si="14"/>
        <v>4.0872802940380204E-2</v>
      </c>
      <c r="K118" s="7">
        <f t="shared" si="15"/>
        <v>4.795318788454539E-2</v>
      </c>
    </row>
    <row r="119" spans="6:11" ht="20" customHeight="1" x14ac:dyDescent="0.45">
      <c r="F119" s="2">
        <v>7.5</v>
      </c>
      <c r="G119" s="4">
        <f>IFERROR(VLOOKUP(F119,$F$23:$G$42,2,0),"")</f>
        <v>0.73688103891876211</v>
      </c>
      <c r="H119" s="7">
        <f t="shared" ref="H119:H128" si="20">((F119-$F$117)*$H$129+($F$129-F119)*$H$117)/($F$129-$F$117)</f>
        <v>4.0649999999999999E-2</v>
      </c>
      <c r="I119" s="7">
        <f t="shared" si="13"/>
        <v>4.0710508321930967E-2</v>
      </c>
      <c r="J119" s="7">
        <f t="shared" si="14"/>
        <v>4.1127670365933344E-2</v>
      </c>
      <c r="K119" s="7">
        <f t="shared" si="15"/>
        <v>4.795318788454539E-2</v>
      </c>
    </row>
    <row r="120" spans="6:11" ht="20" customHeight="1" x14ac:dyDescent="0.45">
      <c r="F120" s="2">
        <v>7.75</v>
      </c>
      <c r="G120" s="4">
        <f>EXP((F121-F120)/(F121-F119)*LN(G119)+(F120-F119)/(F121-F119)*LN(G121))</f>
        <v>0.72809983122342026</v>
      </c>
      <c r="H120" s="7">
        <f t="shared" si="20"/>
        <v>4.0825E-2</v>
      </c>
      <c r="I120" s="7">
        <f t="shared" si="13"/>
        <v>4.0944143146531414E-2</v>
      </c>
      <c r="J120" s="7">
        <f t="shared" si="14"/>
        <v>4.1366123546030309E-2</v>
      </c>
      <c r="K120" s="7">
        <f t="shared" si="15"/>
        <v>4.7953187884544946E-2</v>
      </c>
    </row>
    <row r="121" spans="6:11" ht="20" customHeight="1" x14ac:dyDescent="0.45">
      <c r="F121" s="2">
        <v>8</v>
      </c>
      <c r="G121" s="4">
        <f>IFERROR(VLOOKUP(F121,$F$23:$G$42,2,0),"")</f>
        <v>0.71942326675339718</v>
      </c>
      <c r="H121" s="7">
        <f t="shared" si="20"/>
        <v>4.1000000000000002E-2</v>
      </c>
      <c r="I121" s="7">
        <f t="shared" si="13"/>
        <v>4.1163175794594352E-2</v>
      </c>
      <c r="J121" s="7">
        <f t="shared" si="14"/>
        <v>4.1589698702225064E-2</v>
      </c>
      <c r="K121" s="7">
        <f t="shared" si="15"/>
        <v>4.795318788454539E-2</v>
      </c>
    </row>
    <row r="122" spans="6:11" ht="20" customHeight="1" x14ac:dyDescent="0.45">
      <c r="F122" s="2">
        <v>8.25</v>
      </c>
      <c r="G122" s="4">
        <f>EXP((F123-F122)/(F123-F121)*LN(G121)+(F122-F121)/(F123-F121)*LN(G123))</f>
        <v>0.71085009850429615</v>
      </c>
      <c r="H122" s="7">
        <f t="shared" si="20"/>
        <v>4.1174999999999996E-2</v>
      </c>
      <c r="I122" s="7">
        <f t="shared" si="13"/>
        <v>4.1368933736714075E-2</v>
      </c>
      <c r="J122" s="7">
        <f t="shared" si="14"/>
        <v>4.1799746154301598E-2</v>
      </c>
      <c r="K122" s="7">
        <f t="shared" si="15"/>
        <v>4.7953187884545168E-2</v>
      </c>
    </row>
    <row r="123" spans="6:11" ht="20" customHeight="1" x14ac:dyDescent="0.45">
      <c r="F123" s="2">
        <v>8.5</v>
      </c>
      <c r="G123" s="4">
        <f>IFERROR(VLOOKUP(F123,$F$23:$G$42,2,0),"")</f>
        <v>0.70237909433192713</v>
      </c>
      <c r="H123" s="7">
        <f t="shared" si="20"/>
        <v>4.1350000000000005E-2</v>
      </c>
      <c r="I123" s="7">
        <f t="shared" si="13"/>
        <v>4.1562588270473814E-2</v>
      </c>
      <c r="J123" s="7">
        <f t="shared" si="14"/>
        <v>4.1997457615013278E-2</v>
      </c>
      <c r="K123" s="7">
        <f t="shared" si="15"/>
        <v>4.7953187884545168E-2</v>
      </c>
    </row>
    <row r="124" spans="6:11" ht="20" customHeight="1" x14ac:dyDescent="0.45">
      <c r="F124" s="2">
        <v>8.75</v>
      </c>
      <c r="G124" s="4">
        <f>EXP((F125-F124)/(F125-F123)*LN(G123)+(F124-F123)/(F125-F123)*LN(G125))</f>
        <v>0.69400903677522185</v>
      </c>
      <c r="H124" s="7">
        <f t="shared" si="20"/>
        <v>4.1524999999999999E-2</v>
      </c>
      <c r="I124" s="7">
        <f t="shared" si="13"/>
        <v>4.1745176830875863E-2</v>
      </c>
      <c r="J124" s="7">
        <f t="shared" si="14"/>
        <v>4.218388881300017E-2</v>
      </c>
      <c r="K124" s="7">
        <f t="shared" si="15"/>
        <v>4.7953187884545612E-2</v>
      </c>
    </row>
    <row r="125" spans="6:11" ht="20" customHeight="1" x14ac:dyDescent="0.45">
      <c r="F125" s="2">
        <v>9</v>
      </c>
      <c r="G125" s="4">
        <f>IFERROR(VLOOKUP(F125,$F$23:$G$42,2,0),"")</f>
        <v>0.68573872288125926</v>
      </c>
      <c r="H125" s="7">
        <f t="shared" si="20"/>
        <v>4.1699999999999994E-2</v>
      </c>
      <c r="I125" s="7">
        <f t="shared" si="13"/>
        <v>4.1917621582366692E-2</v>
      </c>
      <c r="J125" s="7">
        <f t="shared" si="14"/>
        <v>4.2359978350922312E-2</v>
      </c>
      <c r="K125" s="7">
        <f t="shared" si="15"/>
        <v>4.7953187884545612E-2</v>
      </c>
    </row>
    <row r="126" spans="6:11" ht="20" customHeight="1" x14ac:dyDescent="0.45">
      <c r="F126" s="2">
        <v>9.25</v>
      </c>
      <c r="G126" s="4">
        <f>EXP((F127-F126)/(F127-F125)*LN(G125)+(F126-F125)/(F127-F125)*LN(G127))</f>
        <v>0.67756696403237582</v>
      </c>
      <c r="H126" s="7">
        <f t="shared" si="20"/>
        <v>4.1874999999999996E-2</v>
      </c>
      <c r="I126" s="7">
        <f t="shared" si="13"/>
        <v>4.2080744995939078E-2</v>
      </c>
      <c r="J126" s="7">
        <f t="shared" si="14"/>
        <v>4.2526563510021376E-2</v>
      </c>
      <c r="K126" s="7">
        <f t="shared" si="15"/>
        <v>4.7953187884544946E-2</v>
      </c>
    </row>
    <row r="127" spans="6:11" ht="20" customHeight="1" x14ac:dyDescent="0.45">
      <c r="F127" s="2">
        <v>9.5</v>
      </c>
      <c r="G127" s="4">
        <f>IFERROR(VLOOKUP(F127,$F$23:$G$42,2,0),"")</f>
        <v>0.66949258577533599</v>
      </c>
      <c r="H127" s="7">
        <f t="shared" si="20"/>
        <v>4.2049999999999997E-2</v>
      </c>
      <c r="I127" s="7">
        <f t="shared" si="13"/>
        <v>4.2235282966691878E-2</v>
      </c>
      <c r="J127" s="7">
        <f t="shared" si="14"/>
        <v>4.2684393562793854E-2</v>
      </c>
      <c r="K127" s="7">
        <f t="shared" si="15"/>
        <v>4.7953187884545612E-2</v>
      </c>
    </row>
    <row r="128" spans="6:11" ht="20" customHeight="1" x14ac:dyDescent="0.45">
      <c r="F128" s="2">
        <v>9.75</v>
      </c>
      <c r="G128" s="4">
        <f>EXP((F129-F128)/(F129-F127)*LN(G127)+(F128-F127)/(F129-F127)*LN(G129))</f>
        <v>0.66151442765253909</v>
      </c>
      <c r="H128" s="7">
        <f t="shared" si="20"/>
        <v>4.2224999999999992E-2</v>
      </c>
      <c r="I128" s="7">
        <f t="shared" si="13"/>
        <v>4.2381895913303505E-2</v>
      </c>
      <c r="J128" s="7">
        <f t="shared" si="14"/>
        <v>4.2834141040425155E-2</v>
      </c>
      <c r="K128" s="7">
        <f t="shared" si="15"/>
        <v>4.795318788454539E-2</v>
      </c>
    </row>
    <row r="129" spans="6:11" ht="20" customHeight="1" x14ac:dyDescent="0.45">
      <c r="F129" s="2">
        <v>10</v>
      </c>
      <c r="G129" s="4">
        <f>IFERROR(VLOOKUP(F129,$F$23:$G$82,2,0),"")</f>
        <v>0.65363134303523696</v>
      </c>
      <c r="H129" s="7">
        <f>_xlfn.XLOOKUP(F129,$G$5:$G$18,$H$5:$H$18,"",0)</f>
        <v>4.24E-2</v>
      </c>
      <c r="I129" s="7">
        <f t="shared" si="13"/>
        <v>4.252117821258454E-2</v>
      </c>
      <c r="J129" s="7">
        <f t="shared" si="14"/>
        <v>4.2976411312407148E-2</v>
      </c>
      <c r="K129" s="7">
        <f t="shared" si="15"/>
        <v>4.7953187884544946E-2</v>
      </c>
    </row>
    <row r="130" spans="6:11" ht="20" customHeight="1" x14ac:dyDescent="0.45">
      <c r="F130" s="2">
        <v>10.25</v>
      </c>
      <c r="G130" s="4">
        <f>EXP((F131-F130)/(F131-F129)*LN(G129)+(F130-F129)/(F131-F129)*LN(G131))</f>
        <v>0.64455289154883266</v>
      </c>
      <c r="H130" s="7">
        <f>((F130-$F$129)*$H$169+($F$169-F130)*$H$129)/($F$169-$F$129)</f>
        <v>4.2535000000000003E-2</v>
      </c>
      <c r="I130" s="7">
        <f t="shared" si="13"/>
        <v>4.2848623800172389E-2</v>
      </c>
      <c r="J130" s="7">
        <f t="shared" si="14"/>
        <v>4.331092050076446E-2</v>
      </c>
      <c r="K130" s="7">
        <f t="shared" si="15"/>
        <v>5.5946447303686142E-2</v>
      </c>
    </row>
    <row r="131" spans="6:11" ht="20" customHeight="1" x14ac:dyDescent="0.45">
      <c r="F131" s="2">
        <v>10.5</v>
      </c>
      <c r="G131" s="4">
        <f>IFERROR(VLOOKUP(F131,$F$23:$G$82,2,0),"")</f>
        <v>0.63560053297744712</v>
      </c>
      <c r="H131" s="7">
        <f t="shared" ref="H131:H168" si="21">((F131-$F$129)*$H$169+($F$169-F131)*$H$129)/($F$169-$F$129)</f>
        <v>4.267E-2</v>
      </c>
      <c r="I131" s="7">
        <f t="shared" si="13"/>
        <v>4.3160476740732256E-2</v>
      </c>
      <c r="J131" s="7">
        <f t="shared" si="14"/>
        <v>4.3629551601148453E-2</v>
      </c>
      <c r="K131" s="7">
        <f t="shared" si="15"/>
        <v>5.594644730368703E-2</v>
      </c>
    </row>
    <row r="132" spans="6:11" ht="20" customHeight="1" x14ac:dyDescent="0.45">
      <c r="F132" s="2">
        <v>10.75</v>
      </c>
      <c r="G132" s="4">
        <f t="shared" ref="G132" si="22">EXP((F133-F132)/(F133-F131)*LN(G131)+(F132-F131)/(F133-F131)*LN(G133))</f>
        <v>0.62677251598460615</v>
      </c>
      <c r="H132" s="7">
        <f t="shared" si="21"/>
        <v>4.2804999999999996E-2</v>
      </c>
      <c r="I132" s="7">
        <f t="shared" si="13"/>
        <v>4.3457824893359108E-2</v>
      </c>
      <c r="J132" s="7">
        <f t="shared" si="14"/>
        <v>4.393340892435349E-2</v>
      </c>
      <c r="K132" s="7">
        <f t="shared" si="15"/>
        <v>5.5946447303686808E-2</v>
      </c>
    </row>
    <row r="133" spans="6:11" ht="20" customHeight="1" x14ac:dyDescent="0.45">
      <c r="F133" s="2">
        <v>11</v>
      </c>
      <c r="G133" s="4">
        <f t="shared" ref="G133" si="23">IFERROR(VLOOKUP(F133,$F$23:$G$82,2,0),"")</f>
        <v>0.61806711355859201</v>
      </c>
      <c r="H133" s="7">
        <f t="shared" si="21"/>
        <v>4.2939999999999999E-2</v>
      </c>
      <c r="I133" s="7">
        <f t="shared" si="13"/>
        <v>4.3741657220866551E-2</v>
      </c>
      <c r="J133" s="7">
        <f t="shared" si="14"/>
        <v>4.4223496696301101E-2</v>
      </c>
      <c r="K133" s="7">
        <f t="shared" si="15"/>
        <v>5.5946447303686586E-2</v>
      </c>
    </row>
    <row r="134" spans="6:11" ht="20" customHeight="1" x14ac:dyDescent="0.45">
      <c r="F134" s="2">
        <v>11.25</v>
      </c>
      <c r="G134" s="4">
        <f t="shared" ref="G134" si="24">EXP((F135-F134)/(F135-F133)*LN(G133)+(F134-F133)/(F135-F133)*LN(G135))</f>
        <v>0.60948262267459041</v>
      </c>
      <c r="H134" s="7">
        <f t="shared" si="21"/>
        <v>4.3075000000000002E-2</v>
      </c>
      <c r="I134" s="7">
        <f t="shared" si="13"/>
        <v>4.4012874778262559E-2</v>
      </c>
      <c r="J134" s="7">
        <f t="shared" si="14"/>
        <v>4.4500730145293765E-2</v>
      </c>
      <c r="K134" s="7">
        <f t="shared" si="15"/>
        <v>5.5946447303686808E-2</v>
      </c>
    </row>
    <row r="135" spans="6:11" ht="20" customHeight="1" x14ac:dyDescent="0.45">
      <c r="F135" s="2">
        <v>11.5</v>
      </c>
      <c r="G135" s="4">
        <f t="shared" ref="G135" si="25">IFERROR(VLOOKUP(F135,$F$23:$G$82,2,0),"")</f>
        <v>0.60101736396153105</v>
      </c>
      <c r="H135" s="7">
        <f t="shared" si="21"/>
        <v>4.3209999999999998E-2</v>
      </c>
      <c r="I135" s="7">
        <f t="shared" si="13"/>
        <v>4.4272300267945687E-2</v>
      </c>
      <c r="J135" s="7">
        <f t="shared" si="14"/>
        <v>4.4765945147342556E-2</v>
      </c>
      <c r="K135" s="7">
        <f t="shared" si="15"/>
        <v>5.5946447303686586E-2</v>
      </c>
    </row>
    <row r="136" spans="6:11" ht="20" customHeight="1" x14ac:dyDescent="0.45">
      <c r="F136" s="2">
        <v>11.75</v>
      </c>
      <c r="G136" s="4">
        <f t="shared" ref="G136" si="26">EXP((F137-F136)/(F137-F135)*LN(G135)+(F136-F135)/(F137-F135)*LN(G137))</f>
        <v>0.59266968137355391</v>
      </c>
      <c r="H136" s="7">
        <f t="shared" si="21"/>
        <v>4.3345000000000002E-2</v>
      </c>
      <c r="I136" s="7">
        <f t="shared" si="13"/>
        <v>4.4520686375089102E-2</v>
      </c>
      <c r="J136" s="7">
        <f t="shared" si="14"/>
        <v>4.501990664371025E-2</v>
      </c>
      <c r="K136" s="7">
        <f t="shared" si="15"/>
        <v>5.5946447303686142E-2</v>
      </c>
    </row>
    <row r="137" spans="6:11" ht="20" customHeight="1" x14ac:dyDescent="0.45">
      <c r="F137" s="2">
        <v>12</v>
      </c>
      <c r="G137" s="4">
        <f t="shared" ref="G137" si="27">IFERROR(VLOOKUP(F137,$F$23:$G$82,2,0),"")</f>
        <v>0.58443794186603992</v>
      </c>
      <c r="H137" s="7">
        <f t="shared" si="21"/>
        <v>4.3480000000000005E-2</v>
      </c>
      <c r="I137" s="7">
        <f t="shared" si="13"/>
        <v>4.4758723061101569E-2</v>
      </c>
      <c r="J137" s="7">
        <f t="shared" si="14"/>
        <v>4.5263316009215959E-2</v>
      </c>
      <c r="K137" s="7">
        <f t="shared" si="15"/>
        <v>5.5946447303687474E-2</v>
      </c>
    </row>
    <row r="138" spans="6:11" ht="20" customHeight="1" x14ac:dyDescent="0.45">
      <c r="F138" s="2">
        <v>12.25</v>
      </c>
      <c r="G138" s="4">
        <f t="shared" ref="G138" si="28">EXP((F139-F138)/(F139-F137)*LN(G137)+(F138-F137)/(F139-F137)*LN(G139))</f>
        <v>0.57632053507614123</v>
      </c>
      <c r="H138" s="7">
        <f t="shared" si="21"/>
        <v>4.3615000000000001E-2</v>
      </c>
      <c r="I138" s="7">
        <f t="shared" si="13"/>
        <v>4.4987043964011458E-2</v>
      </c>
      <c r="J138" s="7">
        <f t="shared" si="14"/>
        <v>4.5496817520781274E-2</v>
      </c>
      <c r="K138" s="7">
        <f t="shared" si="15"/>
        <v>5.5946447303686142E-2</v>
      </c>
    </row>
    <row r="139" spans="6:11" ht="20" customHeight="1" x14ac:dyDescent="0.45">
      <c r="F139" s="2">
        <v>12.5</v>
      </c>
      <c r="G139" s="4">
        <f t="shared" ref="G139" si="29">IFERROR(VLOOKUP(F139,$F$23:$G$82,2,0),"")</f>
        <v>0.56831587300774766</v>
      </c>
      <c r="H139" s="7">
        <f t="shared" si="21"/>
        <v>4.3749999999999997E-2</v>
      </c>
      <c r="I139" s="7">
        <f t="shared" si="13"/>
        <v>4.5206232030804955E-2</v>
      </c>
      <c r="J139" s="7">
        <f t="shared" si="14"/>
        <v>4.5721004051842318E-2</v>
      </c>
      <c r="K139" s="7">
        <f t="shared" si="15"/>
        <v>5.5946447303686142E-2</v>
      </c>
    </row>
    <row r="140" spans="6:11" ht="20" customHeight="1" x14ac:dyDescent="0.45">
      <c r="F140" s="2">
        <v>12.75</v>
      </c>
      <c r="G140" s="4">
        <f t="shared" ref="G140" si="30">EXP((F141-F140)/(F141-F139)*LN(G139)+(F140-F139)/(F141-F139)*LN(G141))</f>
        <v>0.56042238972082969</v>
      </c>
      <c r="H140" s="7">
        <f t="shared" si="21"/>
        <v>4.3885E-2</v>
      </c>
      <c r="I140" s="7">
        <f t="shared" si="13"/>
        <v>4.5416824487135972E-2</v>
      </c>
      <c r="J140" s="7">
        <f t="shared" si="14"/>
        <v>4.5936422098602936E-2</v>
      </c>
      <c r="K140" s="7">
        <f t="shared" si="15"/>
        <v>5.594644730368703E-2</v>
      </c>
    </row>
    <row r="141" spans="6:11" ht="20" customHeight="1" x14ac:dyDescent="0.45">
      <c r="F141" s="2">
        <v>13</v>
      </c>
      <c r="G141" s="4">
        <f t="shared" ref="G141" si="31">IFERROR(VLOOKUP(F141,$F$23:$G$82,2,0),"")</f>
        <v>0.55263854102509624</v>
      </c>
      <c r="H141" s="7">
        <f t="shared" si="21"/>
        <v>4.4020000000000004E-2</v>
      </c>
      <c r="I141" s="7">
        <f t="shared" si="13"/>
        <v>4.5619317233608091E-2</v>
      </c>
      <c r="J141" s="7">
        <f t="shared" si="14"/>
        <v>4.6143576227836824E-2</v>
      </c>
      <c r="K141" s="7">
        <f t="shared" si="15"/>
        <v>5.5946447303686142E-2</v>
      </c>
    </row>
    <row r="142" spans="6:11" ht="20" customHeight="1" x14ac:dyDescent="0.45">
      <c r="F142" s="2">
        <v>13.25</v>
      </c>
      <c r="G142" s="4">
        <f t="shared" ref="G142" si="32">EXP((F143-F142)/(F143-F141)*LN(G141)+(F142-F141)/(F143-F141)*LN(G143))</f>
        <v>0.54496280417790655</v>
      </c>
      <c r="H142" s="7">
        <f t="shared" si="21"/>
        <v>4.4155E-2</v>
      </c>
      <c r="I142" s="7">
        <f t="shared" si="13"/>
        <v>4.5814168744364295E-2</v>
      </c>
      <c r="J142" s="7">
        <f t="shared" si="14"/>
        <v>4.6342933022448296E-2</v>
      </c>
      <c r="K142" s="7">
        <f t="shared" si="15"/>
        <v>5.594644730368703E-2</v>
      </c>
    </row>
    <row r="143" spans="6:11" ht="20" customHeight="1" x14ac:dyDescent="0.45">
      <c r="F143" s="2">
        <v>13.5</v>
      </c>
      <c r="G143" s="4">
        <f t="shared" ref="G143" si="33">IFERROR(VLOOKUP(F143,$F$23:$G$82,2,0),"")</f>
        <v>0.53739367758637879</v>
      </c>
      <c r="H143" s="7">
        <f t="shared" si="21"/>
        <v>4.4290000000000003E-2</v>
      </c>
      <c r="I143" s="7">
        <f t="shared" si="13"/>
        <v>4.6001803532499906E-2</v>
      </c>
      <c r="J143" s="7">
        <f t="shared" si="14"/>
        <v>4.65349245897273E-2</v>
      </c>
      <c r="K143" s="7">
        <f t="shared" si="15"/>
        <v>5.594644730368703E-2</v>
      </c>
    </row>
    <row r="144" spans="6:11" ht="20" customHeight="1" x14ac:dyDescent="0.45">
      <c r="F144" s="2">
        <v>13.75</v>
      </c>
      <c r="G144" s="4">
        <f t="shared" ref="G144" si="34">EXP((F145-F144)/(F145-F143)*LN(G143)+(F144-F143)/(F145-F143)*LN(G145))</f>
        <v>0.52992968051363532</v>
      </c>
      <c r="H144" s="7">
        <f t="shared" si="21"/>
        <v>4.4425000000000006E-2</v>
      </c>
      <c r="I144" s="7">
        <f t="shared" si="13"/>
        <v>4.6182615237430578E-2</v>
      </c>
      <c r="J144" s="7">
        <f t="shared" si="14"/>
        <v>4.6719951687824945E-2</v>
      </c>
      <c r="K144" s="7">
        <f t="shared" si="15"/>
        <v>5.594644730368703E-2</v>
      </c>
    </row>
    <row r="145" spans="6:11" ht="20" customHeight="1" x14ac:dyDescent="0.45">
      <c r="F145" s="2">
        <v>14</v>
      </c>
      <c r="G145" s="4">
        <f t="shared" ref="G145" si="35">IFERROR(VLOOKUP(F145,$F$23:$G$82,2,0),"")</f>
        <v>0.52256935278912864</v>
      </c>
      <c r="H145" s="7">
        <f t="shared" si="21"/>
        <v>4.4560000000000002E-2</v>
      </c>
      <c r="I145" s="7">
        <f t="shared" si="13"/>
        <v>4.635696938147086E-2</v>
      </c>
      <c r="J145" s="7">
        <f t="shared" si="14"/>
        <v>4.6898386518058111E-2</v>
      </c>
      <c r="K145" s="7">
        <f t="shared" si="15"/>
        <v>5.5946447303686142E-2</v>
      </c>
    </row>
    <row r="146" spans="6:11" ht="20" customHeight="1" x14ac:dyDescent="0.45">
      <c r="F146" s="2">
        <v>14.25</v>
      </c>
      <c r="G146" s="4">
        <f t="shared" ref="G146" si="36">EXP((F147-F146)/(F147-F145)*LN(G145)+(F146-F145)/(F147-F145)*LN(G147))</f>
        <v>0.5153112545229902</v>
      </c>
      <c r="H146" s="7">
        <f t="shared" si="21"/>
        <v>4.4694999999999999E-2</v>
      </c>
      <c r="I146" s="7">
        <f t="shared" si="13"/>
        <v>4.6525205836246565E-2</v>
      </c>
      <c r="J146" s="7">
        <f t="shared" si="14"/>
        <v>4.7070575223978395E-2</v>
      </c>
      <c r="K146" s="7">
        <f t="shared" si="15"/>
        <v>5.5946447303686142E-2</v>
      </c>
    </row>
    <row r="147" spans="6:11" ht="20" customHeight="1" x14ac:dyDescent="0.45">
      <c r="F147" s="2">
        <v>14.5</v>
      </c>
      <c r="G147" s="4">
        <f t="shared" ref="G147" si="37">IFERROR(VLOOKUP(F147,$F$23:$G$82,2,0),"")</f>
        <v>0.50815396582434691</v>
      </c>
      <c r="H147" s="7">
        <f t="shared" si="21"/>
        <v>4.4830000000000002E-2</v>
      </c>
      <c r="I147" s="7">
        <f t="shared" si="13"/>
        <v>4.6687641033961051E-2</v>
      </c>
      <c r="J147" s="7">
        <f t="shared" si="14"/>
        <v>4.7236840132516278E-2</v>
      </c>
      <c r="K147" s="7">
        <f t="shared" si="15"/>
        <v>5.594644730368703E-2</v>
      </c>
    </row>
    <row r="148" spans="6:11" ht="20" customHeight="1" x14ac:dyDescent="0.45">
      <c r="F148" s="2">
        <v>14.75</v>
      </c>
      <c r="G148" s="4">
        <f t="shared" ref="G148" si="38">EXP((F149-F148)/(F149-F147)*LN(G147)+(F148-F147)/(F149-F147)*LN(G149))</f>
        <v>0.5010960865235502</v>
      </c>
      <c r="H148" s="7">
        <f t="shared" si="21"/>
        <v>4.4964999999999998E-2</v>
      </c>
      <c r="I148" s="7">
        <f t="shared" si="13"/>
        <v>4.684456995378692E-2</v>
      </c>
      <c r="J148" s="7">
        <f t="shared" si="14"/>
        <v>4.7397481767738281E-2</v>
      </c>
      <c r="K148" s="7">
        <f t="shared" si="15"/>
        <v>5.594644730368703E-2</v>
      </c>
    </row>
    <row r="149" spans="6:11" ht="20" customHeight="1" x14ac:dyDescent="0.45">
      <c r="F149" s="2">
        <v>15</v>
      </c>
      <c r="G149" s="4">
        <f t="shared" ref="G149" si="39">IFERROR(VLOOKUP(F149,$F$23:$G$82,2,0),"")</f>
        <v>0.494136235898263</v>
      </c>
      <c r="H149" s="7">
        <f t="shared" si="21"/>
        <v>4.5100000000000001E-2</v>
      </c>
      <c r="I149" s="7">
        <f t="shared" si="13"/>
        <v>4.6996267909618569E-2</v>
      </c>
      <c r="J149" s="7">
        <f t="shared" si="14"/>
        <v>4.7552780663674632E-2</v>
      </c>
      <c r="K149" s="7">
        <f t="shared" si="15"/>
        <v>5.5946447303686142E-2</v>
      </c>
    </row>
    <row r="150" spans="6:11" ht="20" customHeight="1" x14ac:dyDescent="0.45">
      <c r="F150" s="2">
        <v>15.25</v>
      </c>
      <c r="G150" s="4">
        <f t="shared" ref="G150" si="40">EXP((F151-F150)/(F151-F149)*LN(G149)+(F150-F149)/(F151-F149)*LN(G151))</f>
        <v>0.48727305240335061</v>
      </c>
      <c r="H150" s="7">
        <f t="shared" si="21"/>
        <v>4.5235000000000004E-2</v>
      </c>
      <c r="I150" s="7">
        <f t="shared" si="13"/>
        <v>4.7142992161980347E-2</v>
      </c>
      <c r="J150" s="7">
        <f t="shared" si="14"/>
        <v>4.770299899923236E-2</v>
      </c>
      <c r="K150" s="7">
        <f t="shared" si="15"/>
        <v>5.594644730368703E-2</v>
      </c>
    </row>
    <row r="151" spans="6:11" ht="20" customHeight="1" x14ac:dyDescent="0.45">
      <c r="F151" s="2">
        <v>15.5</v>
      </c>
      <c r="G151" s="4">
        <f t="shared" ref="G151" si="41">IFERROR(VLOOKUP(F151,$F$23:$G$82,2,0),"")</f>
        <v>0.48050519340452424</v>
      </c>
      <c r="H151" s="7">
        <f t="shared" si="21"/>
        <v>4.5370000000000001E-2</v>
      </c>
      <c r="I151" s="7">
        <f t="shared" si="13"/>
        <v>4.7284983373943351E-2</v>
      </c>
      <c r="J151" s="7">
        <f t="shared" si="14"/>
        <v>4.7848382075235119E-2</v>
      </c>
      <c r="K151" s="7">
        <f t="shared" si="15"/>
        <v>5.5946447303686586E-2</v>
      </c>
    </row>
    <row r="152" spans="6:11" ht="20" customHeight="1" x14ac:dyDescent="0.45">
      <c r="F152" s="2">
        <v>15.75</v>
      </c>
      <c r="G152" s="4">
        <f t="shared" ref="G152" si="42">EXP((F153-F152)/(F153-F151)*LN(G151)+(F152-F151)/(F153-F151)*LN(G153))</f>
        <v>0.47383133491568313</v>
      </c>
      <c r="H152" s="7">
        <f t="shared" si="21"/>
        <v>4.5505000000000004E-2</v>
      </c>
      <c r="I152" s="7">
        <f t="shared" si="13"/>
        <v>4.7422466928383721E-2</v>
      </c>
      <c r="J152" s="7">
        <f t="shared" si="14"/>
        <v>4.798915965109174E-2</v>
      </c>
      <c r="K152" s="7">
        <f t="shared" si="15"/>
        <v>5.5946447303686586E-2</v>
      </c>
    </row>
    <row r="153" spans="6:11" ht="20" customHeight="1" x14ac:dyDescent="0.45">
      <c r="F153" s="2">
        <v>16</v>
      </c>
      <c r="G153" s="4">
        <f t="shared" ref="G153" si="43">IFERROR(VLOOKUP(F153,$F$23:$G$82,2,0),"")</f>
        <v>0.46725017133990532</v>
      </c>
      <c r="H153" s="7">
        <f t="shared" si="21"/>
        <v>4.564E-2</v>
      </c>
      <c r="I153" s="7">
        <f t="shared" si="13"/>
        <v>4.755565412174783E-2</v>
      </c>
      <c r="J153" s="7">
        <f t="shared" si="14"/>
        <v>4.8125547156415482E-2</v>
      </c>
      <c r="K153" s="7">
        <f t="shared" si="15"/>
        <v>5.5946447303686586E-2</v>
      </c>
    </row>
    <row r="154" spans="6:11" ht="20" customHeight="1" x14ac:dyDescent="0.45">
      <c r="F154" s="2">
        <v>16.25</v>
      </c>
      <c r="G154" s="4">
        <f t="shared" ref="G154" si="44">EXP((F155-F154)/(F155-F153)*LN(G153)+(F154-F153)/(F155-F153)*LN(G155))</f>
        <v>0.46076041521403549</v>
      </c>
      <c r="H154" s="7">
        <f t="shared" si="21"/>
        <v>4.5774999999999996E-2</v>
      </c>
      <c r="I154" s="7">
        <f t="shared" si="13"/>
        <v>4.7684743247623812E-2</v>
      </c>
      <c r="J154" s="7">
        <f t="shared" si="14"/>
        <v>4.825774679103656E-2</v>
      </c>
      <c r="K154" s="7">
        <f t="shared" si="15"/>
        <v>5.5946447303686586E-2</v>
      </c>
    </row>
    <row r="155" spans="6:11" ht="20" customHeight="1" x14ac:dyDescent="0.45">
      <c r="F155" s="2">
        <v>16.5</v>
      </c>
      <c r="G155" s="4">
        <f t="shared" ref="G155" si="45">IFERROR(VLOOKUP(F155,$F$23:$G$82,2,0),"")</f>
        <v>0.45436079695682074</v>
      </c>
      <c r="H155" s="7">
        <f t="shared" si="21"/>
        <v>4.5910000000000006E-2</v>
      </c>
      <c r="I155" s="7">
        <f t="shared" ref="I155:I209" si="46">-LN(G155)/F155</f>
        <v>4.7809920581806574E-2</v>
      </c>
      <c r="J155" s="7">
        <f t="shared" ref="J155:J209" si="47">2*(G155^(-1/(2*F155))-1)</f>
        <v>4.8385948525214051E-2</v>
      </c>
      <c r="K155" s="7">
        <f t="shared" si="15"/>
        <v>5.5946447303686142E-2</v>
      </c>
    </row>
    <row r="156" spans="6:11" ht="20" customHeight="1" x14ac:dyDescent="0.45">
      <c r="F156" s="2">
        <v>16.75</v>
      </c>
      <c r="G156" s="4">
        <f t="shared" ref="G156" si="48">EXP((F157-F156)/(F157-F155)*LN(G155)+(F156-F155)/(F157-F155)*LN(G157))</f>
        <v>0.44805006462054392</v>
      </c>
      <c r="H156" s="7">
        <f t="shared" si="21"/>
        <v>4.6045000000000003E-2</v>
      </c>
      <c r="I156" s="7">
        <f t="shared" si="46"/>
        <v>4.7931361279148064E-2</v>
      </c>
      <c r="J156" s="7">
        <f t="shared" si="47"/>
        <v>4.8510331010456209E-2</v>
      </c>
      <c r="K156" s="7">
        <f t="shared" ref="K156:K209" si="49">(I156*F156-I155*F155)/(F156-F155)</f>
        <v>5.5946447303686586E-2</v>
      </c>
    </row>
    <row r="157" spans="6:11" ht="20" customHeight="1" x14ac:dyDescent="0.45">
      <c r="F157" s="2">
        <v>17</v>
      </c>
      <c r="G157" s="4">
        <f t="shared" ref="G157" si="50">IFERROR(VLOOKUP(F157,$F$23:$G$82,2,0),"")</f>
        <v>0.44182698364610745</v>
      </c>
      <c r="H157" s="7">
        <f t="shared" si="21"/>
        <v>4.6179999999999999E-2</v>
      </c>
      <c r="I157" s="7">
        <f t="shared" si="46"/>
        <v>4.8049230191273634E-2</v>
      </c>
      <c r="J157" s="7">
        <f t="shared" si="47"/>
        <v>4.8631062410138259E-2</v>
      </c>
      <c r="K157" s="7">
        <f t="shared" si="49"/>
        <v>5.5946447303686586E-2</v>
      </c>
    </row>
    <row r="158" spans="6:11" ht="20" customHeight="1" x14ac:dyDescent="0.45">
      <c r="F158" s="2">
        <v>17.25</v>
      </c>
      <c r="G158" s="4">
        <f t="shared" ref="G158" si="51">EXP((F159-F158)/(F159-F157)*LN(G157)+(F158-F157)/(F159-F157)*LN(G159))</f>
        <v>0.43569033662151807</v>
      </c>
      <c r="H158" s="7">
        <f t="shared" si="21"/>
        <v>4.6315000000000002E-2</v>
      </c>
      <c r="I158" s="7">
        <f t="shared" si="46"/>
        <v>4.8163682613192663E-2</v>
      </c>
      <c r="J158" s="7">
        <f t="shared" si="47"/>
        <v>4.8748301158026308E-2</v>
      </c>
      <c r="K158" s="7">
        <f t="shared" si="49"/>
        <v>5.5946447303686586E-2</v>
      </c>
    </row>
    <row r="159" spans="6:11" ht="20" customHeight="1" x14ac:dyDescent="0.45">
      <c r="F159" s="2">
        <v>17.5</v>
      </c>
      <c r="G159" s="4">
        <f t="shared" ref="G159" si="52">IFERROR(VLOOKUP(F159,$F$23:$G$82,2,0),"")</f>
        <v>0.42963892304372636</v>
      </c>
      <c r="H159" s="7">
        <f t="shared" si="21"/>
        <v>4.6450000000000005E-2</v>
      </c>
      <c r="I159" s="7">
        <f t="shared" si="46"/>
        <v>4.8274864965914002E-2</v>
      </c>
      <c r="J159" s="7">
        <f t="shared" si="47"/>
        <v>4.88621966519176E-2</v>
      </c>
      <c r="K159" s="7">
        <f t="shared" si="49"/>
        <v>5.5946447303686586E-2</v>
      </c>
    </row>
    <row r="160" spans="6:11" ht="20" customHeight="1" x14ac:dyDescent="0.45">
      <c r="F160" s="2">
        <v>17.75</v>
      </c>
      <c r="G160" s="4">
        <f t="shared" ref="G160" si="53">EXP((F161-F160)/(F161-F159)*LN(G159)+(F160-F159)/(F161-F159)*LN(G161))</f>
        <v>0.42367155908377435</v>
      </c>
      <c r="H160" s="7">
        <f t="shared" si="21"/>
        <v>4.6585000000000001E-2</v>
      </c>
      <c r="I160" s="7">
        <f t="shared" si="46"/>
        <v>4.8382915421375593E-2</v>
      </c>
      <c r="J160" s="7">
        <f t="shared" si="47"/>
        <v>4.8972889888767579E-2</v>
      </c>
      <c r="K160" s="7">
        <f t="shared" si="49"/>
        <v>5.594644730368703E-2</v>
      </c>
    </row>
    <row r="161" spans="6:11" ht="20" customHeight="1" x14ac:dyDescent="0.45">
      <c r="F161" s="2">
        <v>18</v>
      </c>
      <c r="G161" s="4">
        <f t="shared" ref="G161" si="54">IFERROR(VLOOKUP(F161,$F$23:$G$82,2,0),"")</f>
        <v>0.41778707735520459</v>
      </c>
      <c r="H161" s="7">
        <f t="shared" si="21"/>
        <v>4.6719999999999998E-2</v>
      </c>
      <c r="I161" s="7">
        <f t="shared" si="46"/>
        <v>4.8487964475296588E-2</v>
      </c>
      <c r="J161" s="7">
        <f t="shared" si="47"/>
        <v>4.9080514046992985E-2</v>
      </c>
      <c r="K161" s="7">
        <f t="shared" si="49"/>
        <v>5.594644730368703E-2</v>
      </c>
    </row>
    <row r="162" spans="6:11" ht="20" customHeight="1" x14ac:dyDescent="0.45">
      <c r="F162" s="2">
        <v>18.25</v>
      </c>
      <c r="G162" s="4">
        <f t="shared" ref="G162" si="55">EXP((F163-F162)/(F163-F161)*LN(G161)+(F162-F161)/(F163-F161)*LN(G163))</f>
        <v>0.41198432668568624</v>
      </c>
      <c r="H162" s="7">
        <f t="shared" si="21"/>
        <v>4.6855000000000001E-2</v>
      </c>
      <c r="I162" s="7">
        <f t="shared" si="46"/>
        <v>4.8590135472945765E-2</v>
      </c>
      <c r="J162" s="7">
        <f t="shared" si="47"/>
        <v>4.9185195021002048E-2</v>
      </c>
      <c r="K162" s="7">
        <f t="shared" si="49"/>
        <v>5.5946447303686586E-2</v>
      </c>
    </row>
    <row r="163" spans="6:11" ht="20" customHeight="1" x14ac:dyDescent="0.45">
      <c r="F163" s="2">
        <v>18.5</v>
      </c>
      <c r="G163" s="4">
        <f t="shared" ref="G163" si="56">IFERROR(VLOOKUP(F163,$F$23:$G$82,2,0),"")</f>
        <v>0.40626217189181291</v>
      </c>
      <c r="H163" s="7">
        <f t="shared" si="21"/>
        <v>4.6989999999999997E-2</v>
      </c>
      <c r="I163" s="7">
        <f t="shared" si="46"/>
        <v>4.8689545092280101E-2</v>
      </c>
      <c r="J163" s="7">
        <f t="shared" si="47"/>
        <v>4.9287051912461077E-2</v>
      </c>
      <c r="K163" s="7">
        <f t="shared" si="49"/>
        <v>5.5946447303686586E-2</v>
      </c>
    </row>
    <row r="164" spans="6:11" ht="20" customHeight="1" x14ac:dyDescent="0.45">
      <c r="F164" s="2">
        <v>18.75</v>
      </c>
      <c r="G164" s="4">
        <f t="shared" ref="G164" si="57">EXP((F165-F164)/(F165-F163)*LN(G163)+(F164-F163)/(F165-F163)*LN(G165))</f>
        <v>0.40061949355702836</v>
      </c>
      <c r="H164" s="7">
        <f t="shared" si="21"/>
        <v>4.7125E-2</v>
      </c>
      <c r="I164" s="7">
        <f t="shared" si="46"/>
        <v>4.8786303788432184E-2</v>
      </c>
      <c r="J164" s="7">
        <f t="shared" si="47"/>
        <v>4.9386197482333305E-2</v>
      </c>
      <c r="K164" s="7">
        <f t="shared" si="49"/>
        <v>5.5946447303686142E-2</v>
      </c>
    </row>
    <row r="165" spans="6:11" ht="20" customHeight="1" x14ac:dyDescent="0.45">
      <c r="F165" s="2">
        <v>19</v>
      </c>
      <c r="G165" s="4">
        <f t="shared" ref="G165" si="58">IFERROR(VLOOKUP(F165,$F$23:$G$82,2,0),"")</f>
        <v>0.39505518781263677</v>
      </c>
      <c r="H165" s="7">
        <f t="shared" si="21"/>
        <v>4.7260000000000003E-2</v>
      </c>
      <c r="I165" s="7">
        <f t="shared" si="46"/>
        <v>4.8880516203106579E-2</v>
      </c>
      <c r="J165" s="7">
        <f t="shared" si="47"/>
        <v>4.9482738567289797E-2</v>
      </c>
      <c r="K165" s="7">
        <f t="shared" si="49"/>
        <v>5.5946447303686586E-2</v>
      </c>
    </row>
    <row r="166" spans="6:11" ht="20" customHeight="1" x14ac:dyDescent="0.45">
      <c r="F166" s="2">
        <v>19.25</v>
      </c>
      <c r="G166" s="4">
        <f t="shared" ref="G166" si="59">EXP((F167-F166)/(F167-F165)*LN(G165)+(F166-F165)/(F167-F165)*LN(G167))</f>
        <v>0.38956816612185463</v>
      </c>
      <c r="H166" s="7">
        <f t="shared" si="21"/>
        <v>4.7395000000000007E-2</v>
      </c>
      <c r="I166" s="7">
        <f t="shared" si="46"/>
        <v>4.8972281542075155E-2</v>
      </c>
      <c r="J166" s="7">
        <f t="shared" si="47"/>
        <v>4.9576776463735595E-2</v>
      </c>
      <c r="K166" s="7">
        <f t="shared" si="49"/>
        <v>5.5946447303686586E-2</v>
      </c>
    </row>
    <row r="167" spans="6:11" ht="20" customHeight="1" x14ac:dyDescent="0.45">
      <c r="F167" s="2">
        <v>19.5</v>
      </c>
      <c r="G167" s="4">
        <f t="shared" ref="G167" si="60">IFERROR(VLOOKUP(F167,$F$23:$G$82,2,0),"")</f>
        <v>0.38415735506686199</v>
      </c>
      <c r="H167" s="7">
        <f t="shared" si="21"/>
        <v>4.7530000000000003E-2</v>
      </c>
      <c r="I167" s="7">
        <f t="shared" si="46"/>
        <v>4.906169392363427E-2</v>
      </c>
      <c r="J167" s="7">
        <f t="shared" si="47"/>
        <v>4.9668407282339011E-2</v>
      </c>
      <c r="K167" s="7">
        <f t="shared" si="49"/>
        <v>5.5946447303686142E-2</v>
      </c>
    </row>
    <row r="168" spans="6:11" ht="20" customHeight="1" x14ac:dyDescent="0.45">
      <c r="F168" s="2">
        <v>19.75</v>
      </c>
      <c r="G168" s="4">
        <f t="shared" ref="G168" si="61">EXP((F169-F168)/(F169-F167)*LN(G167)+(F168-F167)/(F169-F167)*LN(G169))</f>
        <v>0.378821696138811</v>
      </c>
      <c r="H168" s="7">
        <f t="shared" si="21"/>
        <v>4.7664999999999999E-2</v>
      </c>
      <c r="I168" s="7">
        <f t="shared" si="46"/>
        <v>4.9148842700596961E-2</v>
      </c>
      <c r="J168" s="7">
        <f t="shared" si="47"/>
        <v>4.9757722275684646E-2</v>
      </c>
      <c r="K168" s="7">
        <f t="shared" si="49"/>
        <v>5.594644730368703E-2</v>
      </c>
    </row>
    <row r="169" spans="6:11" ht="20" customHeight="1" x14ac:dyDescent="0.45">
      <c r="F169" s="2">
        <v>20</v>
      </c>
      <c r="G169" s="4">
        <f t="shared" ref="G169" si="62">IFERROR(VLOOKUP(F169,$F$23:$G$82,2,0),"")</f>
        <v>0.37356014553075173</v>
      </c>
      <c r="H169" s="7">
        <f>_xlfn.XLOOKUP(F169,$G$5:$G$18,$H$5:$H$18,"",0)</f>
        <v>4.7800000000000002E-2</v>
      </c>
      <c r="I169" s="7">
        <f t="shared" si="46"/>
        <v>4.9233812758135584E-2</v>
      </c>
      <c r="J169" s="7">
        <f t="shared" si="47"/>
        <v>4.9844808141395358E-2</v>
      </c>
      <c r="K169" s="7">
        <f t="shared" si="49"/>
        <v>5.594644730368703E-2</v>
      </c>
    </row>
    <row r="170" spans="6:11" ht="20" customHeight="1" x14ac:dyDescent="0.45">
      <c r="F170" s="2">
        <v>20.25</v>
      </c>
      <c r="G170" s="4">
        <f t="shared" ref="G170" si="63">EXP((F171-F170)/(F171-F169)*LN(G169)+(F170-F169)/(F171-F169)*LN(G171))</f>
        <v>0.36897637686864693</v>
      </c>
      <c r="H170" s="7">
        <f>((F170-$F$169)*$H$209+($F$209-F170)*$H$169)/($F$209-$F$169)</f>
        <v>4.7810000000000005E-2</v>
      </c>
      <c r="I170" s="7">
        <f t="shared" si="46"/>
        <v>4.9235686731708368E-2</v>
      </c>
      <c r="J170" s="7">
        <f t="shared" si="47"/>
        <v>4.9846728819794794E-2</v>
      </c>
      <c r="K170" s="7">
        <f t="shared" si="49"/>
        <v>4.9385604617530721E-2</v>
      </c>
    </row>
    <row r="171" spans="6:11" ht="20" customHeight="1" x14ac:dyDescent="0.45">
      <c r="F171" s="2">
        <v>20.5</v>
      </c>
      <c r="G171" s="4">
        <f t="shared" ref="G171" si="64">IFERROR(VLOOKUP(F171,$F$23:$G$82,2,0),"")</f>
        <v>0.36444885332636845</v>
      </c>
      <c r="H171" s="7">
        <f t="shared" ref="H171:H208" si="65">((F171-$F$169)*$H$209+($F$209-F171)*$H$169)/($F$209-$F$169)</f>
        <v>4.7820000000000001E-2</v>
      </c>
      <c r="I171" s="7">
        <f t="shared" si="46"/>
        <v>4.9237514998608636E-2</v>
      </c>
      <c r="J171" s="7">
        <f t="shared" si="47"/>
        <v>4.9848602654113616E-2</v>
      </c>
      <c r="K171" s="7">
        <f t="shared" si="49"/>
        <v>4.9385604617530721E-2</v>
      </c>
    </row>
    <row r="172" spans="6:11" ht="20" customHeight="1" x14ac:dyDescent="0.45">
      <c r="F172" s="2">
        <v>20.75</v>
      </c>
      <c r="G172" s="4">
        <f t="shared" ref="G172" si="66">EXP((F173-F172)/(F173-F171)*LN(G171)+(F172-F171)/(F173-F171)*LN(G173))</f>
        <v>0.3599768847483395</v>
      </c>
      <c r="H172" s="7">
        <f t="shared" si="65"/>
        <v>4.7830000000000004E-2</v>
      </c>
      <c r="I172" s="7">
        <f t="shared" si="46"/>
        <v>4.9239299210884817E-2</v>
      </c>
      <c r="J172" s="7">
        <f t="shared" si="47"/>
        <v>4.9850431337449486E-2</v>
      </c>
      <c r="K172" s="7">
        <f t="shared" si="49"/>
        <v>4.9385604617531165E-2</v>
      </c>
    </row>
    <row r="173" spans="6:11" ht="20" customHeight="1" x14ac:dyDescent="0.45">
      <c r="F173" s="2">
        <v>21</v>
      </c>
      <c r="G173" s="4">
        <f t="shared" ref="G173" si="67">IFERROR(VLOOKUP(F173,$F$23:$G$82,2,0),"")</f>
        <v>0.35555978944753541</v>
      </c>
      <c r="H173" s="7">
        <f t="shared" si="65"/>
        <v>4.7840000000000008E-2</v>
      </c>
      <c r="I173" s="7">
        <f t="shared" si="46"/>
        <v>4.9241040941916316E-2</v>
      </c>
      <c r="J173" s="7">
        <f t="shared" si="47"/>
        <v>4.9852216482280109E-2</v>
      </c>
      <c r="K173" s="7">
        <f t="shared" si="49"/>
        <v>4.9385604617531165E-2</v>
      </c>
    </row>
    <row r="174" spans="6:11" ht="20" customHeight="1" x14ac:dyDescent="0.45">
      <c r="F174" s="2">
        <v>21.25</v>
      </c>
      <c r="G174" s="4">
        <f t="shared" ref="G174" si="68">EXP((F175-F174)/(F175-F173)*LN(G173)+(F174-F173)/(F175-F173)*LN(G175))</f>
        <v>0.35119689410157023</v>
      </c>
      <c r="H174" s="7">
        <f t="shared" si="65"/>
        <v>4.7850000000000004E-2</v>
      </c>
      <c r="I174" s="7">
        <f t="shared" si="46"/>
        <v>4.9242741691041196E-2</v>
      </c>
      <c r="J174" s="7">
        <f t="shared" si="47"/>
        <v>4.9853959625203004E-2</v>
      </c>
      <c r="K174" s="7">
        <f t="shared" si="49"/>
        <v>4.9385604617531165E-2</v>
      </c>
    </row>
    <row r="175" spans="6:11" ht="20" customHeight="1" x14ac:dyDescent="0.45">
      <c r="F175" s="2">
        <v>21.5</v>
      </c>
      <c r="G175" s="4">
        <f t="shared" ref="G175" si="69">IFERROR(VLOOKUP(F175,$F$23:$G$82,2,0),"")</f>
        <v>0.3468875336500582</v>
      </c>
      <c r="H175" s="7">
        <f t="shared" si="65"/>
        <v>4.786E-2</v>
      </c>
      <c r="I175" s="7">
        <f t="shared" si="46"/>
        <v>4.924440288786084E-2</v>
      </c>
      <c r="J175" s="7">
        <f t="shared" si="47"/>
        <v>4.9855662231349296E-2</v>
      </c>
      <c r="K175" s="7">
        <f t="shared" si="49"/>
        <v>4.9385604617530277E-2</v>
      </c>
    </row>
    <row r="176" spans="6:11" ht="20" customHeight="1" x14ac:dyDescent="0.45">
      <c r="F176" s="2">
        <v>21.75</v>
      </c>
      <c r="G176" s="4">
        <f t="shared" ref="G176" si="70">EXP((F177-F176)/(F177-F175)*LN(G175)+(F176-F175)/(F177-F175)*LN(G177))</f>
        <v>0.342631051193235</v>
      </c>
      <c r="H176" s="7">
        <f t="shared" si="65"/>
        <v>4.7870000000000003E-2</v>
      </c>
      <c r="I176" s="7">
        <f t="shared" si="46"/>
        <v>4.9246025896247853E-2</v>
      </c>
      <c r="J176" s="7">
        <f t="shared" si="47"/>
        <v>4.9857325698490218E-2</v>
      </c>
      <c r="K176" s="7">
        <f t="shared" si="49"/>
        <v>4.9385604617531165E-2</v>
      </c>
    </row>
    <row r="177" spans="6:11" ht="20" customHeight="1" x14ac:dyDescent="0.45">
      <c r="F177" s="2">
        <v>22</v>
      </c>
      <c r="G177" s="4">
        <f t="shared" ref="G177" si="71">IFERROR(VLOOKUP(F177,$F$23:$G$82,2,0),"")</f>
        <v>0.33842679789182306</v>
      </c>
      <c r="H177" s="7">
        <f t="shared" si="65"/>
        <v>4.7879999999999999E-2</v>
      </c>
      <c r="I177" s="7">
        <f t="shared" si="46"/>
        <v>4.9247612018080617E-2</v>
      </c>
      <c r="J177" s="7">
        <f t="shared" si="47"/>
        <v>4.9858951360864268E-2</v>
      </c>
      <c r="K177" s="7">
        <f t="shared" si="49"/>
        <v>4.9385604617531165E-2</v>
      </c>
    </row>
    <row r="178" spans="6:11" ht="20" customHeight="1" x14ac:dyDescent="0.45">
      <c r="F178" s="2">
        <v>22.25</v>
      </c>
      <c r="G178" s="4">
        <f t="shared" ref="G178" si="72">EXP((F179-F178)/(F179-F177)*LN(G177)+(F178-F177)/(F179-F177)*LN(G179))</f>
        <v>0.3342741328681253</v>
      </c>
      <c r="H178" s="7">
        <f t="shared" si="65"/>
        <v>4.7890000000000002E-2</v>
      </c>
      <c r="I178" s="7">
        <f t="shared" si="46"/>
        <v>4.9249162496726118E-2</v>
      </c>
      <c r="J178" s="7">
        <f t="shared" si="47"/>
        <v>4.986054049274502E-2</v>
      </c>
      <c r="K178" s="7">
        <f t="shared" si="49"/>
        <v>4.9385604617530277E-2</v>
      </c>
    </row>
    <row r="179" spans="6:11" ht="20" customHeight="1" x14ac:dyDescent="0.45">
      <c r="F179" s="2">
        <v>22.5</v>
      </c>
      <c r="G179" s="4">
        <f t="shared" ref="G179" si="73">IFERROR(VLOOKUP(F179,$F$23:$G$82,2,0),"")</f>
        <v>0.33017242310833228</v>
      </c>
      <c r="H179" s="7">
        <f t="shared" si="65"/>
        <v>4.7900000000000005E-2</v>
      </c>
      <c r="I179" s="7">
        <f t="shared" si="46"/>
        <v>4.9250678520290622E-2</v>
      </c>
      <c r="J179" s="7">
        <f t="shared" si="47"/>
        <v>4.9862094311775795E-2</v>
      </c>
      <c r="K179" s="7">
        <f t="shared" si="49"/>
        <v>4.9385604617531165E-2</v>
      </c>
    </row>
    <row r="180" spans="6:11" ht="20" customHeight="1" x14ac:dyDescent="0.45">
      <c r="F180" s="2">
        <v>22.75</v>
      </c>
      <c r="G180" s="4">
        <f t="shared" ref="G180" si="74">EXP((F181-F180)/(F181-F179)*LN(G179)+(F180-F179)/(F181-F179)*LN(G181))</f>
        <v>0.32612104336602893</v>
      </c>
      <c r="H180" s="7">
        <f t="shared" si="65"/>
        <v>4.7910000000000001E-2</v>
      </c>
      <c r="I180" s="7">
        <f t="shared" si="46"/>
        <v>4.9252161224655901E-2</v>
      </c>
      <c r="J180" s="7">
        <f t="shared" si="47"/>
        <v>4.9863613982076949E-2</v>
      </c>
      <c r="K180" s="7">
        <f t="shared" si="49"/>
        <v>4.9385604617531165E-2</v>
      </c>
    </row>
    <row r="181" spans="6:11" ht="20" customHeight="1" x14ac:dyDescent="0.45">
      <c r="F181" s="2">
        <v>23</v>
      </c>
      <c r="G181" s="4">
        <f t="shared" ref="G181" si="75">IFERROR(VLOOKUP(F181,$F$23:$G$82,2,0),"")</f>
        <v>0.32211937606688434</v>
      </c>
      <c r="H181" s="7">
        <f t="shared" si="65"/>
        <v>4.7920000000000004E-2</v>
      </c>
      <c r="I181" s="7">
        <f t="shared" si="46"/>
        <v>4.9253611696317583E-2</v>
      </c>
      <c r="J181" s="7">
        <f t="shared" si="47"/>
        <v>4.9865100617157321E-2</v>
      </c>
      <c r="K181" s="7">
        <f t="shared" si="49"/>
        <v>4.9385604617530277E-2</v>
      </c>
    </row>
    <row r="182" spans="6:11" ht="20" customHeight="1" x14ac:dyDescent="0.45">
      <c r="F182" s="2">
        <v>23.25</v>
      </c>
      <c r="G182" s="4">
        <f t="shared" ref="G182" si="76">EXP((F183-F182)/(F183-F181)*LN(G181)+(F182-F181)/(F183-F181)*LN(G183))</f>
        <v>0.31816681121451146</v>
      </c>
      <c r="H182" s="7">
        <f t="shared" si="65"/>
        <v>4.793E-2</v>
      </c>
      <c r="I182" s="7">
        <f t="shared" si="46"/>
        <v>4.9255030975040304E-2</v>
      </c>
      <c r="J182" s="7">
        <f t="shared" si="47"/>
        <v>4.9866555282634284E-2</v>
      </c>
      <c r="K182" s="7">
        <f t="shared" si="49"/>
        <v>4.9385604617531165E-2</v>
      </c>
    </row>
    <row r="183" spans="6:11" ht="20" customHeight="1" x14ac:dyDescent="0.45">
      <c r="F183" s="2">
        <v>23.5</v>
      </c>
      <c r="G183" s="4">
        <f t="shared" ref="G183" si="77">IFERROR(VLOOKUP(F183,$F$23:$G$82,2,0),"")</f>
        <v>0.31426274629748235</v>
      </c>
      <c r="H183" s="7">
        <f t="shared" si="65"/>
        <v>4.7940000000000003E-2</v>
      </c>
      <c r="I183" s="7">
        <f t="shared" si="46"/>
        <v>4.9256420056343404E-2</v>
      </c>
      <c r="J183" s="7">
        <f t="shared" si="47"/>
        <v>4.9867978998781481E-2</v>
      </c>
      <c r="K183" s="7">
        <f t="shared" si="49"/>
        <v>4.9385604617531165E-2</v>
      </c>
    </row>
    <row r="184" spans="6:11" ht="20" customHeight="1" x14ac:dyDescent="0.45">
      <c r="F184" s="2">
        <v>23.75</v>
      </c>
      <c r="G184" s="4">
        <f t="shared" ref="G184" si="78">EXP((F185-F184)/(F185-F183)*LN(G183)+(F184-F183)/(F185-F183)*LN(G185))</f>
        <v>0.31040658619748362</v>
      </c>
      <c r="H184" s="7">
        <f t="shared" si="65"/>
        <v>4.7950000000000007E-2</v>
      </c>
      <c r="I184" s="7">
        <f t="shared" si="46"/>
        <v>4.9257779893829588E-2</v>
      </c>
      <c r="J184" s="7">
        <f t="shared" si="47"/>
        <v>4.9869372742914919E-2</v>
      </c>
      <c r="K184" s="7">
        <f t="shared" si="49"/>
        <v>4.9385604617531165E-2</v>
      </c>
    </row>
    <row r="185" spans="6:11" ht="20" customHeight="1" x14ac:dyDescent="0.45">
      <c r="F185" s="2">
        <v>24</v>
      </c>
      <c r="G185" s="4">
        <f t="shared" ref="G185" si="79">IFERROR(VLOOKUP(F185,$F$23:$G$82,2,0),"")</f>
        <v>0.30659774309859944</v>
      </c>
      <c r="H185" s="7">
        <f t="shared" si="65"/>
        <v>4.7960000000000003E-2</v>
      </c>
      <c r="I185" s="7">
        <f t="shared" si="46"/>
        <v>4.9259111401368148E-2</v>
      </c>
      <c r="J185" s="7">
        <f t="shared" si="47"/>
        <v>4.9870737451630731E-2</v>
      </c>
      <c r="K185" s="7">
        <f t="shared" si="49"/>
        <v>4.9385604617531165E-2</v>
      </c>
    </row>
    <row r="186" spans="6:11" ht="20" customHeight="1" x14ac:dyDescent="0.45">
      <c r="F186" s="2">
        <v>24.25</v>
      </c>
      <c r="G186" s="4">
        <f t="shared" ref="G186" si="80">EXP((F187-F186)/(F187-F185)*LN(G185)+(F186-F185)/(F187-F185)*LN(G187))</f>
        <v>0.30283563639770744</v>
      </c>
      <c r="H186" s="7">
        <f t="shared" si="65"/>
        <v>4.7969999999999999E-2</v>
      </c>
      <c r="I186" s="7">
        <f t="shared" si="46"/>
        <v>4.9260415455143022E-2</v>
      </c>
      <c r="J186" s="7">
        <f t="shared" si="47"/>
        <v>4.9872074022903057E-2</v>
      </c>
      <c r="K186" s="7">
        <f t="shared" si="49"/>
        <v>4.9385604617531165E-2</v>
      </c>
    </row>
    <row r="187" spans="6:11" ht="20" customHeight="1" x14ac:dyDescent="0.45">
      <c r="F187" s="2">
        <v>24.5</v>
      </c>
      <c r="G187" s="4">
        <f t="shared" ref="G187" si="81">IFERROR(VLOOKUP(F187,$F$23:$G$82,2,0),"")</f>
        <v>0.29911969261597415</v>
      </c>
      <c r="H187" s="7">
        <f t="shared" si="65"/>
        <v>4.7980000000000002E-2</v>
      </c>
      <c r="I187" s="7">
        <f t="shared" si="46"/>
        <v>4.9261692895575554E-2</v>
      </c>
      <c r="J187" s="7">
        <f t="shared" si="47"/>
        <v>4.9873383318055797E-2</v>
      </c>
      <c r="K187" s="7">
        <f t="shared" si="49"/>
        <v>4.9385604617531165E-2</v>
      </c>
    </row>
    <row r="188" spans="6:11" ht="20" customHeight="1" x14ac:dyDescent="0.45">
      <c r="F188" s="2">
        <v>24.75</v>
      </c>
      <c r="G188" s="4">
        <f t="shared" ref="G188" si="82">EXP((F189-F188)/(F189-F187)*LN(G187)+(F188-F187)/(F189-F187)*LN(G189))</f>
        <v>0.29544934531143646</v>
      </c>
      <c r="H188" s="7">
        <f t="shared" si="65"/>
        <v>4.7989999999999998E-2</v>
      </c>
      <c r="I188" s="7">
        <f t="shared" si="46"/>
        <v>4.9262944529130652E-2</v>
      </c>
      <c r="J188" s="7">
        <f t="shared" si="47"/>
        <v>4.9874666163612247E-2</v>
      </c>
      <c r="K188" s="7">
        <f t="shared" si="49"/>
        <v>4.9385604617530277E-2</v>
      </c>
    </row>
    <row r="189" spans="6:11" ht="20" customHeight="1" x14ac:dyDescent="0.45">
      <c r="F189" s="2">
        <v>25</v>
      </c>
      <c r="G189" s="4">
        <f t="shared" ref="G189" si="83">IFERROR(VLOOKUP(F189,$F$23:$G$82,2,0),"")</f>
        <v>0.29182403499265558</v>
      </c>
      <c r="H189" s="7">
        <f t="shared" si="65"/>
        <v>4.8000000000000001E-2</v>
      </c>
      <c r="I189" s="7">
        <f t="shared" si="46"/>
        <v>4.9264171130014647E-2</v>
      </c>
      <c r="J189" s="7">
        <f t="shared" si="47"/>
        <v>4.9875923353036367E-2</v>
      </c>
      <c r="K189" s="7">
        <f t="shared" si="49"/>
        <v>4.9385604617530277E-2</v>
      </c>
    </row>
    <row r="190" spans="6:11" ht="20" customHeight="1" x14ac:dyDescent="0.45">
      <c r="F190" s="2">
        <v>25.25</v>
      </c>
      <c r="G190" s="4">
        <f t="shared" ref="G190" si="84">EXP((F191-F190)/(F191-F189)*LN(G189)+(F190-F189)/(F191-F189)*LN(G191))</f>
        <v>0.28824320903343076</v>
      </c>
      <c r="H190" s="7">
        <f t="shared" si="65"/>
        <v>4.8009999999999997E-2</v>
      </c>
      <c r="I190" s="7">
        <f t="shared" si="46"/>
        <v>4.9265373441772238E-2</v>
      </c>
      <c r="J190" s="7">
        <f t="shared" si="47"/>
        <v>4.9877155648368809E-2</v>
      </c>
      <c r="K190" s="7">
        <f t="shared" si="49"/>
        <v>4.9385604617531165E-2</v>
      </c>
    </row>
    <row r="191" spans="6:11" ht="20" customHeight="1" x14ac:dyDescent="0.45">
      <c r="F191" s="2">
        <v>25.5</v>
      </c>
      <c r="G191" s="4">
        <f t="shared" ref="G191" si="85">IFERROR(VLOOKUP(F191,$F$23:$G$82,2,0),"")</f>
        <v>0.28470632158855957</v>
      </c>
      <c r="H191" s="7">
        <f t="shared" si="65"/>
        <v>4.802E-2</v>
      </c>
      <c r="I191" s="7">
        <f t="shared" si="46"/>
        <v>4.9266552178789481E-2</v>
      </c>
      <c r="J191" s="7">
        <f t="shared" si="47"/>
        <v>4.9878363781767021E-2</v>
      </c>
      <c r="K191" s="7">
        <f t="shared" si="49"/>
        <v>4.9385604617531165E-2</v>
      </c>
    </row>
    <row r="192" spans="6:11" ht="20" customHeight="1" x14ac:dyDescent="0.45">
      <c r="F192" s="2">
        <v>25.75</v>
      </c>
      <c r="G192" s="4">
        <f t="shared" ref="G192" si="86">EXP((F193-F192)/(F193-F191)*LN(G191)+(F192-F191)/(F193-F191)*LN(G193))</f>
        <v>0.28121283351063148</v>
      </c>
      <c r="H192" s="7">
        <f t="shared" si="65"/>
        <v>4.8030000000000003E-2</v>
      </c>
      <c r="I192" s="7">
        <f t="shared" si="46"/>
        <v>4.9267708027709294E-2</v>
      </c>
      <c r="J192" s="7">
        <f t="shared" si="47"/>
        <v>4.9879548456955636E-2</v>
      </c>
      <c r="K192" s="7">
        <f t="shared" si="49"/>
        <v>4.9385604617530277E-2</v>
      </c>
    </row>
    <row r="193" spans="6:11" ht="20" customHeight="1" x14ac:dyDescent="0.45">
      <c r="F193" s="2">
        <v>26</v>
      </c>
      <c r="G193" s="4">
        <f t="shared" ref="G193" si="87">IFERROR(VLOOKUP(F193,$F$23:$G$82,2,0),"")</f>
        <v>0.27776221226784259</v>
      </c>
      <c r="H193" s="7">
        <f t="shared" si="65"/>
        <v>4.8040000000000006E-2</v>
      </c>
      <c r="I193" s="7">
        <f t="shared" si="46"/>
        <v>4.9268841648765278E-2</v>
      </c>
      <c r="J193" s="7">
        <f t="shared" si="47"/>
        <v>4.9880710350594271E-2</v>
      </c>
      <c r="K193" s="7">
        <f t="shared" si="49"/>
        <v>4.9385604617531165E-2</v>
      </c>
    </row>
    <row r="194" spans="6:11" ht="20" customHeight="1" x14ac:dyDescent="0.45">
      <c r="F194" s="2">
        <v>26.25</v>
      </c>
      <c r="G194" s="4">
        <f t="shared" ref="G194" si="88">EXP((F195-F194)/(F195-F193)*LN(G193)+(F194-F193)/(F195-F193)*LN(G195))</f>
        <v>0.27435393186281892</v>
      </c>
      <c r="H194" s="7">
        <f t="shared" si="65"/>
        <v>4.8050000000000002E-2</v>
      </c>
      <c r="I194" s="7">
        <f t="shared" si="46"/>
        <v>4.9269953677039235E-2</v>
      </c>
      <c r="J194" s="7">
        <f t="shared" si="47"/>
        <v>4.9881850113564941E-2</v>
      </c>
      <c r="K194" s="7">
        <f>(I194*F194-I193*F193)/(F194-F193)</f>
        <v>4.9385604617531165E-2</v>
      </c>
    </row>
    <row r="195" spans="6:11" ht="20" customHeight="1" x14ac:dyDescent="0.45">
      <c r="F195" s="2">
        <v>26.5</v>
      </c>
      <c r="G195" s="4">
        <f t="shared" ref="G195" si="89">IFERROR(VLOOKUP(F195,$F$23:$G$82,2,0),"")</f>
        <v>0.27098747275243584</v>
      </c>
      <c r="H195" s="7">
        <f t="shared" si="65"/>
        <v>4.8060000000000005E-2</v>
      </c>
      <c r="I195" s="7">
        <f t="shared" si="46"/>
        <v>4.9271044723647649E-2</v>
      </c>
      <c r="J195" s="7">
        <f t="shared" si="47"/>
        <v>4.9882968372190195E-2</v>
      </c>
      <c r="K195" s="7">
        <f t="shared" si="49"/>
        <v>4.9385604617531165E-2</v>
      </c>
    </row>
    <row r="196" spans="6:11" ht="20" customHeight="1" x14ac:dyDescent="0.45">
      <c r="F196" s="2">
        <v>26.75</v>
      </c>
      <c r="G196" s="4">
        <f t="shared" ref="G196" si="90">EXP((F197-F196)/(F197-F195)*LN(G195)+(F196-F195)/(F197-F195)*LN(G197))</f>
        <v>0.26766232176862098</v>
      </c>
      <c r="H196" s="7">
        <f t="shared" si="65"/>
        <v>4.8070000000000002E-2</v>
      </c>
      <c r="I196" s="7">
        <f t="shared" si="46"/>
        <v>4.9272115376861512E-2</v>
      </c>
      <c r="J196" s="7">
        <f t="shared" si="47"/>
        <v>4.988406572937798E-2</v>
      </c>
      <c r="K196" s="7">
        <f t="shared" si="49"/>
        <v>4.9385604617531165E-2</v>
      </c>
    </row>
    <row r="197" spans="6:11" ht="20" customHeight="1" x14ac:dyDescent="0.45">
      <c r="F197" s="2">
        <v>27</v>
      </c>
      <c r="G197" s="4">
        <f t="shared" ref="G197" si="91">IFERROR(VLOOKUP(F197,$F$23:$G$82,2,0),"")</f>
        <v>0.26437797204012936</v>
      </c>
      <c r="H197" s="7">
        <f t="shared" si="65"/>
        <v>4.8079999999999998E-2</v>
      </c>
      <c r="I197" s="7">
        <f t="shared" si="46"/>
        <v>4.9273166203164007E-2</v>
      </c>
      <c r="J197" s="7">
        <f t="shared" si="47"/>
        <v>4.9885142765707879E-2</v>
      </c>
      <c r="K197" s="7">
        <f t="shared" si="49"/>
        <v>4.9385604617530277E-2</v>
      </c>
    </row>
    <row r="198" spans="6:11" ht="20" customHeight="1" x14ac:dyDescent="0.45">
      <c r="F198" s="2">
        <v>27.25</v>
      </c>
      <c r="G198" s="4">
        <f t="shared" ref="G198" si="92">EXP((F199-F198)/(F199-F197)*LN(G197)+(F198-F197)/(F199-F197)*LN(G199))</f>
        <v>0.26113392291527804</v>
      </c>
      <c r="H198" s="7">
        <f t="shared" si="65"/>
        <v>4.8090000000000001E-2</v>
      </c>
      <c r="I198" s="7">
        <f t="shared" si="46"/>
        <v>4.927419774824994E-2</v>
      </c>
      <c r="J198" s="7">
        <f t="shared" si="47"/>
        <v>4.988620004045341E-2</v>
      </c>
      <c r="K198" s="7">
        <f t="shared" si="49"/>
        <v>4.9385604617531165E-2</v>
      </c>
    </row>
    <row r="199" spans="6:11" ht="20" customHeight="1" x14ac:dyDescent="0.45">
      <c r="F199" s="2">
        <v>27.5</v>
      </c>
      <c r="G199" s="4">
        <f t="shared" ref="G199" si="93">IFERROR(VLOOKUP(F199,$F$23:$G$82,2,0),"")</f>
        <v>0.25792967988562915</v>
      </c>
      <c r="H199" s="7">
        <f t="shared" si="65"/>
        <v>4.8099999999999997E-2</v>
      </c>
      <c r="I199" s="7">
        <f t="shared" si="46"/>
        <v>4.9275210537970682E-2</v>
      </c>
      <c r="J199" s="7">
        <f t="shared" si="47"/>
        <v>4.9887238092551911E-2</v>
      </c>
      <c r="K199" s="7">
        <f t="shared" si="49"/>
        <v>4.9385604617531165E-2</v>
      </c>
    </row>
    <row r="200" spans="6:11" ht="20" customHeight="1" x14ac:dyDescent="0.45">
      <c r="F200" s="2">
        <v>27.75</v>
      </c>
      <c r="G200" s="4">
        <f t="shared" ref="G200" si="94">EXP((F201-F200)/(F201-F199)*LN(G199)+(F200-F199)/(F201-F199)*LN(G201))</f>
        <v>0.25476475451060904</v>
      </c>
      <c r="H200" s="7">
        <f t="shared" si="65"/>
        <v>4.811E-2</v>
      </c>
      <c r="I200" s="7">
        <f t="shared" si="46"/>
        <v>4.9276205079227982E-2</v>
      </c>
      <c r="J200" s="7">
        <f t="shared" si="47"/>
        <v>4.9888257441521144E-2</v>
      </c>
      <c r="K200" s="7">
        <f t="shared" si="49"/>
        <v>4.9385604617531165E-2</v>
      </c>
    </row>
    <row r="201" spans="6:11" ht="20" customHeight="1" x14ac:dyDescent="0.45">
      <c r="F201" s="2">
        <v>28</v>
      </c>
      <c r="G201" s="4">
        <f t="shared" ref="G201" si="95">IFERROR(VLOOKUP(F201,$F$23:$G$82,2,0),"")</f>
        <v>0.25163866434305276</v>
      </c>
      <c r="H201" s="7">
        <f t="shared" si="65"/>
        <v>4.8120000000000003E-2</v>
      </c>
      <c r="I201" s="7">
        <f t="shared" si="46"/>
        <v>4.9277181860819974E-2</v>
      </c>
      <c r="J201" s="7">
        <f t="shared" si="47"/>
        <v>4.9889258588323493E-2</v>
      </c>
      <c r="K201" s="7">
        <f t="shared" si="49"/>
        <v>4.9385604617531165E-2</v>
      </c>
    </row>
    <row r="202" spans="6:11" ht="20" customHeight="1" x14ac:dyDescent="0.45">
      <c r="F202" s="2">
        <v>28.25</v>
      </c>
      <c r="G202" s="4">
        <f t="shared" ref="G202" si="96">EXP((F203-F202)/(F203-F201)*LN(G201)+(F202-F201)/(F203-F201)*LN(G203))</f>
        <v>0.24855093285566202</v>
      </c>
      <c r="H202" s="7">
        <f t="shared" si="65"/>
        <v>4.8129999999999999E-2</v>
      </c>
      <c r="I202" s="7">
        <f t="shared" si="46"/>
        <v>4.9278141354242189E-2</v>
      </c>
      <c r="J202" s="7">
        <f t="shared" si="47"/>
        <v>4.9890242016188857E-2</v>
      </c>
      <c r="K202" s="7">
        <f t="shared" si="49"/>
        <v>4.9385604617530277E-2</v>
      </c>
    </row>
    <row r="203" spans="6:11" ht="20" customHeight="1" x14ac:dyDescent="0.45">
      <c r="F203" s="2">
        <v>28.5</v>
      </c>
      <c r="G203" s="4">
        <f t="shared" ref="G203" si="97">IFERROR(VLOOKUP(F203,$F$23:$G$82,2,0),"")</f>
        <v>0.24550108936836496</v>
      </c>
      <c r="H203" s="7">
        <f t="shared" si="65"/>
        <v>4.8140000000000002E-2</v>
      </c>
      <c r="I203" s="7">
        <f t="shared" si="46"/>
        <v>4.927908401444648E-2</v>
      </c>
      <c r="J203" s="7">
        <f t="shared" si="47"/>
        <v>4.9891208191394032E-2</v>
      </c>
      <c r="K203" s="7">
        <f t="shared" si="49"/>
        <v>4.9385604617531165E-2</v>
      </c>
    </row>
    <row r="204" spans="6:11" ht="20" customHeight="1" x14ac:dyDescent="0.45">
      <c r="F204" s="2">
        <v>28.75</v>
      </c>
      <c r="G204" s="4">
        <f t="shared" ref="G204" si="98">EXP((F205-F204)/(F205-F203)*LN(G203)+(F204-F203)/(F205-F203)*LN(G205))</f>
        <v>0.24248866897656846</v>
      </c>
      <c r="H204" s="7">
        <f t="shared" si="65"/>
        <v>4.8150000000000005E-2</v>
      </c>
      <c r="I204" s="7">
        <f t="shared" si="46"/>
        <v>4.9280010280560262E-2</v>
      </c>
      <c r="J204" s="7">
        <f t="shared" si="47"/>
        <v>4.9892157563995454E-2</v>
      </c>
      <c r="K204" s="7">
        <f t="shared" si="49"/>
        <v>4.9385604617531165E-2</v>
      </c>
    </row>
    <row r="205" spans="6:11" ht="20" customHeight="1" x14ac:dyDescent="0.45">
      <c r="F205" s="2">
        <v>29</v>
      </c>
      <c r="G205" s="4">
        <f t="shared" ref="G205" si="99">IFERROR(VLOOKUP(F205,$F$23:$G$82,2,0),"")</f>
        <v>0.23951321248028978</v>
      </c>
      <c r="H205" s="7">
        <f t="shared" si="65"/>
        <v>4.8160000000000001E-2</v>
      </c>
      <c r="I205" s="7">
        <f t="shared" si="46"/>
        <v>4.9280920576568618E-2</v>
      </c>
      <c r="J205" s="7">
        <f t="shared" si="47"/>
        <v>4.9893090568531751E-2</v>
      </c>
      <c r="K205" s="7">
        <f t="shared" si="49"/>
        <v>4.9385604617530277E-2</v>
      </c>
    </row>
    <row r="206" spans="6:11" ht="20" customHeight="1" x14ac:dyDescent="0.45">
      <c r="F206" s="2">
        <v>29.25</v>
      </c>
      <c r="G206" s="4">
        <f t="shared" ref="G206" si="100">EXP((F207-F206)/(F207-F205)*LN(G205)+(F206-F205)/(F207-F205)*LN(G207))</f>
        <v>0.23657426631415812</v>
      </c>
      <c r="H206" s="7">
        <f t="shared" si="65"/>
        <v>4.8170000000000004E-2</v>
      </c>
      <c r="I206" s="7">
        <f t="shared" si="46"/>
        <v>4.9281815311961456E-2</v>
      </c>
      <c r="J206" s="7">
        <f t="shared" si="47"/>
        <v>4.9894007624687209E-2</v>
      </c>
      <c r="K206" s="7">
        <f t="shared" si="49"/>
        <v>4.9385604617530277E-2</v>
      </c>
    </row>
    <row r="207" spans="6:11" ht="20" customHeight="1" x14ac:dyDescent="0.45">
      <c r="F207" s="2">
        <v>29.5</v>
      </c>
      <c r="G207" s="4">
        <f t="shared" ref="G207" si="101">IFERROR(VLOOKUP(F207,$F$23:$G$82,2,0),"")</f>
        <v>0.23367138247827524</v>
      </c>
      <c r="H207" s="7">
        <f t="shared" si="65"/>
        <v>4.8179999999999994E-2</v>
      </c>
      <c r="I207" s="7">
        <f t="shared" si="46"/>
        <v>4.9282694882347641E-2</v>
      </c>
      <c r="J207" s="7">
        <f t="shared" si="47"/>
        <v>4.9894909137917054E-2</v>
      </c>
      <c r="K207" s="7">
        <f t="shared" si="49"/>
        <v>4.9385604617531165E-2</v>
      </c>
    </row>
    <row r="208" spans="6:11" ht="20" customHeight="1" x14ac:dyDescent="0.45">
      <c r="F208" s="2">
        <v>29.75</v>
      </c>
      <c r="G208" s="4">
        <f t="shared" ref="G208" si="102">EXP((F209-F208)/(F209-F207)*LN(G207)+(F208-F207)/(F209-F207)*LN(G209))</f>
        <v>0.23080411846992438</v>
      </c>
      <c r="H208" s="7">
        <f t="shared" si="65"/>
        <v>4.8189999999999997E-2</v>
      </c>
      <c r="I208" s="7">
        <f t="shared" si="46"/>
        <v>4.9283559670038259E-2</v>
      </c>
      <c r="J208" s="7">
        <f t="shared" si="47"/>
        <v>4.9895795500050966E-2</v>
      </c>
      <c r="K208" s="7">
        <f t="shared" si="49"/>
        <v>4.9385604617531165E-2</v>
      </c>
    </row>
    <row r="209" spans="6:11" ht="20" customHeight="1" x14ac:dyDescent="0.45">
      <c r="F209" s="2">
        <v>30</v>
      </c>
      <c r="G209" s="4">
        <f t="shared" ref="G209" si="103">IFERROR(VLOOKUP(F209,$F$23:$G$82,2,0),"")</f>
        <v>0.22797203721611708</v>
      </c>
      <c r="H209" s="7">
        <f>_xlfn.XLOOKUP(F209,$G$5:$G$18,$H$5:$H$18,"",0)</f>
        <v>4.82E-2</v>
      </c>
      <c r="I209" s="7">
        <f t="shared" si="46"/>
        <v>4.9284410044600699E-2</v>
      </c>
      <c r="J209" s="7">
        <f t="shared" si="47"/>
        <v>4.9896667089856184E-2</v>
      </c>
      <c r="K209" s="7">
        <f t="shared" si="49"/>
        <v>4.9385604617531165E-2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0314-2808-8143-946F-11B4D6D5B88B}">
  <dimension ref="A1:M121"/>
  <sheetViews>
    <sheetView topLeftCell="F19" zoomScale="60" workbookViewId="0">
      <selection activeCell="G13" sqref="G13"/>
    </sheetView>
  </sheetViews>
  <sheetFormatPr defaultColWidth="10.69140625" defaultRowHeight="17.5" x14ac:dyDescent="0.45"/>
  <cols>
    <col min="1" max="5" width="0" hidden="1" customWidth="1"/>
    <col min="6" max="10" width="18.69140625" style="2" customWidth="1"/>
    <col min="11" max="11" width="10.69140625" style="2"/>
    <col min="12" max="12" width="12.3828125" style="2" bestFit="1" customWidth="1"/>
    <col min="13" max="16384" width="10.69140625" style="2"/>
  </cols>
  <sheetData>
    <row r="1" spans="1:13" ht="15.5" x14ac:dyDescent="0.45">
      <c r="A1" s="2"/>
      <c r="B1" s="2"/>
      <c r="C1" s="2"/>
      <c r="D1" s="2"/>
      <c r="E1" s="2"/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L1" s="8" t="s">
        <v>9</v>
      </c>
      <c r="M1" s="9" t="s">
        <v>1</v>
      </c>
    </row>
    <row r="2" spans="1:13" ht="15.5" x14ac:dyDescent="0.45">
      <c r="A2" s="2"/>
      <c r="B2" s="2"/>
      <c r="C2" s="2"/>
      <c r="D2" s="2"/>
      <c r="E2" s="2"/>
      <c r="F2" s="2">
        <v>0.25</v>
      </c>
      <c r="G2" s="2">
        <v>0.99093407804367628</v>
      </c>
      <c r="H2" s="2">
        <v>-9.1072675068477413E-3</v>
      </c>
      <c r="I2" s="2">
        <v>3.6429070027390965E-2</v>
      </c>
      <c r="J2" s="2">
        <v>3.6083260575974663E-2</v>
      </c>
    </row>
    <row r="3" spans="1:13" ht="15.5" x14ac:dyDescent="0.45">
      <c r="A3" s="2"/>
      <c r="B3" s="2"/>
      <c r="C3" s="2"/>
      <c r="D3" s="2"/>
      <c r="E3" s="2"/>
      <c r="F3" s="2">
        <v>0.5</v>
      </c>
      <c r="G3" s="2">
        <v>0.98207496135970573</v>
      </c>
      <c r="H3" s="2">
        <v>-1.8087638144220292E-2</v>
      </c>
      <c r="I3" s="2">
        <v>3.6175276288440583E-2</v>
      </c>
      <c r="J3" s="2">
        <v>3.486601245204124E-2</v>
      </c>
    </row>
    <row r="4" spans="1:13" ht="15.5" x14ac:dyDescent="0.45">
      <c r="A4" s="2"/>
      <c r="B4" s="2"/>
      <c r="C4" s="2"/>
      <c r="D4" s="2"/>
      <c r="E4" s="2"/>
      <c r="F4" s="2">
        <v>0.75</v>
      </c>
      <c r="G4" s="2">
        <v>0.97358867266364157</v>
      </c>
      <c r="H4" s="2">
        <v>-2.6766371863311017E-2</v>
      </c>
      <c r="I4" s="2">
        <v>3.5688495817748023E-2</v>
      </c>
      <c r="J4" s="2">
        <v>3.1591749953232551E-2</v>
      </c>
    </row>
    <row r="5" spans="1:13" ht="15.5" x14ac:dyDescent="0.45">
      <c r="A5" s="2"/>
      <c r="B5" s="2"/>
      <c r="C5" s="2"/>
      <c r="D5" s="2"/>
      <c r="E5" s="2"/>
      <c r="F5" s="2">
        <v>1</v>
      </c>
      <c r="G5" s="2">
        <v>0.96595958425099504</v>
      </c>
      <c r="H5" s="2">
        <v>-3.4633283894350567E-2</v>
      </c>
      <c r="I5" s="2">
        <v>3.4633283894350567E-2</v>
      </c>
      <c r="J5" s="2">
        <v>3.3058748704767993E-2</v>
      </c>
    </row>
    <row r="6" spans="1:13" ht="15.5" x14ac:dyDescent="0.45">
      <c r="A6" s="2"/>
      <c r="B6" s="2"/>
      <c r="C6" s="2"/>
      <c r="D6" s="2"/>
      <c r="E6" s="2"/>
      <c r="F6" s="2">
        <v>1.25</v>
      </c>
      <c r="G6" s="2">
        <v>0.95804166955040415</v>
      </c>
      <c r="H6" s="2">
        <v>-4.2864005558048188E-2</v>
      </c>
      <c r="I6" s="2">
        <v>3.4291204446438552E-2</v>
      </c>
      <c r="J6" s="2">
        <v>3.3058748704768881E-2</v>
      </c>
    </row>
    <row r="7" spans="1:13" ht="15.5" x14ac:dyDescent="0.45">
      <c r="A7" s="2"/>
      <c r="B7" s="2"/>
      <c r="C7" s="2"/>
      <c r="D7" s="2"/>
      <c r="E7" s="2"/>
      <c r="F7" s="2">
        <v>1.5</v>
      </c>
      <c r="G7" s="2">
        <v>0.95018865753749082</v>
      </c>
      <c r="H7" s="2">
        <v>-5.1094727221745864E-2</v>
      </c>
      <c r="I7" s="2">
        <v>3.4063151481163907E-2</v>
      </c>
      <c r="J7" s="2">
        <v>3.3058748704767993E-2</v>
      </c>
    </row>
    <row r="8" spans="1:13" ht="15.5" x14ac:dyDescent="0.45">
      <c r="A8" s="2"/>
      <c r="B8" s="2"/>
      <c r="C8" s="2"/>
      <c r="D8" s="2"/>
      <c r="E8" s="2"/>
      <c r="F8" s="2">
        <v>1.75</v>
      </c>
      <c r="G8" s="2">
        <v>0.94240001620868774</v>
      </c>
      <c r="H8" s="2">
        <v>-5.9325448885443402E-2</v>
      </c>
      <c r="I8" s="2">
        <v>3.390025650596766E-2</v>
      </c>
      <c r="J8" s="2">
        <v>3.3058748704768881E-2</v>
      </c>
    </row>
    <row r="9" spans="1:13" ht="15.5" x14ac:dyDescent="0.45">
      <c r="A9" s="2"/>
      <c r="B9" s="2"/>
      <c r="C9" s="2"/>
      <c r="D9" s="2"/>
      <c r="E9" s="2"/>
      <c r="F9" s="2">
        <v>2</v>
      </c>
      <c r="G9" s="2">
        <v>0.93467521792122954</v>
      </c>
      <c r="H9" s="2">
        <v>-6.7556170549141092E-2</v>
      </c>
      <c r="I9" s="2">
        <v>3.3778085274570546E-2</v>
      </c>
      <c r="J9" s="2">
        <v>3.4813398804774742E-2</v>
      </c>
    </row>
    <row r="10" spans="1:13" ht="15.5" x14ac:dyDescent="0.45">
      <c r="A10" s="2"/>
      <c r="B10" s="2"/>
      <c r="C10" s="2"/>
      <c r="D10" s="2"/>
      <c r="E10" s="2"/>
      <c r="F10" s="2">
        <v>2.25</v>
      </c>
      <c r="G10" s="2">
        <v>0.92661060181678445</v>
      </c>
      <c r="H10" s="2">
        <v>-7.6221864432425374E-2</v>
      </c>
      <c r="I10" s="2">
        <v>3.3876384192189052E-2</v>
      </c>
      <c r="J10" s="2">
        <v>3.4813398804774742E-2</v>
      </c>
    </row>
    <row r="11" spans="1:13" ht="15.5" x14ac:dyDescent="0.45">
      <c r="A11" s="2"/>
      <c r="B11" s="2"/>
      <c r="C11" s="2"/>
      <c r="D11" s="2"/>
      <c r="E11" s="2"/>
      <c r="F11" s="2">
        <v>2.5</v>
      </c>
      <c r="G11" s="2">
        <v>0.91861556927641075</v>
      </c>
      <c r="H11" s="2">
        <v>-8.4887558315709558E-2</v>
      </c>
      <c r="I11" s="2">
        <v>3.395502332628382E-2</v>
      </c>
      <c r="J11" s="2">
        <v>3.481339880477563E-2</v>
      </c>
    </row>
    <row r="12" spans="1:13" ht="15.5" x14ac:dyDescent="0.45">
      <c r="A12" s="2"/>
      <c r="B12" s="2"/>
      <c r="C12" s="2"/>
      <c r="D12" s="2"/>
      <c r="E12" s="2"/>
      <c r="F12" s="2">
        <v>2.75</v>
      </c>
      <c r="G12" s="2">
        <v>0.91068951991537495</v>
      </c>
      <c r="H12" s="2">
        <v>-9.3553252198993866E-2</v>
      </c>
      <c r="I12" s="2">
        <v>3.4019364435997769E-2</v>
      </c>
      <c r="J12" s="18">
        <v>3.4813398804774742E-2</v>
      </c>
    </row>
    <row r="13" spans="1:13" ht="15.5" x14ac:dyDescent="0.45">
      <c r="A13" s="2"/>
      <c r="B13" s="2"/>
      <c r="C13" s="2"/>
      <c r="D13" s="2"/>
      <c r="E13" s="2"/>
      <c r="F13" s="2">
        <v>3</v>
      </c>
      <c r="G13" s="2">
        <v>0.90283185852921699</v>
      </c>
      <c r="H13" s="2">
        <v>-0.10221894608227808</v>
      </c>
      <c r="I13" s="2">
        <v>3.4072982027426028E-2</v>
      </c>
      <c r="J13" s="2">
        <v>3.7124079933483323E-2</v>
      </c>
    </row>
    <row r="14" spans="1:13" ht="15.5" x14ac:dyDescent="0.45">
      <c r="A14" s="2"/>
      <c r="B14" s="2"/>
      <c r="C14" s="2"/>
      <c r="D14" s="2"/>
      <c r="E14" s="2"/>
      <c r="F14" s="2">
        <v>3.25</v>
      </c>
      <c r="G14" s="2">
        <v>0.89452971041117146</v>
      </c>
      <c r="H14" s="2">
        <v>-0.11145716203920615</v>
      </c>
      <c r="I14" s="2">
        <v>3.4294511396678815E-2</v>
      </c>
      <c r="J14" s="2">
        <v>3.7124079933484211E-2</v>
      </c>
    </row>
    <row r="15" spans="1:13" ht="15.5" x14ac:dyDescent="0.45">
      <c r="A15" s="2"/>
      <c r="B15" s="2"/>
      <c r="C15" s="2"/>
      <c r="D15" s="2"/>
      <c r="E15" s="2"/>
      <c r="F15" s="2">
        <v>3.5</v>
      </c>
      <c r="G15" s="2">
        <v>0.88630390614688248</v>
      </c>
      <c r="H15" s="2">
        <v>-0.12069537799613429</v>
      </c>
      <c r="I15" s="2">
        <v>3.4484393713181224E-2</v>
      </c>
      <c r="J15" s="2">
        <v>3.7124079933484211E-2</v>
      </c>
    </row>
    <row r="16" spans="1:13" ht="15.5" x14ac:dyDescent="0.45">
      <c r="A16" s="2"/>
      <c r="B16" s="2"/>
      <c r="C16" s="2"/>
      <c r="D16" s="2"/>
      <c r="E16" s="2"/>
      <c r="F16" s="2">
        <v>3.75</v>
      </c>
      <c r="G16" s="2">
        <v>0.87815374370310195</v>
      </c>
      <c r="H16" s="2">
        <v>-0.12993359395306245</v>
      </c>
      <c r="I16" s="2">
        <v>3.4648958387483317E-2</v>
      </c>
      <c r="J16" s="2">
        <v>3.7124079933484211E-2</v>
      </c>
    </row>
    <row r="17" spans="1:10" ht="15.5" x14ac:dyDescent="0.45">
      <c r="A17" s="2"/>
      <c r="B17" s="2"/>
      <c r="C17" s="2"/>
      <c r="D17" s="2"/>
      <c r="E17" s="2"/>
      <c r="F17" s="2">
        <v>4</v>
      </c>
      <c r="G17" s="2">
        <v>0.87007852750225156</v>
      </c>
      <c r="H17" s="2">
        <v>-0.13917180990999056</v>
      </c>
      <c r="I17" s="2">
        <v>3.4792952477497641E-2</v>
      </c>
      <c r="J17" s="2">
        <v>3.7124079933484211E-2</v>
      </c>
    </row>
    <row r="18" spans="1:10" ht="15.5" x14ac:dyDescent="0.45">
      <c r="A18" s="2"/>
      <c r="B18" s="2"/>
      <c r="C18" s="2"/>
      <c r="D18" s="2"/>
      <c r="E18" s="2"/>
      <c r="F18" s="2">
        <v>4.25</v>
      </c>
      <c r="G18" s="2">
        <v>0.86207756836305816</v>
      </c>
      <c r="H18" s="2">
        <v>-0.1484100258669187</v>
      </c>
      <c r="I18" s="2">
        <v>3.4920006086333812E-2</v>
      </c>
      <c r="J18" s="2">
        <v>3.7124079933483323E-2</v>
      </c>
    </row>
    <row r="19" spans="1:10" ht="15.5" x14ac:dyDescent="0.45">
      <c r="A19" s="2"/>
      <c r="B19" s="2"/>
      <c r="C19" s="2"/>
      <c r="D19" s="2"/>
      <c r="E19" s="2"/>
      <c r="F19" s="2">
        <v>4.5</v>
      </c>
      <c r="G19" s="2">
        <v>0.85415018344173554</v>
      </c>
      <c r="H19" s="2">
        <v>-0.15764824182384671</v>
      </c>
      <c r="I19" s="2">
        <v>3.5032942627521491E-2</v>
      </c>
      <c r="J19" s="2">
        <v>3.7124079933484211E-2</v>
      </c>
    </row>
    <row r="20" spans="1:10" ht="15.5" x14ac:dyDescent="0.45">
      <c r="A20" s="2"/>
      <c r="B20" s="2"/>
      <c r="C20" s="2"/>
      <c r="D20" s="2"/>
      <c r="E20" s="2"/>
      <c r="F20" s="2">
        <v>4.75</v>
      </c>
      <c r="G20" s="2">
        <v>0.84629569617370648</v>
      </c>
      <c r="H20" s="2">
        <v>-0.16688645778077488</v>
      </c>
      <c r="I20" s="2">
        <v>3.5133991111742077E-2</v>
      </c>
      <c r="J20" s="2">
        <v>3.7124079933483323E-2</v>
      </c>
    </row>
    <row r="21" spans="1:10" ht="15.5" x14ac:dyDescent="0.45">
      <c r="A21" s="2"/>
      <c r="B21" s="2"/>
      <c r="C21" s="2"/>
      <c r="D21" s="2"/>
      <c r="E21" s="2"/>
      <c r="F21" s="2">
        <v>5</v>
      </c>
      <c r="G21" s="2">
        <v>0.83851343621586205</v>
      </c>
      <c r="H21" s="2">
        <v>-0.17612467373770296</v>
      </c>
      <c r="I21" s="2">
        <v>3.5224934747540591E-2</v>
      </c>
      <c r="J21" s="2">
        <v>4.0230905739541356E-2</v>
      </c>
    </row>
    <row r="22" spans="1:10" ht="15.5" x14ac:dyDescent="0.45">
      <c r="A22" s="2"/>
      <c r="B22" s="2"/>
      <c r="C22" s="2"/>
      <c r="D22" s="2"/>
      <c r="E22" s="2"/>
      <c r="F22" s="2">
        <v>5.25</v>
      </c>
      <c r="G22" s="2">
        <v>0.83016387506434064</v>
      </c>
      <c r="H22" s="2">
        <v>-0.18613215784361781</v>
      </c>
      <c r="I22" s="2">
        <v>3.5453744351165294E-2</v>
      </c>
      <c r="J22" s="2">
        <v>4.0230905739541356E-2</v>
      </c>
    </row>
    <row r="23" spans="1:10" ht="15.5" x14ac:dyDescent="0.45">
      <c r="A23" s="2"/>
      <c r="B23" s="2"/>
      <c r="C23" s="2"/>
      <c r="D23" s="2"/>
      <c r="E23" s="2"/>
      <c r="F23" s="2">
        <v>5.5</v>
      </c>
      <c r="G23" s="2">
        <v>0.82189745530139091</v>
      </c>
      <c r="H23" s="2">
        <v>-0.19613964194953262</v>
      </c>
      <c r="I23" s="2">
        <v>3.5661753081733201E-2</v>
      </c>
      <c r="J23" s="2">
        <v>4.0230905739541356E-2</v>
      </c>
    </row>
    <row r="24" spans="1:10" ht="15.5" x14ac:dyDescent="0.45">
      <c r="A24" s="2"/>
      <c r="B24" s="2"/>
      <c r="C24" s="2"/>
      <c r="D24" s="2"/>
      <c r="E24" s="2"/>
      <c r="F24" s="2">
        <v>5.75</v>
      </c>
      <c r="G24" s="2">
        <v>0.81371334904032899</v>
      </c>
      <c r="H24" s="2">
        <v>-0.20614712605544744</v>
      </c>
      <c r="I24" s="2">
        <v>3.5851674096599555E-2</v>
      </c>
      <c r="J24" s="2">
        <v>4.0230905739541356E-2</v>
      </c>
    </row>
    <row r="25" spans="1:10" ht="15.5" x14ac:dyDescent="0.45">
      <c r="A25" s="2"/>
      <c r="B25" s="2"/>
      <c r="C25" s="2"/>
      <c r="D25" s="2"/>
      <c r="E25" s="2"/>
      <c r="F25" s="2">
        <v>6</v>
      </c>
      <c r="G25" s="2">
        <v>0.80561073663821536</v>
      </c>
      <c r="H25" s="2">
        <v>-0.21615461016136234</v>
      </c>
      <c r="I25" s="2">
        <v>3.6025768360227056E-2</v>
      </c>
      <c r="J25" s="2">
        <v>4.0230905739540468E-2</v>
      </c>
    </row>
    <row r="26" spans="1:10" ht="15.5" x14ac:dyDescent="0.45">
      <c r="A26" s="2"/>
      <c r="B26" s="2"/>
      <c r="C26" s="2"/>
      <c r="D26" s="2"/>
      <c r="E26" s="2"/>
      <c r="F26" s="2">
        <v>6.25</v>
      </c>
      <c r="G26" s="2">
        <v>0.79758880661376752</v>
      </c>
      <c r="H26" s="2">
        <v>-0.22616209426727713</v>
      </c>
      <c r="I26" s="2">
        <v>3.6185935082764339E-2</v>
      </c>
      <c r="J26" s="2">
        <v>4.0230905739541356E-2</v>
      </c>
    </row>
    <row r="27" spans="1:10" ht="15.5" x14ac:dyDescent="0.45">
      <c r="A27" s="2"/>
      <c r="B27" s="2"/>
      <c r="C27" s="2"/>
      <c r="D27" s="2"/>
      <c r="E27" s="2"/>
      <c r="F27" s="2">
        <v>6.5</v>
      </c>
      <c r="G27" s="2">
        <v>0.78964675556608899</v>
      </c>
      <c r="H27" s="2">
        <v>-0.23616957837319208</v>
      </c>
      <c r="I27" s="2">
        <v>3.6333781288183396E-2</v>
      </c>
      <c r="J27" s="2">
        <v>4.0230905739541356E-2</v>
      </c>
    </row>
    <row r="28" spans="1:10" ht="15.5" x14ac:dyDescent="0.45">
      <c r="A28" s="2"/>
      <c r="B28" s="2"/>
      <c r="C28" s="2"/>
      <c r="D28" s="2"/>
      <c r="E28" s="2"/>
      <c r="F28" s="2">
        <v>6.75</v>
      </c>
      <c r="G28" s="2">
        <v>0.78178378809420912</v>
      </c>
      <c r="H28" s="2">
        <v>-0.24617706247910692</v>
      </c>
      <c r="I28" s="2">
        <v>3.6470675922830653E-2</v>
      </c>
      <c r="J28" s="2">
        <v>4.0230905739540468E-2</v>
      </c>
    </row>
    <row r="29" spans="1:10" ht="15.5" x14ac:dyDescent="0.45">
      <c r="A29" s="2"/>
      <c r="B29" s="2"/>
      <c r="C29" s="2"/>
      <c r="D29" s="2"/>
      <c r="E29" s="2"/>
      <c r="F29" s="2">
        <v>7</v>
      </c>
      <c r="G29" s="2">
        <v>0.7739991167174225</v>
      </c>
      <c r="H29" s="2">
        <v>-0.25618454658502171</v>
      </c>
      <c r="I29" s="2">
        <v>3.6597792369288819E-2</v>
      </c>
      <c r="J29" s="2">
        <v>4.3070967128425508E-2</v>
      </c>
    </row>
    <row r="30" spans="1:10" ht="15.5" x14ac:dyDescent="0.45">
      <c r="A30" s="2"/>
      <c r="B30" s="2"/>
      <c r="C30" s="2"/>
      <c r="D30" s="2"/>
      <c r="E30" s="2"/>
      <c r="F30" s="2">
        <v>7.25</v>
      </c>
      <c r="G30" s="2">
        <v>0.76575367883502887</v>
      </c>
      <c r="H30" s="2">
        <v>-0.26689472905613859</v>
      </c>
      <c r="I30" s="2">
        <v>3.681306607670877E-2</v>
      </c>
      <c r="J30" s="2">
        <v>4.3070967128425508E-2</v>
      </c>
    </row>
    <row r="31" spans="1:10" ht="15.5" x14ac:dyDescent="0.45">
      <c r="A31" s="2"/>
      <c r="B31" s="2"/>
      <c r="C31" s="2"/>
      <c r="D31" s="2"/>
      <c r="E31" s="2"/>
      <c r="F31" s="2">
        <v>7.5</v>
      </c>
      <c r="G31" s="2">
        <v>0.75759607987183297</v>
      </c>
      <c r="H31" s="2">
        <v>-0.27760491152725542</v>
      </c>
      <c r="I31" s="2">
        <v>3.7013988203634059E-2</v>
      </c>
      <c r="J31" s="2">
        <v>4.3070967128425508E-2</v>
      </c>
    </row>
    <row r="32" spans="1:10" ht="15.5" x14ac:dyDescent="0.45">
      <c r="A32" s="2"/>
      <c r="B32" s="2"/>
      <c r="C32" s="2"/>
      <c r="D32" s="2"/>
      <c r="E32" s="2"/>
      <c r="F32" s="2">
        <v>7.75</v>
      </c>
      <c r="G32" s="2">
        <v>0.74952538407695823</v>
      </c>
      <c r="H32" s="2">
        <v>-0.28831509399837218</v>
      </c>
      <c r="I32" s="2">
        <v>3.7201947612693187E-2</v>
      </c>
      <c r="J32" s="2">
        <v>4.3070967128425508E-2</v>
      </c>
    </row>
    <row r="33" spans="1:10" ht="15.5" x14ac:dyDescent="0.45">
      <c r="A33" s="2"/>
      <c r="B33" s="2"/>
      <c r="C33" s="2"/>
      <c r="D33" s="2"/>
      <c r="E33" s="2"/>
      <c r="F33" s="2">
        <v>8</v>
      </c>
      <c r="G33" s="2">
        <v>0.74154066566811272</v>
      </c>
      <c r="H33" s="2">
        <v>-0.29902527646948907</v>
      </c>
      <c r="I33" s="2">
        <v>3.7378159558686133E-2</v>
      </c>
      <c r="J33" s="2">
        <v>4.3070967128425508E-2</v>
      </c>
    </row>
    <row r="34" spans="1:10" ht="15.5" x14ac:dyDescent="0.45">
      <c r="A34" s="2"/>
      <c r="B34" s="2"/>
      <c r="C34" s="2"/>
      <c r="D34" s="2"/>
      <c r="E34" s="2"/>
      <c r="F34" s="2">
        <v>8.25</v>
      </c>
      <c r="G34" s="2">
        <v>0.73364100872539362</v>
      </c>
      <c r="H34" s="2">
        <v>-0.30973545894060595</v>
      </c>
      <c r="I34" s="2">
        <v>3.7543691992800721E-2</v>
      </c>
      <c r="J34" s="2">
        <v>4.3070967128425508E-2</v>
      </c>
    </row>
    <row r="35" spans="1:10" ht="15.5" x14ac:dyDescent="0.45">
      <c r="A35" s="2"/>
      <c r="B35" s="2"/>
      <c r="C35" s="2"/>
      <c r="D35" s="2"/>
      <c r="E35" s="2"/>
      <c r="F35" s="2">
        <v>8.5</v>
      </c>
      <c r="G35" s="2">
        <v>0.72582550708622273</v>
      </c>
      <c r="H35" s="2">
        <v>-0.32044564141172283</v>
      </c>
      <c r="I35" s="2">
        <v>3.7699487224908568E-2</v>
      </c>
      <c r="J35" s="2">
        <v>4.307096712842462E-2</v>
      </c>
    </row>
    <row r="36" spans="1:10" ht="15.5" x14ac:dyDescent="0.45">
      <c r="A36" s="2"/>
      <c r="B36" s="2"/>
      <c r="C36" s="2"/>
      <c r="D36" s="2"/>
      <c r="E36" s="2"/>
      <c r="F36" s="2">
        <v>8.75</v>
      </c>
      <c r="G36" s="2">
        <v>0.71809326424140152</v>
      </c>
      <c r="H36" s="2">
        <v>-0.3311558238828396</v>
      </c>
      <c r="I36" s="2">
        <v>3.7846379872324525E-2</v>
      </c>
      <c r="J36" s="2">
        <v>4.3070967128425508E-2</v>
      </c>
    </row>
    <row r="37" spans="1:10" ht="15.5" x14ac:dyDescent="0.45">
      <c r="A37" s="2"/>
      <c r="B37" s="2"/>
      <c r="C37" s="2"/>
      <c r="D37" s="2"/>
      <c r="E37" s="2"/>
      <c r="F37" s="2">
        <v>9</v>
      </c>
      <c r="G37" s="2">
        <v>0.7104433932322729</v>
      </c>
      <c r="H37" s="2">
        <v>-0.34186600635395648</v>
      </c>
      <c r="I37" s="2">
        <v>3.7985111817106273E-2</v>
      </c>
      <c r="J37" s="2">
        <v>4.3070967128425508E-2</v>
      </c>
    </row>
    <row r="38" spans="1:10" ht="15.5" x14ac:dyDescent="0.45">
      <c r="A38" s="2"/>
      <c r="B38" s="2"/>
      <c r="C38" s="2"/>
      <c r="D38" s="2"/>
      <c r="E38" s="2"/>
      <c r="F38" s="2">
        <v>9.25</v>
      </c>
      <c r="G38" s="2">
        <v>0.70287501654897977</v>
      </c>
      <c r="H38" s="2">
        <v>-0.3525761888250733</v>
      </c>
      <c r="I38" s="2">
        <v>3.811634473784576E-2</v>
      </c>
      <c r="J38" s="2">
        <v>4.3070967128425508E-2</v>
      </c>
    </row>
    <row r="39" spans="1:10" ht="15.5" x14ac:dyDescent="0.45">
      <c r="A39" s="2"/>
      <c r="B39" s="2"/>
      <c r="C39" s="2"/>
      <c r="D39" s="2"/>
      <c r="E39" s="2"/>
      <c r="F39" s="2">
        <v>9.5</v>
      </c>
      <c r="G39" s="2">
        <v>0.69538726602980594</v>
      </c>
      <c r="H39" s="2">
        <v>-0.36328637129619012</v>
      </c>
      <c r="I39" s="2">
        <v>3.8240670662756854E-2</v>
      </c>
      <c r="J39" s="2">
        <v>4.3070967128425508E-2</v>
      </c>
    </row>
    <row r="40" spans="1:10" ht="15.5" x14ac:dyDescent="0.45">
      <c r="A40" s="2"/>
      <c r="B40" s="2"/>
      <c r="C40" s="2"/>
      <c r="D40" s="2"/>
      <c r="E40" s="2"/>
      <c r="F40" s="2">
        <v>9.75</v>
      </c>
      <c r="G40" s="2">
        <v>0.68797928276159037</v>
      </c>
      <c r="H40" s="2">
        <v>-0.37399655376730701</v>
      </c>
      <c r="I40" s="2">
        <v>3.8358620899210973E-2</v>
      </c>
      <c r="J40" s="2">
        <v>4.307096712842462E-2</v>
      </c>
    </row>
    <row r="41" spans="1:10" ht="15.5" x14ac:dyDescent="0.45">
      <c r="A41" s="2"/>
      <c r="B41" s="2"/>
      <c r="C41" s="2"/>
      <c r="D41" s="2"/>
      <c r="E41" s="2"/>
      <c r="F41" s="2">
        <v>10</v>
      </c>
      <c r="G41" s="2">
        <v>0.68065021698120221</v>
      </c>
      <c r="H41" s="2">
        <v>-0.38470673623842377</v>
      </c>
      <c r="I41" s="2">
        <v>3.8470673623842377E-2</v>
      </c>
      <c r="J41" s="2">
        <v>4.6570040623767461E-2</v>
      </c>
    </row>
    <row r="42" spans="1:10" ht="15.5" x14ac:dyDescent="0.45">
      <c r="A42" s="2"/>
      <c r="B42" s="2"/>
      <c r="C42" s="2"/>
      <c r="D42" s="2"/>
      <c r="E42" s="2"/>
      <c r="F42" s="2">
        <v>10.25</v>
      </c>
      <c r="G42" s="2">
        <v>0.67281693893654382</v>
      </c>
      <c r="H42" s="2">
        <v>-0.39628199386187457</v>
      </c>
      <c r="I42" s="2">
        <v>3.8661657937743864E-2</v>
      </c>
      <c r="J42" s="2">
        <v>4.6570040623767461E-2</v>
      </c>
    </row>
    <row r="43" spans="1:10" ht="15.5" x14ac:dyDescent="0.45">
      <c r="A43" s="2"/>
      <c r="B43" s="2"/>
      <c r="C43" s="2"/>
      <c r="D43" s="2"/>
      <c r="E43" s="2"/>
      <c r="F43" s="2">
        <v>10.5</v>
      </c>
      <c r="G43" s="2">
        <v>0.66507381034514945</v>
      </c>
      <c r="H43" s="2">
        <v>-0.40785725148532548</v>
      </c>
      <c r="I43" s="2">
        <v>3.8843547760507191E-2</v>
      </c>
      <c r="J43" s="2">
        <v>4.6570040623767461E-2</v>
      </c>
    </row>
    <row r="44" spans="1:10" ht="15.5" x14ac:dyDescent="0.45">
      <c r="A44" s="2"/>
      <c r="B44" s="2"/>
      <c r="C44" s="2"/>
      <c r="D44" s="2"/>
      <c r="E44" s="2"/>
      <c r="F44" s="2">
        <v>10.75</v>
      </c>
      <c r="G44" s="2">
        <v>0.65741979372004666</v>
      </c>
      <c r="H44" s="2">
        <v>-0.41943250910877627</v>
      </c>
      <c r="I44" s="2">
        <v>3.9016977591514075E-2</v>
      </c>
      <c r="J44" s="2">
        <v>4.6570040623767461E-2</v>
      </c>
    </row>
    <row r="45" spans="1:10" ht="15.5" x14ac:dyDescent="0.45">
      <c r="A45" s="2"/>
      <c r="B45" s="2"/>
      <c r="C45" s="2"/>
      <c r="D45" s="2"/>
      <c r="E45" s="2"/>
      <c r="F45" s="2">
        <v>11</v>
      </c>
      <c r="G45" s="2">
        <v>0.64985386351420449</v>
      </c>
      <c r="H45" s="2">
        <v>-0.43100776673222713</v>
      </c>
      <c r="I45" s="2">
        <v>3.9182524248384282E-2</v>
      </c>
      <c r="J45" s="2">
        <v>4.6570040623767461E-2</v>
      </c>
    </row>
    <row r="46" spans="1:10" ht="15.5" x14ac:dyDescent="0.45">
      <c r="A46" s="2"/>
      <c r="B46" s="2"/>
      <c r="C46" s="2"/>
      <c r="D46" s="2"/>
      <c r="E46" s="2"/>
      <c r="F46" s="2">
        <v>11.25</v>
      </c>
      <c r="G46" s="2">
        <v>0.6423750059831228</v>
      </c>
      <c r="H46" s="2">
        <v>-0.44258302435567798</v>
      </c>
      <c r="I46" s="2">
        <v>3.9340713276060264E-2</v>
      </c>
      <c r="J46" s="2">
        <v>4.6570040623767461E-2</v>
      </c>
    </row>
    <row r="47" spans="1:10" ht="15.5" x14ac:dyDescent="0.45">
      <c r="A47" s="2"/>
      <c r="B47" s="2"/>
      <c r="C47" s="2"/>
      <c r="D47" s="2"/>
      <c r="E47" s="2"/>
      <c r="F47" s="2">
        <v>11.5</v>
      </c>
      <c r="G47" s="2">
        <v>0.63498221904900232</v>
      </c>
      <c r="H47" s="2">
        <v>-0.45415828197912883</v>
      </c>
      <c r="I47" s="2">
        <v>3.9492024519924243E-2</v>
      </c>
      <c r="J47" s="2">
        <v>4.6570040623767461E-2</v>
      </c>
    </row>
    <row r="48" spans="1:10" ht="15.5" x14ac:dyDescent="0.45">
      <c r="A48" s="2"/>
      <c r="B48" s="2"/>
      <c r="C48" s="2"/>
      <c r="D48" s="2"/>
      <c r="E48" s="2"/>
      <c r="F48" s="2">
        <v>11.75</v>
      </c>
      <c r="G48" s="2">
        <v>0.62767451216647818</v>
      </c>
      <c r="H48" s="2">
        <v>-0.46573353960257979</v>
      </c>
      <c r="I48" s="2">
        <v>3.9636896987453603E-2</v>
      </c>
      <c r="J48" s="2">
        <v>4.6570040623767461E-2</v>
      </c>
    </row>
    <row r="49" spans="1:10" ht="15.5" x14ac:dyDescent="0.45">
      <c r="A49" s="2"/>
      <c r="B49" s="2"/>
      <c r="C49" s="2"/>
      <c r="D49" s="2"/>
      <c r="E49" s="2"/>
      <c r="F49" s="2">
        <v>12</v>
      </c>
      <c r="G49" s="2">
        <v>0.62045090618989895</v>
      </c>
      <c r="H49" s="2">
        <v>-0.47730879722603065</v>
      </c>
      <c r="I49" s="2">
        <v>3.9775733102169218E-2</v>
      </c>
      <c r="J49" s="2">
        <v>4.6570040623767461E-2</v>
      </c>
    </row>
    <row r="50" spans="1:10" ht="15.5" x14ac:dyDescent="0.45">
      <c r="A50" s="2"/>
      <c r="B50" s="2"/>
      <c r="C50" s="2"/>
      <c r="D50" s="2"/>
      <c r="E50" s="2"/>
      <c r="F50" s="2">
        <v>12.25</v>
      </c>
      <c r="G50" s="2">
        <v>0.6133104332421323</v>
      </c>
      <c r="H50" s="2">
        <v>-0.48888405484948155</v>
      </c>
      <c r="I50" s="2">
        <v>3.9908902436692373E-2</v>
      </c>
      <c r="J50" s="2">
        <v>4.6570040623767461E-2</v>
      </c>
    </row>
    <row r="51" spans="1:10" ht="15.5" x14ac:dyDescent="0.45">
      <c r="A51" s="2"/>
      <c r="B51" s="2"/>
      <c r="C51" s="2"/>
      <c r="D51" s="2"/>
      <c r="E51" s="2"/>
      <c r="F51" s="2">
        <v>12.5</v>
      </c>
      <c r="G51" s="2">
        <v>0.60625213658488142</v>
      </c>
      <c r="H51" s="2">
        <v>-0.5004593124729324</v>
      </c>
      <c r="I51" s="2">
        <v>4.0036744997834592E-2</v>
      </c>
      <c r="J51" s="2">
        <v>4.6570040623767461E-2</v>
      </c>
    </row>
    <row r="52" spans="1:10" ht="15.5" x14ac:dyDescent="0.45">
      <c r="A52" s="2"/>
      <c r="B52" s="2"/>
      <c r="C52" s="2"/>
      <c r="D52" s="2"/>
      <c r="E52" s="2"/>
      <c r="F52" s="2">
        <v>12.75</v>
      </c>
      <c r="G52" s="2">
        <v>0.59927507049049311</v>
      </c>
      <c r="H52" s="2">
        <v>-0.5120345700963832</v>
      </c>
      <c r="I52" s="2">
        <v>4.0159574125206522E-2</v>
      </c>
      <c r="J52" s="2">
        <v>4.6570040623767461E-2</v>
      </c>
    </row>
    <row r="53" spans="1:10" ht="15.5" x14ac:dyDescent="0.45">
      <c r="A53" s="2"/>
      <c r="B53" s="2"/>
      <c r="C53" s="2"/>
      <c r="D53" s="2"/>
      <c r="E53" s="2"/>
      <c r="F53" s="2">
        <v>13</v>
      </c>
      <c r="G53" s="2">
        <v>0.59237830011524184</v>
      </c>
      <c r="H53" s="2">
        <v>-0.52360982771983411</v>
      </c>
      <c r="I53" s="2">
        <v>4.0277679055371857E-2</v>
      </c>
      <c r="J53" s="2">
        <v>4.6570040623767461E-2</v>
      </c>
    </row>
    <row r="54" spans="1:10" ht="15.5" x14ac:dyDescent="0.45">
      <c r="A54" s="2"/>
      <c r="B54" s="2"/>
      <c r="C54" s="2"/>
      <c r="D54" s="2"/>
      <c r="E54" s="2"/>
      <c r="F54" s="2">
        <v>13.25</v>
      </c>
      <c r="G54" s="2">
        <v>0.5855609013740718</v>
      </c>
      <c r="H54" s="2">
        <v>-0.53518508534328491</v>
      </c>
      <c r="I54" s="2">
        <v>4.0391327195719619E-2</v>
      </c>
      <c r="J54" s="2">
        <v>4.657004062376835E-2</v>
      </c>
    </row>
    <row r="55" spans="1:10" ht="15.5" x14ac:dyDescent="0.45">
      <c r="A55" s="2"/>
      <c r="B55" s="2"/>
      <c r="C55" s="2"/>
      <c r="D55" s="2"/>
      <c r="E55" s="2"/>
      <c r="F55" s="2">
        <v>13.5</v>
      </c>
      <c r="G55" s="2">
        <v>0.57882196081678017</v>
      </c>
      <c r="H55" s="2">
        <v>-0.54676034296673592</v>
      </c>
      <c r="I55" s="2">
        <v>4.0500766145684146E-2</v>
      </c>
      <c r="J55" s="2">
        <v>4.6570040623767461E-2</v>
      </c>
    </row>
    <row r="56" spans="1:10" ht="15.5" x14ac:dyDescent="0.45">
      <c r="A56" s="2"/>
      <c r="B56" s="2"/>
      <c r="C56" s="2"/>
      <c r="D56" s="2"/>
      <c r="E56" s="2"/>
      <c r="F56" s="2">
        <v>13.75</v>
      </c>
      <c r="G56" s="2">
        <v>0.57216057550562638</v>
      </c>
      <c r="H56" s="2">
        <v>-0.55833560059018672</v>
      </c>
      <c r="I56" s="2">
        <v>4.0606225497468125E-2</v>
      </c>
      <c r="J56" s="2">
        <v>4.6570040623766573E-2</v>
      </c>
    </row>
    <row r="57" spans="1:10" ht="15.5" x14ac:dyDescent="0.45">
      <c r="A57" s="2"/>
      <c r="B57" s="2"/>
      <c r="C57" s="2"/>
      <c r="D57" s="2"/>
      <c r="E57" s="2"/>
      <c r="F57" s="2">
        <v>14</v>
      </c>
      <c r="G57" s="2">
        <v>0.56557585289434853</v>
      </c>
      <c r="H57" s="2">
        <v>-0.56991085821363752</v>
      </c>
      <c r="I57" s="2">
        <v>4.0707918443831252E-2</v>
      </c>
      <c r="J57" s="2">
        <v>4.6570040623767461E-2</v>
      </c>
    </row>
    <row r="58" spans="1:10" ht="15.5" x14ac:dyDescent="0.45">
      <c r="A58" s="2"/>
      <c r="B58" s="2"/>
      <c r="C58" s="2"/>
      <c r="D58" s="2"/>
      <c r="E58" s="2"/>
      <c r="F58" s="2">
        <v>14.25</v>
      </c>
      <c r="G58" s="2">
        <v>0.55906691070857295</v>
      </c>
      <c r="H58" s="2">
        <v>-0.58148611583708831</v>
      </c>
      <c r="I58" s="2">
        <v>4.0806043216637777E-2</v>
      </c>
      <c r="J58" s="2">
        <v>4.6570040623767461E-2</v>
      </c>
    </row>
    <row r="59" spans="1:10" ht="15.5" x14ac:dyDescent="0.45">
      <c r="A59" s="2"/>
      <c r="B59" s="2"/>
      <c r="C59" s="2"/>
      <c r="D59" s="2"/>
      <c r="E59" s="2"/>
      <c r="F59" s="2">
        <v>14.5</v>
      </c>
      <c r="G59" s="2">
        <v>0.55263287682760021</v>
      </c>
      <c r="H59" s="2">
        <v>-0.59306137346053922</v>
      </c>
      <c r="I59" s="2">
        <v>4.0900784376588908E-2</v>
      </c>
      <c r="J59" s="2">
        <v>4.6570040623766573E-2</v>
      </c>
    </row>
    <row r="60" spans="1:10" ht="15.5" x14ac:dyDescent="0.45">
      <c r="A60" s="2"/>
      <c r="B60" s="2"/>
      <c r="C60" s="2"/>
      <c r="D60" s="2"/>
      <c r="E60" s="2"/>
      <c r="F60" s="2">
        <v>14.75</v>
      </c>
      <c r="G60" s="2">
        <v>0.54627288916755135</v>
      </c>
      <c r="H60" s="2">
        <v>-0.60463663108399002</v>
      </c>
      <c r="I60" s="2">
        <v>4.0992313971795931E-2</v>
      </c>
      <c r="J60" s="2">
        <v>4.6570040623766573E-2</v>
      </c>
    </row>
    <row r="61" spans="1:10" ht="15.5" x14ac:dyDescent="0.45">
      <c r="A61" s="2"/>
      <c r="B61" s="2"/>
      <c r="C61" s="2"/>
      <c r="D61" s="2"/>
      <c r="E61" s="2"/>
      <c r="F61" s="2">
        <v>15</v>
      </c>
      <c r="G61" s="2">
        <v>0.53998609556585853</v>
      </c>
      <c r="H61" s="2">
        <v>-0.61621188870744081</v>
      </c>
      <c r="I61" s="2">
        <v>4.1080792580496052E-2</v>
      </c>
      <c r="J61" s="2">
        <v>4.3222651828739522E-2</v>
      </c>
    </row>
    <row r="62" spans="1:10" ht="15.5" x14ac:dyDescent="0.45">
      <c r="A62" s="2"/>
      <c r="B62" s="2"/>
      <c r="C62" s="2"/>
      <c r="D62" s="2"/>
      <c r="E62" s="2"/>
      <c r="F62" s="2">
        <v>15.25</v>
      </c>
      <c r="G62" s="2">
        <v>0.53421356384776308</v>
      </c>
      <c r="H62" s="2">
        <v>-0.62695958767436621</v>
      </c>
      <c r="I62" s="2">
        <v>4.1112104109794503E-2</v>
      </c>
      <c r="J62" s="2">
        <v>4.3222651828738634E-2</v>
      </c>
    </row>
    <row r="63" spans="1:10" ht="15.5" x14ac:dyDescent="0.45">
      <c r="A63" s="2"/>
      <c r="B63" s="2"/>
      <c r="C63" s="2"/>
      <c r="D63" s="2"/>
      <c r="E63" s="2"/>
      <c r="F63" s="2">
        <v>15.5</v>
      </c>
      <c r="G63" s="2">
        <v>0.5285027413527571</v>
      </c>
      <c r="H63" s="2">
        <v>-0.6377072866412915</v>
      </c>
      <c r="I63" s="2">
        <v>4.114240558976074E-2</v>
      </c>
      <c r="J63" s="2">
        <v>4.3222651828738634E-2</v>
      </c>
    </row>
    <row r="64" spans="1:10" ht="15.5" x14ac:dyDescent="0.45">
      <c r="A64" s="2"/>
      <c r="B64" s="2"/>
      <c r="C64" s="2"/>
      <c r="D64" s="2"/>
      <c r="E64" s="2"/>
      <c r="F64" s="2">
        <v>15.75</v>
      </c>
      <c r="G64" s="2">
        <v>0.52285296840006246</v>
      </c>
      <c r="H64" s="2">
        <v>-0.64845498560821702</v>
      </c>
      <c r="I64" s="2">
        <v>4.117174511798203E-2</v>
      </c>
      <c r="J64" s="2">
        <v>4.3222651828738634E-2</v>
      </c>
    </row>
    <row r="65" spans="1:10" ht="15.5" x14ac:dyDescent="0.45">
      <c r="A65" s="2"/>
      <c r="B65" s="2"/>
      <c r="C65" s="2"/>
      <c r="D65" s="2"/>
      <c r="E65" s="2"/>
      <c r="F65" s="2">
        <v>16</v>
      </c>
      <c r="G65" s="2">
        <v>0.51726359236098707</v>
      </c>
      <c r="H65" s="2">
        <v>-0.65920268457514231</v>
      </c>
      <c r="I65" s="2">
        <v>4.1200167785946394E-2</v>
      </c>
      <c r="J65" s="2">
        <v>4.3222651828738634E-2</v>
      </c>
    </row>
    <row r="66" spans="1:10" ht="15.5" x14ac:dyDescent="0.45">
      <c r="A66" s="2"/>
      <c r="B66" s="2"/>
      <c r="C66" s="2"/>
      <c r="D66" s="2"/>
      <c r="E66" s="2"/>
      <c r="F66" s="2">
        <v>16.25</v>
      </c>
      <c r="G66" s="2">
        <v>0.51173396758353651</v>
      </c>
      <c r="H66" s="2">
        <v>-0.66995038354206771</v>
      </c>
      <c r="I66" s="2">
        <v>4.1227715910281092E-2</v>
      </c>
      <c r="J66" s="2">
        <v>4.3222651828739522E-2</v>
      </c>
    </row>
    <row r="67" spans="1:10" ht="15.5" x14ac:dyDescent="0.45">
      <c r="A67" s="2"/>
      <c r="B67" s="2"/>
      <c r="C67" s="2"/>
      <c r="D67" s="2"/>
      <c r="E67" s="2"/>
      <c r="F67" s="2">
        <v>16.5</v>
      </c>
      <c r="G67" s="2">
        <v>0.50626345531783223</v>
      </c>
      <c r="H67" s="2">
        <v>-0.68069808250899322</v>
      </c>
      <c r="I67" s="2">
        <v>4.1254429242969286E-2</v>
      </c>
      <c r="J67" s="2">
        <v>4.3222651828738634E-2</v>
      </c>
    </row>
    <row r="68" spans="1:10" ht="15.5" x14ac:dyDescent="0.45">
      <c r="A68" s="2"/>
      <c r="B68" s="2"/>
      <c r="C68" s="2"/>
      <c r="D68" s="2"/>
      <c r="E68" s="2"/>
      <c r="F68" s="2">
        <v>16.75</v>
      </c>
      <c r="G68" s="2">
        <v>0.50085142364232715</v>
      </c>
      <c r="H68" s="2">
        <v>-0.69144578147591851</v>
      </c>
      <c r="I68" s="2">
        <v>4.1280345162741407E-2</v>
      </c>
      <c r="J68" s="2">
        <v>4.3222651828738634E-2</v>
      </c>
    </row>
    <row r="69" spans="1:10" ht="15.5" x14ac:dyDescent="0.45">
      <c r="A69" s="2"/>
      <c r="B69" s="2"/>
      <c r="C69" s="2"/>
      <c r="D69" s="2"/>
      <c r="E69" s="2"/>
      <c r="F69" s="2">
        <v>17</v>
      </c>
      <c r="G69" s="2">
        <v>0.4954972473908093</v>
      </c>
      <c r="H69" s="2">
        <v>-0.70219348044284391</v>
      </c>
      <c r="I69" s="2">
        <v>4.1305498849579056E-2</v>
      </c>
      <c r="J69" s="2">
        <v>4.3222651828738634E-2</v>
      </c>
    </row>
    <row r="70" spans="1:10" ht="15.5" x14ac:dyDescent="0.45">
      <c r="A70" s="2"/>
      <c r="B70" s="2"/>
      <c r="C70" s="2"/>
      <c r="D70" s="2"/>
      <c r="E70" s="2"/>
      <c r="F70" s="2">
        <v>17.25</v>
      </c>
      <c r="G70" s="2">
        <v>0.49020030808018672</v>
      </c>
      <c r="H70" s="2">
        <v>-0.71294117940976931</v>
      </c>
      <c r="I70" s="2">
        <v>4.1329923444044597E-2</v>
      </c>
      <c r="J70" s="2">
        <v>4.3222651828738634E-2</v>
      </c>
    </row>
    <row r="71" spans="1:10" ht="15.5" x14ac:dyDescent="0.45">
      <c r="A71" s="2"/>
      <c r="B71" s="2"/>
      <c r="C71" s="2"/>
      <c r="D71" s="2"/>
      <c r="E71" s="2"/>
      <c r="F71" s="2">
        <v>17.5</v>
      </c>
      <c r="G71" s="2">
        <v>0.48495999383904365</v>
      </c>
      <c r="H71" s="2">
        <v>-0.72368887837669471</v>
      </c>
      <c r="I71" s="2">
        <v>4.1353650192953985E-2</v>
      </c>
      <c r="J71" s="2">
        <v>4.3222651828738634E-2</v>
      </c>
    </row>
    <row r="72" spans="1:10" ht="15.5" x14ac:dyDescent="0.45">
      <c r="A72" s="2"/>
      <c r="B72" s="2"/>
      <c r="C72" s="2"/>
      <c r="D72" s="2"/>
      <c r="E72" s="2"/>
      <c r="F72" s="2">
        <v>17.75</v>
      </c>
      <c r="G72" s="2">
        <v>0.47977569933696085</v>
      </c>
      <c r="H72" s="2">
        <v>-0.73443657734362011</v>
      </c>
      <c r="I72" s="2">
        <v>4.1376708582739161E-2</v>
      </c>
      <c r="J72" s="2">
        <v>4.3222651828738634E-2</v>
      </c>
    </row>
    <row r="73" spans="1:10" ht="15.5" x14ac:dyDescent="0.45">
      <c r="A73" s="2"/>
      <c r="B73" s="2"/>
      <c r="C73" s="2"/>
      <c r="D73" s="2"/>
      <c r="E73" s="2"/>
      <c r="F73" s="2">
        <v>18</v>
      </c>
      <c r="G73" s="2">
        <v>0.47464682571459138</v>
      </c>
      <c r="H73" s="2">
        <v>-0.74518427631054551</v>
      </c>
      <c r="I73" s="2">
        <v>4.1399126461696974E-2</v>
      </c>
      <c r="J73" s="2">
        <v>4.3222651828738634E-2</v>
      </c>
    </row>
    <row r="74" spans="1:10" ht="15.5" x14ac:dyDescent="0.45">
      <c r="A74" s="2"/>
      <c r="B74" s="2"/>
      <c r="C74" s="2"/>
      <c r="D74" s="2"/>
      <c r="E74" s="2"/>
      <c r="F74" s="2">
        <v>18.25</v>
      </c>
      <c r="G74" s="2">
        <v>0.46957278051448381</v>
      </c>
      <c r="H74" s="2">
        <v>-0.75593197527747091</v>
      </c>
      <c r="I74" s="2">
        <v>4.1420930152190186E-2</v>
      </c>
      <c r="J74" s="2">
        <v>4.3222651828738634E-2</v>
      </c>
    </row>
    <row r="75" spans="1:10" ht="15.5" x14ac:dyDescent="0.45">
      <c r="A75" s="2"/>
      <c r="B75" s="2"/>
      <c r="C75" s="2"/>
      <c r="D75" s="2"/>
      <c r="E75" s="2"/>
      <c r="F75" s="2">
        <v>18.5</v>
      </c>
      <c r="G75" s="2">
        <v>0.46455297761264502</v>
      </c>
      <c r="H75" s="2">
        <v>-0.7666796742443962</v>
      </c>
      <c r="I75" s="2">
        <v>4.1442144553751149E-2</v>
      </c>
      <c r="J75" s="2">
        <v>4.3222651828738634E-2</v>
      </c>
    </row>
    <row r="76" spans="1:10" ht="15.5" x14ac:dyDescent="0.45">
      <c r="A76" s="2"/>
      <c r="B76" s="2"/>
      <c r="C76" s="2"/>
      <c r="D76" s="2"/>
      <c r="E76" s="2"/>
      <c r="F76" s="2">
        <v>18.75</v>
      </c>
      <c r="G76" s="2">
        <v>0.45958683715083459</v>
      </c>
      <c r="H76" s="2">
        <v>-0.7774273732113216</v>
      </c>
      <c r="I76" s="2">
        <v>4.1462793237937154E-2</v>
      </c>
      <c r="J76" s="2">
        <v>4.3222651828738634E-2</v>
      </c>
    </row>
    <row r="77" spans="1:10" ht="15.5" x14ac:dyDescent="0.45">
      <c r="A77" s="2"/>
      <c r="B77" s="2"/>
      <c r="C77" s="2"/>
      <c r="D77" s="2"/>
      <c r="E77" s="2"/>
      <c r="F77" s="2">
        <v>19</v>
      </c>
      <c r="G77" s="2">
        <v>0.45467378546958298</v>
      </c>
      <c r="H77" s="2">
        <v>-0.788175072178247</v>
      </c>
      <c r="I77" s="2">
        <v>4.1482898535697213E-2</v>
      </c>
      <c r="J77" s="2">
        <v>4.3222651828738634E-2</v>
      </c>
    </row>
    <row r="78" spans="1:10" ht="15.5" x14ac:dyDescent="0.45">
      <c r="A78" s="2"/>
      <c r="B78" s="2"/>
      <c r="C78" s="2"/>
      <c r="D78" s="2"/>
      <c r="E78" s="2"/>
      <c r="F78" s="2">
        <v>19.25</v>
      </c>
      <c r="G78" s="2">
        <v>0.44981325504192576</v>
      </c>
      <c r="H78" s="2">
        <v>-0.79892277114517241</v>
      </c>
      <c r="I78" s="2">
        <v>4.1502481617931034E-2</v>
      </c>
      <c r="J78" s="2">
        <v>4.3222651828738634E-2</v>
      </c>
    </row>
    <row r="79" spans="1:10" ht="15.5" x14ac:dyDescent="0.45">
      <c r="A79" s="2"/>
      <c r="B79" s="2"/>
      <c r="C79" s="2"/>
      <c r="D79" s="2"/>
      <c r="E79" s="2"/>
      <c r="F79" s="2">
        <v>19.5</v>
      </c>
      <c r="G79" s="2">
        <v>0.44500468440784624</v>
      </c>
      <c r="H79" s="2">
        <v>-0.8096704701120977</v>
      </c>
      <c r="I79" s="2">
        <v>4.1521562569851164E-2</v>
      </c>
      <c r="J79" s="2">
        <v>4.3222651828739522E-2</v>
      </c>
    </row>
    <row r="80" spans="1:10" ht="15.5" x14ac:dyDescent="0.45">
      <c r="A80" s="2"/>
      <c r="B80" s="2"/>
      <c r="C80" s="2"/>
      <c r="D80" s="2"/>
      <c r="E80" s="2"/>
      <c r="F80" s="2">
        <v>19.75</v>
      </c>
      <c r="G80" s="2">
        <v>0.44024751810941876</v>
      </c>
      <c r="H80" s="2">
        <v>-0.82041816907902321</v>
      </c>
      <c r="I80" s="2">
        <v>4.1540160459697377E-2</v>
      </c>
      <c r="J80" s="2">
        <v>4.3222651828738634E-2</v>
      </c>
    </row>
    <row r="81" spans="1:10" ht="15.5" x14ac:dyDescent="0.45">
      <c r="A81" s="2"/>
      <c r="B81" s="2"/>
      <c r="C81" s="2"/>
      <c r="D81" s="2"/>
      <c r="E81" s="2"/>
      <c r="F81" s="2">
        <v>20</v>
      </c>
      <c r="G81" s="2">
        <v>0.43554120662664569</v>
      </c>
      <c r="H81" s="2">
        <v>-0.83116586804594861</v>
      </c>
      <c r="I81" s="2">
        <v>4.1558293402297428E-2</v>
      </c>
      <c r="J81" s="2">
        <v>4.3222651828738634E-2</v>
      </c>
    </row>
    <row r="82" spans="1:10" ht="15.5" x14ac:dyDescent="0.45">
      <c r="A82" s="2"/>
      <c r="B82" s="2"/>
      <c r="C82" s="2"/>
      <c r="D82" s="2"/>
      <c r="E82" s="2"/>
      <c r="F82" s="2">
        <v>20.25</v>
      </c>
      <c r="G82" s="2">
        <v>0.43088520631397981</v>
      </c>
      <c r="H82" s="2">
        <v>-0.84191356701287401</v>
      </c>
      <c r="I82" s="2">
        <v>4.1575978617919701E-2</v>
      </c>
      <c r="J82" s="2">
        <v>4.3222651828738634E-2</v>
      </c>
    </row>
    <row r="83" spans="1:10" ht="15.5" x14ac:dyDescent="0.45">
      <c r="A83" s="2"/>
      <c r="B83" s="2"/>
      <c r="C83" s="2"/>
      <c r="D83" s="2"/>
      <c r="E83" s="2"/>
      <c r="F83" s="2">
        <v>20.5</v>
      </c>
      <c r="G83" s="2">
        <v>0.42627897933752584</v>
      </c>
      <c r="H83" s="2">
        <v>-0.85266126597979941</v>
      </c>
      <c r="I83" s="2">
        <v>4.1593232486819481E-2</v>
      </c>
      <c r="J83" s="2">
        <v>4.3222651828738634E-2</v>
      </c>
    </row>
    <row r="84" spans="1:10" ht="15.5" x14ac:dyDescent="0.45">
      <c r="A84" s="2"/>
      <c r="B84" s="2"/>
      <c r="C84" s="2"/>
      <c r="D84" s="2"/>
      <c r="E84" s="2"/>
      <c r="F84" s="2">
        <v>20.75</v>
      </c>
      <c r="G84" s="2">
        <v>0.42172199361291268</v>
      </c>
      <c r="H84" s="2">
        <v>-0.86340896494672481</v>
      </c>
      <c r="I84" s="2">
        <v>4.1610070599842161E-2</v>
      </c>
      <c r="J84" s="2">
        <v>4.3222651828738634E-2</v>
      </c>
    </row>
    <row r="85" spans="1:10" ht="15.5" x14ac:dyDescent="0.45">
      <c r="A85" s="2"/>
      <c r="B85" s="2"/>
      <c r="C85" s="2"/>
      <c r="D85" s="2"/>
      <c r="E85" s="2"/>
      <c r="F85" s="2">
        <v>21</v>
      </c>
      <c r="G85" s="2">
        <v>0.41721372274383056</v>
      </c>
      <c r="H85" s="2">
        <v>-0.87415666391365021</v>
      </c>
      <c r="I85" s="2">
        <v>4.1626507805411918E-2</v>
      </c>
      <c r="J85" s="2">
        <v>4.3222651828738634E-2</v>
      </c>
    </row>
    <row r="86" spans="1:10" ht="15.5" x14ac:dyDescent="0.45">
      <c r="A86" s="2"/>
      <c r="B86" s="2"/>
      <c r="C86" s="2"/>
      <c r="D86" s="2"/>
      <c r="E86" s="2"/>
      <c r="F86" s="2">
        <v>21.25</v>
      </c>
      <c r="G86" s="2">
        <v>0.41275364596122444</v>
      </c>
      <c r="H86" s="2">
        <v>-0.88490436288057561</v>
      </c>
      <c r="I86" s="2">
        <v>4.1642558253203558E-2</v>
      </c>
      <c r="J86" s="2">
        <v>4.3222651828739522E-2</v>
      </c>
    </row>
    <row r="87" spans="1:10" ht="15.5" x14ac:dyDescent="0.45">
      <c r="A87" s="2"/>
      <c r="B87" s="2"/>
      <c r="C87" s="2"/>
      <c r="D87" s="2"/>
      <c r="E87" s="2"/>
      <c r="F87" s="2">
        <v>21.5</v>
      </c>
      <c r="G87" s="2">
        <v>0.40834124806313798</v>
      </c>
      <c r="H87" s="2">
        <v>-0.89565206184750101</v>
      </c>
      <c r="I87" s="2">
        <v>4.1658235434767488E-2</v>
      </c>
      <c r="J87" s="2">
        <v>4.3222651828738634E-2</v>
      </c>
    </row>
    <row r="88" spans="1:10" ht="15.5" x14ac:dyDescent="0.45">
      <c r="A88" s="2"/>
      <c r="B88" s="2"/>
      <c r="C88" s="2"/>
      <c r="D88" s="2"/>
      <c r="E88" s="2"/>
      <c r="F88" s="2">
        <v>21.75</v>
      </c>
      <c r="G88" s="2">
        <v>0.40397601935520061</v>
      </c>
      <c r="H88" s="2">
        <v>-0.9063997608144263</v>
      </c>
      <c r="I88" s="2">
        <v>4.1673552221352932E-2</v>
      </c>
      <c r="J88" s="2">
        <v>4.3222651828738634E-2</v>
      </c>
    </row>
    <row r="89" spans="1:10" ht="15.5" x14ac:dyDescent="0.45">
      <c r="A89" s="2"/>
      <c r="B89" s="2"/>
      <c r="C89" s="2"/>
      <c r="D89" s="2"/>
      <c r="E89" s="2"/>
      <c r="F89" s="2">
        <v>22</v>
      </c>
      <c r="G89" s="2">
        <v>0.39965745559175014</v>
      </c>
      <c r="H89" s="2">
        <v>-0.9171474597813517</v>
      </c>
      <c r="I89" s="2">
        <v>4.168852089915235E-2</v>
      </c>
      <c r="J89" s="2">
        <v>4.3222651828738634E-2</v>
      </c>
    </row>
    <row r="90" spans="1:10" ht="15.5" x14ac:dyDescent="0.45">
      <c r="A90" s="2"/>
      <c r="B90" s="2"/>
      <c r="C90" s="2"/>
      <c r="D90" s="2"/>
      <c r="E90" s="2"/>
      <c r="F90" s="2">
        <v>22.25</v>
      </c>
      <c r="G90" s="2">
        <v>0.39538505791758577</v>
      </c>
      <c r="H90" s="2">
        <v>-0.9278951587482771</v>
      </c>
      <c r="I90" s="2">
        <v>4.170315320216976E-2</v>
      </c>
      <c r="J90" s="2">
        <v>4.3222651828738634E-2</v>
      </c>
    </row>
    <row r="91" spans="1:10" ht="15.5" x14ac:dyDescent="0.45">
      <c r="A91" s="2"/>
      <c r="B91" s="2"/>
      <c r="C91" s="2"/>
      <c r="D91" s="2"/>
      <c r="E91" s="2"/>
      <c r="F91" s="2">
        <v>22.5</v>
      </c>
      <c r="G91" s="2">
        <v>0.3911583328103429</v>
      </c>
      <c r="H91" s="2">
        <v>-0.93864285771520251</v>
      </c>
      <c r="I91" s="2">
        <v>4.1717460342897889E-2</v>
      </c>
      <c r="J91" s="2">
        <v>4.3222651828738634E-2</v>
      </c>
    </row>
    <row r="92" spans="1:10" ht="15.5" x14ac:dyDescent="0.45">
      <c r="A92" s="2"/>
      <c r="B92" s="2"/>
      <c r="C92" s="2"/>
      <c r="D92" s="2"/>
      <c r="E92" s="2"/>
      <c r="F92" s="2">
        <v>22.75</v>
      </c>
      <c r="G92" s="2">
        <v>0.38697679202348456</v>
      </c>
      <c r="H92" s="2">
        <v>-0.94939055668212791</v>
      </c>
      <c r="I92" s="2">
        <v>4.1731453040972658E-2</v>
      </c>
      <c r="J92" s="2">
        <v>4.3222651828738634E-2</v>
      </c>
    </row>
    <row r="93" spans="1:10" ht="15.5" x14ac:dyDescent="0.45">
      <c r="A93" s="2"/>
      <c r="B93" s="2"/>
      <c r="C93" s="2"/>
      <c r="D93" s="2"/>
      <c r="E93" s="2"/>
      <c r="F93" s="2">
        <v>23</v>
      </c>
      <c r="G93" s="2">
        <v>0.38283995252990188</v>
      </c>
      <c r="H93" s="2">
        <v>-0.96013825564905331</v>
      </c>
      <c r="I93" s="2">
        <v>4.1745141549958842E-2</v>
      </c>
      <c r="J93" s="2">
        <v>4.3222651828738634E-2</v>
      </c>
    </row>
    <row r="94" spans="1:10" ht="15.5" x14ac:dyDescent="0.45">
      <c r="A94" s="2"/>
      <c r="B94" s="2"/>
      <c r="C94" s="2"/>
      <c r="D94" s="2"/>
      <c r="E94" s="2"/>
      <c r="F94" s="2">
        <v>23.25</v>
      </c>
      <c r="G94" s="2">
        <v>0.37874733646611758</v>
      </c>
      <c r="H94" s="2">
        <v>-0.97088595461597871</v>
      </c>
      <c r="I94" s="2">
        <v>4.1758535682407685E-2</v>
      </c>
      <c r="J94" s="2">
        <v>4.3222651828738634E-2</v>
      </c>
    </row>
    <row r="95" spans="1:10" ht="15.5" x14ac:dyDescent="0.45">
      <c r="A95" s="2"/>
      <c r="B95" s="2"/>
      <c r="C95" s="2"/>
      <c r="D95" s="2"/>
      <c r="E95" s="2"/>
      <c r="F95" s="2">
        <v>23.5</v>
      </c>
      <c r="G95" s="2">
        <v>0.3746984710770862</v>
      </c>
      <c r="H95" s="2">
        <v>-0.981633653582904</v>
      </c>
      <c r="I95" s="2">
        <v>4.1771644833315066E-2</v>
      </c>
      <c r="J95" s="2">
        <v>4.3222651828738634E-2</v>
      </c>
    </row>
    <row r="96" spans="1:10" ht="15.5" x14ac:dyDescent="0.45">
      <c r="A96" s="2"/>
      <c r="B96" s="2"/>
      <c r="C96" s="2"/>
      <c r="D96" s="2"/>
      <c r="E96" s="2"/>
      <c r="F96" s="2">
        <v>23.75</v>
      </c>
      <c r="G96" s="2">
        <v>0.37069288866158395</v>
      </c>
      <c r="H96" s="2">
        <v>-0.99238135254982929</v>
      </c>
      <c r="I96" s="2">
        <v>4.1784478002098079E-2</v>
      </c>
      <c r="J96" s="2">
        <v>4.3222651828738634E-2</v>
      </c>
    </row>
    <row r="97" spans="1:10" ht="15.5" x14ac:dyDescent="0.45">
      <c r="A97" s="2"/>
      <c r="B97" s="2"/>
      <c r="C97" s="2"/>
      <c r="D97" s="2"/>
      <c r="E97" s="2"/>
      <c r="F97" s="2">
        <v>24</v>
      </c>
      <c r="G97" s="2">
        <v>0.36673012651818276</v>
      </c>
      <c r="H97" s="2">
        <v>-1.0031290515167548</v>
      </c>
      <c r="I97" s="2">
        <v>4.1797043813198119E-2</v>
      </c>
      <c r="J97" s="2">
        <v>4.3222651828739522E-2</v>
      </c>
    </row>
    <row r="98" spans="1:10" ht="15.5" x14ac:dyDescent="0.45">
      <c r="A98" s="2"/>
      <c r="B98" s="2"/>
      <c r="C98" s="2"/>
      <c r="D98" s="2"/>
      <c r="E98" s="2"/>
      <c r="F98" s="2">
        <v>24.25</v>
      </c>
      <c r="G98" s="2">
        <v>0.36280972689180163</v>
      </c>
      <c r="H98" s="2">
        <v>-1.0138767504836803</v>
      </c>
      <c r="I98" s="2">
        <v>4.1809350535409497E-2</v>
      </c>
      <c r="J98" s="2">
        <v>4.3222651828738634E-2</v>
      </c>
    </row>
    <row r="99" spans="1:10" ht="15.5" x14ac:dyDescent="0.45">
      <c r="A99" s="2"/>
      <c r="B99" s="2"/>
      <c r="C99" s="2"/>
      <c r="D99" s="2"/>
      <c r="E99" s="2"/>
      <c r="F99" s="2">
        <v>24.5</v>
      </c>
      <c r="G99" s="2">
        <v>0.35893123692082979</v>
      </c>
      <c r="H99" s="2">
        <v>-1.0246244494506056</v>
      </c>
      <c r="I99" s="2">
        <v>4.1821406100024716E-2</v>
      </c>
      <c r="J99" s="2">
        <v>4.3222651828737746E-2</v>
      </c>
    </row>
    <row r="100" spans="1:10" ht="15.5" x14ac:dyDescent="0.45">
      <c r="A100" s="2"/>
      <c r="B100" s="2"/>
      <c r="C100" s="2"/>
      <c r="D100" s="2"/>
      <c r="E100" s="2"/>
      <c r="F100" s="2">
        <v>24.75</v>
      </c>
      <c r="G100" s="2">
        <v>0.35509420858481411</v>
      </c>
      <c r="H100" s="2">
        <v>-1.0353721484175309</v>
      </c>
      <c r="I100" s="2">
        <v>4.1833218117880037E-2</v>
      </c>
      <c r="J100" s="2">
        <v>4.3222651828739522E-2</v>
      </c>
    </row>
    <row r="101" spans="1:10" ht="15.5" x14ac:dyDescent="0.45">
      <c r="A101" s="2"/>
      <c r="B101" s="2"/>
      <c r="C101" s="2"/>
      <c r="D101" s="2"/>
      <c r="E101" s="2"/>
      <c r="F101" s="2">
        <v>25</v>
      </c>
      <c r="G101" s="2">
        <v>0.35129819865270678</v>
      </c>
      <c r="H101" s="2">
        <v>-1.0461198473844564</v>
      </c>
      <c r="I101" s="2">
        <v>4.1844793895378256E-2</v>
      </c>
      <c r="J101" s="2">
        <v>4.3222651828738634E-2</v>
      </c>
    </row>
    <row r="102" spans="1:10" ht="15.5" x14ac:dyDescent="0.45">
      <c r="A102" s="2"/>
      <c r="B102" s="2"/>
      <c r="C102" s="2"/>
      <c r="D102" s="2"/>
      <c r="E102" s="2"/>
      <c r="F102" s="2">
        <v>25.25</v>
      </c>
      <c r="G102" s="2">
        <v>0.34754276863166617</v>
      </c>
      <c r="H102" s="2">
        <v>-1.0568675463513819</v>
      </c>
      <c r="I102" s="2">
        <v>4.1856140449559681E-2</v>
      </c>
      <c r="J102" s="2">
        <v>4.3222651828738634E-2</v>
      </c>
    </row>
    <row r="103" spans="1:10" ht="15.5" x14ac:dyDescent="0.45">
      <c r="A103" s="2"/>
      <c r="B103" s="2"/>
      <c r="C103" s="2"/>
      <c r="D103" s="2"/>
      <c r="E103" s="2"/>
      <c r="F103" s="2">
        <v>25.5</v>
      </c>
      <c r="G103" s="2">
        <v>0.34382748471640412</v>
      </c>
      <c r="H103" s="2">
        <v>-1.0676152453183072</v>
      </c>
      <c r="I103" s="2">
        <v>4.1867264522286556E-2</v>
      </c>
      <c r="J103" s="2">
        <v>4.3222651828737746E-2</v>
      </c>
    </row>
    <row r="104" spans="1:10" ht="15.5" x14ac:dyDescent="0.45">
      <c r="A104" s="2"/>
      <c r="B104" s="2"/>
      <c r="C104" s="2"/>
      <c r="D104" s="2"/>
      <c r="E104" s="2"/>
      <c r="F104" s="2">
        <v>25.75</v>
      </c>
      <c r="G104" s="2">
        <v>0.34015191773907572</v>
      </c>
      <c r="H104" s="2">
        <v>-1.0783629442852325</v>
      </c>
      <c r="I104" s="2">
        <v>4.1878172593601264E-2</v>
      </c>
      <c r="J104" s="2">
        <v>4.3222651828739522E-2</v>
      </c>
    </row>
    <row r="105" spans="1:10" ht="15.5" x14ac:dyDescent="0.45">
      <c r="A105" s="2"/>
      <c r="B105" s="2"/>
      <c r="C105" s="2"/>
      <c r="D105" s="2"/>
      <c r="E105" s="2"/>
      <c r="F105" s="2">
        <v>26</v>
      </c>
      <c r="G105" s="2">
        <v>0.33651564311970389</v>
      </c>
      <c r="H105" s="2">
        <v>-1.089110643252158</v>
      </c>
      <c r="I105" s="2">
        <v>4.1888870894313771E-2</v>
      </c>
      <c r="J105" s="2">
        <v>4.3222651828738634E-2</v>
      </c>
    </row>
    <row r="106" spans="1:10" ht="15.5" x14ac:dyDescent="0.45">
      <c r="A106" s="2"/>
      <c r="B106" s="2"/>
      <c r="C106" s="2"/>
      <c r="D106" s="2"/>
      <c r="E106" s="2"/>
      <c r="F106" s="2">
        <v>26.25</v>
      </c>
      <c r="G106" s="2">
        <v>0.33291824081713506</v>
      </c>
      <c r="H106" s="2">
        <v>-1.0998583422190835</v>
      </c>
      <c r="I106" s="2">
        <v>4.1899365417869851E-2</v>
      </c>
      <c r="J106" s="2">
        <v>4.3222651828738634E-2</v>
      </c>
    </row>
    <row r="107" spans="1:10" ht="15.5" x14ac:dyDescent="0.45">
      <c r="A107" s="2"/>
      <c r="B107" s="2"/>
      <c r="C107" s="2"/>
      <c r="D107" s="2"/>
      <c r="E107" s="2"/>
      <c r="F107" s="2">
        <v>26.5</v>
      </c>
      <c r="G107" s="2">
        <v>0.32935929528051794</v>
      </c>
      <c r="H107" s="2">
        <v>-1.1106060411860088</v>
      </c>
      <c r="I107" s="2">
        <v>4.19096619315475E-2</v>
      </c>
      <c r="J107" s="2">
        <v>4.3222651828738634E-2</v>
      </c>
    </row>
    <row r="108" spans="1:10" ht="15.5" x14ac:dyDescent="0.45">
      <c r="A108" s="2"/>
      <c r="B108" s="2"/>
      <c r="C108" s="2"/>
      <c r="D108" s="2"/>
      <c r="E108" s="2"/>
      <c r="F108" s="2">
        <v>26.75</v>
      </c>
      <c r="G108" s="2">
        <v>0.32583839540130161</v>
      </c>
      <c r="H108" s="2">
        <v>-1.1213537401529341</v>
      </c>
      <c r="I108" s="2">
        <v>4.1919765987025577E-2</v>
      </c>
      <c r="J108" s="2">
        <v>4.3222651828739522E-2</v>
      </c>
    </row>
    <row r="109" spans="1:10" ht="15.5" x14ac:dyDescent="0.45">
      <c r="A109" s="2"/>
      <c r="B109" s="2"/>
      <c r="C109" s="2"/>
      <c r="D109" s="2"/>
      <c r="E109" s="2"/>
      <c r="F109" s="2">
        <v>27</v>
      </c>
      <c r="G109" s="2">
        <v>0.32235513446574676</v>
      </c>
      <c r="H109" s="2">
        <v>-1.1321014391198596</v>
      </c>
      <c r="I109" s="2">
        <v>4.192968293036517E-2</v>
      </c>
      <c r="J109" s="2">
        <v>4.3222651828738634E-2</v>
      </c>
    </row>
    <row r="110" spans="1:10" ht="15.5" x14ac:dyDescent="0.45">
      <c r="A110" s="2"/>
      <c r="B110" s="2"/>
      <c r="C110" s="2"/>
      <c r="D110" s="2"/>
      <c r="E110" s="2"/>
      <c r="F110" s="2">
        <v>27.25</v>
      </c>
      <c r="G110" s="2">
        <v>0.31890911010794459</v>
      </c>
      <c r="H110" s="2">
        <v>-1.1428491380867851</v>
      </c>
      <c r="I110" s="2">
        <v>4.1939417911441658E-2</v>
      </c>
      <c r="J110" s="2">
        <v>4.3222651828738634E-2</v>
      </c>
    </row>
    <row r="111" spans="1:10" ht="15.5" x14ac:dyDescent="0.45">
      <c r="A111" s="2"/>
      <c r="B111" s="2"/>
      <c r="C111" s="2"/>
      <c r="D111" s="2"/>
      <c r="E111" s="2"/>
      <c r="F111" s="2">
        <v>27.5</v>
      </c>
      <c r="G111" s="2">
        <v>0.31549992426333767</v>
      </c>
      <c r="H111" s="2">
        <v>-1.1535968370537104</v>
      </c>
      <c r="I111" s="2">
        <v>4.1948975892862193E-2</v>
      </c>
      <c r="J111" s="2">
        <v>4.3222651828737746E-2</v>
      </c>
    </row>
    <row r="112" spans="1:10" ht="15.5" x14ac:dyDescent="0.45">
      <c r="A112" s="2"/>
      <c r="B112" s="2"/>
      <c r="C112" s="2"/>
      <c r="D112" s="2"/>
      <c r="E112" s="2"/>
      <c r="F112" s="2">
        <v>27.75</v>
      </c>
      <c r="G112" s="2">
        <v>0.31212718312273796</v>
      </c>
      <c r="H112" s="2">
        <v>-1.1643445360206357</v>
      </c>
      <c r="I112" s="2">
        <v>4.1958361658401284E-2</v>
      </c>
      <c r="J112" s="2">
        <v>4.3222651828739522E-2</v>
      </c>
    </row>
    <row r="113" spans="1:10" ht="15.5" x14ac:dyDescent="0.45">
      <c r="A113" s="2"/>
      <c r="B113" s="2"/>
      <c r="C113" s="2"/>
      <c r="D113" s="2"/>
      <c r="E113" s="2"/>
      <c r="F113" s="2">
        <v>28</v>
      </c>
      <c r="G113" s="2">
        <v>0.30879049708683604</v>
      </c>
      <c r="H113" s="2">
        <v>-1.1750922349875612</v>
      </c>
      <c r="I113" s="2">
        <v>4.1967579820984327E-2</v>
      </c>
      <c r="J113" s="2">
        <v>4.3222651828738634E-2</v>
      </c>
    </row>
    <row r="114" spans="1:10" ht="15.5" x14ac:dyDescent="0.45">
      <c r="A114" s="2"/>
      <c r="B114" s="2"/>
      <c r="C114" s="2"/>
      <c r="D114" s="2"/>
      <c r="E114" s="2"/>
      <c r="F114" s="2">
        <v>28.25</v>
      </c>
      <c r="G114" s="2">
        <v>0.30548948072119742</v>
      </c>
      <c r="H114" s="2">
        <v>-1.1858399339544865</v>
      </c>
      <c r="I114" s="2">
        <v>4.1976634830247307E-2</v>
      </c>
      <c r="J114" s="2">
        <v>4.3222651828737746E-2</v>
      </c>
    </row>
    <row r="115" spans="1:10" ht="15.5" x14ac:dyDescent="0.45">
      <c r="A115" s="2"/>
      <c r="B115" s="2"/>
      <c r="C115" s="2"/>
      <c r="D115" s="2"/>
      <c r="E115" s="2"/>
      <c r="F115" s="2">
        <v>28.5</v>
      </c>
      <c r="G115" s="2">
        <v>0.3022237527117389</v>
      </c>
      <c r="H115" s="2">
        <v>-1.1965876329214118</v>
      </c>
      <c r="I115" s="2">
        <v>4.1985530979698663E-2</v>
      </c>
      <c r="J115" s="2">
        <v>4.3222651828739522E-2</v>
      </c>
    </row>
    <row r="116" spans="1:10" ht="15.5" x14ac:dyDescent="0.45">
      <c r="A116" s="2"/>
      <c r="B116" s="2"/>
      <c r="C116" s="2"/>
      <c r="D116" s="2"/>
      <c r="E116" s="2"/>
      <c r="F116" s="2">
        <v>28.75</v>
      </c>
      <c r="G116" s="2">
        <v>0.29899293582068143</v>
      </c>
      <c r="H116" s="2">
        <v>-1.2073353318883373</v>
      </c>
      <c r="I116" s="2">
        <v>4.1994272413507387E-2</v>
      </c>
      <c r="J116" s="2">
        <v>4.3222651828738634E-2</v>
      </c>
    </row>
    <row r="117" spans="1:10" ht="15.5" x14ac:dyDescent="0.45">
      <c r="A117" s="2"/>
      <c r="B117" s="2"/>
      <c r="C117" s="2"/>
      <c r="D117" s="2"/>
      <c r="E117" s="2"/>
      <c r="F117" s="2">
        <v>29</v>
      </c>
      <c r="G117" s="2">
        <v>0.29579665684297424</v>
      </c>
      <c r="H117" s="2">
        <v>-1.2180830308552626</v>
      </c>
      <c r="I117" s="2">
        <v>4.2002863132940091E-2</v>
      </c>
      <c r="J117" s="2">
        <v>4.3222651828738634E-2</v>
      </c>
    </row>
    <row r="118" spans="1:10" ht="15.5" x14ac:dyDescent="0.45">
      <c r="A118" s="2"/>
      <c r="B118" s="2"/>
      <c r="C118" s="2"/>
      <c r="D118" s="2"/>
      <c r="E118" s="2"/>
      <c r="F118" s="2">
        <v>29.25</v>
      </c>
      <c r="G118" s="2">
        <v>0.29263454656318394</v>
      </c>
      <c r="H118" s="2">
        <v>-1.2288307298221879</v>
      </c>
      <c r="I118" s="2">
        <v>4.2011307002467961E-2</v>
      </c>
      <c r="J118" s="2">
        <v>4.3222651828738634E-2</v>
      </c>
    </row>
    <row r="119" spans="1:10" ht="15.5" x14ac:dyDescent="0.45">
      <c r="A119" s="2"/>
      <c r="B119" s="2"/>
      <c r="C119" s="2"/>
      <c r="D119" s="2"/>
      <c r="E119" s="2"/>
      <c r="F119" s="2">
        <v>29.5</v>
      </c>
      <c r="G119" s="2">
        <v>0.289506239712845</v>
      </c>
      <c r="H119" s="2">
        <v>-1.2395784287891134</v>
      </c>
      <c r="I119" s="2">
        <v>4.2019607755563168E-2</v>
      </c>
      <c r="J119" s="2">
        <v>4.3222651828739522E-2</v>
      </c>
    </row>
    <row r="120" spans="1:10" ht="15.5" x14ac:dyDescent="0.45">
      <c r="A120" s="2"/>
      <c r="B120" s="2"/>
      <c r="C120" s="2"/>
      <c r="D120" s="2"/>
      <c r="E120" s="2"/>
      <c r="F120" s="2">
        <v>29.75</v>
      </c>
      <c r="G120" s="2">
        <v>0.28641137492826624</v>
      </c>
      <c r="H120" s="2">
        <v>-1.2503261277560389</v>
      </c>
      <c r="I120" s="2">
        <v>4.202776900020299E-2</v>
      </c>
      <c r="J120" s="2">
        <v>4.3222651828737746E-2</v>
      </c>
    </row>
    <row r="121" spans="1:10" ht="15.5" x14ac:dyDescent="0.45">
      <c r="A121" s="2"/>
      <c r="B121" s="2"/>
      <c r="C121" s="2"/>
      <c r="D121" s="2"/>
      <c r="E121" s="2"/>
      <c r="F121" s="2">
        <v>30</v>
      </c>
      <c r="G121" s="2">
        <v>0.28334959470878823</v>
      </c>
      <c r="H121" s="2">
        <v>-1.2610738267229642</v>
      </c>
      <c r="I121" s="2">
        <v>4.2035794224098803E-2</v>
      </c>
      <c r="J121" s="2" t="s">
        <v>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35CF-07F3-7D40-AE0D-34279348B5D1}">
  <dimension ref="A1:O110"/>
  <sheetViews>
    <sheetView topLeftCell="C1" zoomScale="63" zoomScaleNormal="68" workbookViewId="0">
      <selection activeCell="E2" sqref="E2"/>
    </sheetView>
  </sheetViews>
  <sheetFormatPr defaultColWidth="10.69140625" defaultRowHeight="17.5" x14ac:dyDescent="0.45"/>
  <cols>
    <col min="1" max="2" width="20.69140625" style="1" customWidth="1"/>
    <col min="3" max="3" width="30.3828125" style="1" bestFit="1" customWidth="1"/>
    <col min="4" max="11" width="20.69140625" style="1" customWidth="1"/>
    <col min="12" max="16384" width="10.69140625" style="1"/>
  </cols>
  <sheetData>
    <row r="1" spans="1:15" ht="18" thickBot="1" x14ac:dyDescent="0.5">
      <c r="A1" s="15" t="s">
        <v>33</v>
      </c>
      <c r="B1" s="15"/>
      <c r="D1" s="15" t="s">
        <v>110</v>
      </c>
      <c r="E1" s="15"/>
      <c r="F1" s="15"/>
      <c r="H1" s="15" t="s">
        <v>112</v>
      </c>
      <c r="I1" s="15" t="s">
        <v>70</v>
      </c>
    </row>
    <row r="2" spans="1:15" x14ac:dyDescent="0.45">
      <c r="A2" s="1" t="s">
        <v>34</v>
      </c>
      <c r="B2" s="13">
        <v>46045</v>
      </c>
      <c r="D2" s="1" t="s">
        <v>54</v>
      </c>
      <c r="E2" s="21">
        <f>SUM(J17:J76)</f>
        <v>77.458676754993363</v>
      </c>
      <c r="F2" s="20" t="s">
        <v>96</v>
      </c>
      <c r="H2" s="1" t="s">
        <v>62</v>
      </c>
      <c r="I2" s="21">
        <f>SUM(K17:K100)</f>
        <v>72.408706362704308</v>
      </c>
      <c r="J2" s="1" t="s">
        <v>69</v>
      </c>
    </row>
    <row r="3" spans="1:15" x14ac:dyDescent="0.45">
      <c r="A3" s="1" t="s">
        <v>35</v>
      </c>
      <c r="B3" t="s">
        <v>48</v>
      </c>
      <c r="D3" s="1" t="s">
        <v>55</v>
      </c>
      <c r="E3" s="21">
        <f>SUM(J17:J22)</f>
        <v>12.72323461488422</v>
      </c>
      <c r="F3" s="20" t="s">
        <v>97</v>
      </c>
      <c r="H3" s="1" t="s">
        <v>59</v>
      </c>
      <c r="I3" s="1">
        <f>E7</f>
        <v>0.30821917808219179</v>
      </c>
    </row>
    <row r="4" spans="1:15" x14ac:dyDescent="0.45">
      <c r="A4" s="1" t="s">
        <v>36</v>
      </c>
      <c r="B4" s="13">
        <v>57002</v>
      </c>
      <c r="D4" s="1" t="s">
        <v>56</v>
      </c>
      <c r="E4" s="1">
        <f>E2 - E3</f>
        <v>64.735442140109143</v>
      </c>
      <c r="H4" s="1" t="s">
        <v>60</v>
      </c>
      <c r="I4" s="1">
        <f>I2 - I3</f>
        <v>72.100487184622111</v>
      </c>
    </row>
    <row r="5" spans="1:15" x14ac:dyDescent="0.45">
      <c r="A5" s="1" t="s">
        <v>37</v>
      </c>
      <c r="B5" s="14">
        <v>4.4999999999999998E-2</v>
      </c>
      <c r="C5" s="19" t="s">
        <v>93</v>
      </c>
      <c r="D5" s="1" t="s">
        <v>57</v>
      </c>
      <c r="E5" s="21">
        <f>EXP(B12 * B13)</f>
        <v>1.1210760706291498</v>
      </c>
      <c r="F5" s="20" t="s">
        <v>98</v>
      </c>
    </row>
    <row r="6" spans="1:15" x14ac:dyDescent="0.45">
      <c r="A6" s="1" t="s">
        <v>38</v>
      </c>
      <c r="B6" s="1">
        <v>2</v>
      </c>
      <c r="D6" s="1" t="s">
        <v>58</v>
      </c>
      <c r="E6" s="1">
        <f>E4 * E5</f>
        <v>72.573355104874238</v>
      </c>
      <c r="H6" s="1" t="s">
        <v>32</v>
      </c>
      <c r="I6" s="21">
        <f>E8-I4</f>
        <v>0.16464874216993053</v>
      </c>
    </row>
    <row r="7" spans="1:15" x14ac:dyDescent="0.45">
      <c r="A7" s="1" t="s">
        <v>39</v>
      </c>
      <c r="B7" s="1">
        <v>100</v>
      </c>
      <c r="D7" s="1" t="s">
        <v>59</v>
      </c>
      <c r="E7" s="21">
        <f>$B$7 * $B$5 * YEARFRAC(B22, $B$8, 1)</f>
        <v>0.30821917808219179</v>
      </c>
      <c r="F7" s="20" t="s">
        <v>100</v>
      </c>
    </row>
    <row r="8" spans="1:15" ht="18" thickBot="1" x14ac:dyDescent="0.5">
      <c r="A8" s="1" t="s">
        <v>40</v>
      </c>
      <c r="B8" s="13">
        <v>47166</v>
      </c>
      <c r="D8" s="1" t="s">
        <v>60</v>
      </c>
      <c r="E8" s="1">
        <f>E6 - E7</f>
        <v>72.265135926792041</v>
      </c>
      <c r="F8" s="1" t="s">
        <v>61</v>
      </c>
      <c r="L8" s="20" t="s">
        <v>113</v>
      </c>
    </row>
    <row r="9" spans="1:15" ht="18" thickBot="1" x14ac:dyDescent="0.5">
      <c r="A9" s="16" t="s">
        <v>108</v>
      </c>
      <c r="B9" s="17"/>
      <c r="L9" s="1" t="s">
        <v>105</v>
      </c>
    </row>
    <row r="10" spans="1:15" x14ac:dyDescent="0.45">
      <c r="A10" s="1" t="s">
        <v>41</v>
      </c>
      <c r="B10" s="21">
        <f>-LN(0.902831858529217) / 3</f>
        <v>3.4072982027425862E-2</v>
      </c>
      <c r="C10" s="20" t="s">
        <v>99</v>
      </c>
      <c r="L10" s="21">
        <f>$B$13</f>
        <v>3.0691307323750854</v>
      </c>
    </row>
    <row r="11" spans="1:15" ht="18" thickBot="1" x14ac:dyDescent="0.5">
      <c r="A11" s="1" t="s">
        <v>42</v>
      </c>
      <c r="B11" s="14">
        <v>8.5000000000000006E-2</v>
      </c>
      <c r="C11" s="19" t="s">
        <v>93</v>
      </c>
      <c r="L11" s="15" t="s">
        <v>49</v>
      </c>
      <c r="M11" s="15" t="s">
        <v>50</v>
      </c>
      <c r="N11" s="15" t="s">
        <v>51</v>
      </c>
      <c r="O11" s="15" t="s">
        <v>52</v>
      </c>
    </row>
    <row r="12" spans="1:15" x14ac:dyDescent="0.45">
      <c r="A12" s="1" t="s">
        <v>43</v>
      </c>
      <c r="B12" s="22">
        <f>B10 / (1 - B11)</f>
        <v>3.7238231723962692E-2</v>
      </c>
      <c r="L12" s="21">
        <v>3</v>
      </c>
      <c r="M12" s="21">
        <v>3.5</v>
      </c>
      <c r="N12" s="21">
        <f>data_treasury!G28</f>
        <v>0.89655316756183379</v>
      </c>
      <c r="O12" s="21">
        <f>data_treasury!G29</f>
        <v>0.87845203860205401</v>
      </c>
    </row>
    <row r="13" spans="1:15" x14ac:dyDescent="0.45">
      <c r="A13" s="1" t="s">
        <v>44</v>
      </c>
      <c r="B13" s="21">
        <f>YEARFRAC(B2, B8, 1)</f>
        <v>3.0691307323750854</v>
      </c>
      <c r="L13" s="1" t="s">
        <v>102</v>
      </c>
    </row>
    <row r="14" spans="1:15" x14ac:dyDescent="0.45">
      <c r="B14" s="19" t="s">
        <v>95</v>
      </c>
      <c r="L14" s="1" t="s">
        <v>102</v>
      </c>
    </row>
    <row r="15" spans="1:15" ht="18" thickBot="1" x14ac:dyDescent="0.5">
      <c r="B15" s="19"/>
      <c r="C15" s="23"/>
      <c r="L15" s="15" t="s">
        <v>106</v>
      </c>
    </row>
    <row r="16" spans="1:15" ht="18" thickBot="1" x14ac:dyDescent="0.5">
      <c r="A16" s="15" t="s">
        <v>45</v>
      </c>
      <c r="B16" s="15" t="s">
        <v>46</v>
      </c>
      <c r="C16" s="15" t="s">
        <v>109</v>
      </c>
      <c r="D16" s="15" t="s">
        <v>47</v>
      </c>
      <c r="E16" s="15" t="s">
        <v>49</v>
      </c>
      <c r="F16" s="15" t="s">
        <v>50</v>
      </c>
      <c r="G16" s="15" t="s">
        <v>51</v>
      </c>
      <c r="H16" s="15" t="s">
        <v>52</v>
      </c>
      <c r="I16" s="15" t="s">
        <v>111</v>
      </c>
      <c r="J16" s="15" t="s">
        <v>53</v>
      </c>
      <c r="K16" s="15" t="s">
        <v>63</v>
      </c>
      <c r="L16" s="21">
        <f>N12*EXP(LN(O12/N12)*($B$13-L12)/(M12-L12))</f>
        <v>0.89402843099890772</v>
      </c>
    </row>
    <row r="17" spans="1:12" x14ac:dyDescent="0.45">
      <c r="A17" s="1">
        <v>1</v>
      </c>
      <c r="B17" s="13">
        <f>COUPNCD($B$2, $B$4, $B$6, 1)</f>
        <v>46226</v>
      </c>
      <c r="C17" s="21">
        <f>YEARFRAC($B$2, B17, 1)</f>
        <v>0.49589041095890413</v>
      </c>
      <c r="D17" s="21">
        <f>$B$7 * $B$5 / $B$6</f>
        <v>2.25</v>
      </c>
      <c r="E17" s="21">
        <f>INDEX(data_ois!$F$2:$F$121, MATCH(C17, data_ois!$F$2:$F$121, 1))</f>
        <v>0.25</v>
      </c>
      <c r="F17" s="21" cm="1">
        <f t="array" ref="F17">INDEX(data_ois!$F$2:$F$121, MATCH(C17, data_ois!$F$2:$F$121, 1)+1)</f>
        <v>0.5</v>
      </c>
      <c r="G17" s="21">
        <f>INDEX(data_ois!$G$2:$G$121, MATCH(C17, data_ois!$F$2:$F$121, 1))</f>
        <v>0.99093407804367628</v>
      </c>
      <c r="H17" s="21" cm="1">
        <f t="array" ref="H17">INDEX(data_ois!$G$2:$G$121, MATCH(C17, data_ois!$F$2:$F$121, 1)+1)</f>
        <v>0.98207496135970573</v>
      </c>
      <c r="I17" s="21">
        <f>G17 + (H17 - G17) * (C17 - E17) / (F17 - E17)</f>
        <v>0.98222059067505862</v>
      </c>
      <c r="J17" s="21">
        <f>D17 * I17</f>
        <v>2.2099963290188818</v>
      </c>
      <c r="K17" s="1">
        <f>IF(C17&gt;$B$13, D17*(I17/$L$16), 0)</f>
        <v>0</v>
      </c>
    </row>
    <row r="18" spans="1:12" x14ac:dyDescent="0.45">
      <c r="A18" s="1">
        <f>IF(B17="","",IF(B17&lt;$B$4,A17+1,""))</f>
        <v>2</v>
      </c>
      <c r="B18" s="13">
        <f>IF(A18="","",EDATE(B17,12/$B$6))</f>
        <v>46410</v>
      </c>
      <c r="C18" s="21">
        <f t="shared" ref="C18:C76" si="0">YEARFRAC($B$2, B18, 1)</f>
        <v>1</v>
      </c>
      <c r="D18" s="21">
        <f t="shared" ref="D18:D76" si="1">$B$7 * $B$5 / $B$6</f>
        <v>2.25</v>
      </c>
      <c r="E18" s="21">
        <f>INDEX(data_ois!$F$2:$F$121, MATCH(C18, data_ois!$F$2:$F$121, 1))</f>
        <v>1</v>
      </c>
      <c r="F18" s="21" cm="1">
        <f t="array" ref="F18">INDEX(data_ois!$F$2:$F$121, MATCH(C18, data_ois!$F$2:$F$121, 1)+1)</f>
        <v>1.25</v>
      </c>
      <c r="G18" s="21">
        <f>INDEX(data_ois!$G$2:$G$121, MATCH(C18, data_ois!$F$2:$F$121, 1))</f>
        <v>0.96595958425099504</v>
      </c>
      <c r="H18" s="21" cm="1">
        <f t="array" ref="H18">INDEX(data_ois!$G$2:$G$121, MATCH(C18, data_ois!$F$2:$F$121, 1)+1)</f>
        <v>0.95804166955040415</v>
      </c>
      <c r="I18" s="21">
        <f t="shared" ref="I18:I76" si="2">G18 + (H18 - G18) * (C18 - E18) / (F18 - E18)</f>
        <v>0.96595958425099504</v>
      </c>
      <c r="J18" s="21">
        <f t="shared" ref="J18:J76" si="3">D18 * I18</f>
        <v>2.1734090645647388</v>
      </c>
      <c r="K18" s="1">
        <f t="shared" ref="K18:K76" si="4">IF(C18&gt;$B$13, D18*(I18/$L$16), 0)</f>
        <v>0</v>
      </c>
    </row>
    <row r="19" spans="1:12" x14ac:dyDescent="0.45">
      <c r="A19" s="1">
        <f t="shared" ref="A19:A82" si="5">IF(B18="","",IF(B18&lt;$B$4,A18+1,""))</f>
        <v>3</v>
      </c>
      <c r="B19" s="13">
        <f t="shared" ref="B19:B82" si="6">IF(A19="","",EDATE(B18,12/$B$6))</f>
        <v>46591</v>
      </c>
      <c r="C19" s="21">
        <f t="shared" si="0"/>
        <v>1.4958904109589042</v>
      </c>
      <c r="D19" s="21">
        <f t="shared" si="1"/>
        <v>2.25</v>
      </c>
      <c r="E19" s="21">
        <f>INDEX(data_ois!$F$2:$F$121, MATCH(C19, data_ois!$F$2:$F$121, 1))</f>
        <v>1.25</v>
      </c>
      <c r="F19" s="21" cm="1">
        <f t="array" ref="F19">INDEX(data_ois!$F$2:$F$121, MATCH(C19, data_ois!$F$2:$F$121, 1)+1)</f>
        <v>1.5</v>
      </c>
      <c r="G19" s="21">
        <f>INDEX(data_ois!$G$2:$G$121, MATCH(C19, data_ois!$F$2:$F$121, 1))</f>
        <v>0.95804166955040415</v>
      </c>
      <c r="H19" s="21" cm="1">
        <f t="array" ref="H19">INDEX(data_ois!$G$2:$G$121, MATCH(C19, data_ois!$F$2:$F$121, 1)+1)</f>
        <v>0.95018865753749082</v>
      </c>
      <c r="I19" s="21">
        <f t="shared" si="2"/>
        <v>0.95031774814592229</v>
      </c>
      <c r="J19" s="21">
        <f t="shared" si="3"/>
        <v>2.1382149333283254</v>
      </c>
      <c r="K19" s="1">
        <f t="shared" si="4"/>
        <v>0</v>
      </c>
    </row>
    <row r="20" spans="1:12" x14ac:dyDescent="0.45">
      <c r="A20" s="1">
        <f t="shared" si="5"/>
        <v>4</v>
      </c>
      <c r="B20" s="13">
        <f t="shared" si="6"/>
        <v>46775</v>
      </c>
      <c r="C20" s="21">
        <f t="shared" si="0"/>
        <v>1.998175182481752</v>
      </c>
      <c r="D20" s="21">
        <f t="shared" si="1"/>
        <v>2.25</v>
      </c>
      <c r="E20" s="21">
        <f>INDEX(data_ois!$F$2:$F$121, MATCH(C20, data_ois!$F$2:$F$121, 1))</f>
        <v>1.75</v>
      </c>
      <c r="F20" s="21" cm="1">
        <f t="array" ref="F20">INDEX(data_ois!$F$2:$F$121, MATCH(C20, data_ois!$F$2:$F$121, 1)+1)</f>
        <v>2</v>
      </c>
      <c r="G20" s="21">
        <f>INDEX(data_ois!$G$2:$G$121, MATCH(C20, data_ois!$F$2:$F$121, 1))</f>
        <v>0.94240001620868774</v>
      </c>
      <c r="H20" s="21" cm="1">
        <f t="array" ref="H20">INDEX(data_ois!$G$2:$G$121, MATCH(C20, data_ois!$F$2:$F$121, 1)+1)</f>
        <v>0.93467521792122954</v>
      </c>
      <c r="I20" s="21">
        <f t="shared" si="2"/>
        <v>0.93473160331018912</v>
      </c>
      <c r="J20" s="21">
        <f t="shared" si="3"/>
        <v>2.1031461074479254</v>
      </c>
      <c r="K20" s="1">
        <f t="shared" si="4"/>
        <v>0</v>
      </c>
    </row>
    <row r="21" spans="1:12" x14ac:dyDescent="0.45">
      <c r="A21" s="1">
        <f t="shared" si="5"/>
        <v>5</v>
      </c>
      <c r="B21" s="13">
        <f t="shared" si="6"/>
        <v>46957</v>
      </c>
      <c r="C21" s="21">
        <f t="shared" si="0"/>
        <v>2.4963503649635039</v>
      </c>
      <c r="D21" s="21">
        <f t="shared" si="1"/>
        <v>2.25</v>
      </c>
      <c r="E21" s="21">
        <f>INDEX(data_ois!$F$2:$F$121, MATCH(C21, data_ois!$F$2:$F$121, 1))</f>
        <v>2.25</v>
      </c>
      <c r="F21" s="21" cm="1">
        <f t="array" ref="F21">INDEX(data_ois!$F$2:$F$121, MATCH(C21, data_ois!$F$2:$F$121, 1)+1)</f>
        <v>2.5</v>
      </c>
      <c r="G21" s="21">
        <f>INDEX(data_ois!$G$2:$G$121, MATCH(C21, data_ois!$F$2:$F$121, 1))</f>
        <v>0.92661060181678445</v>
      </c>
      <c r="H21" s="21" cm="1">
        <f t="array" ref="H21">INDEX(data_ois!$G$2:$G$121, MATCH(C21, data_ois!$F$2:$F$121, 1)+1)</f>
        <v>0.91861556927641075</v>
      </c>
      <c r="I21" s="21">
        <f t="shared" si="2"/>
        <v>0.91873228507991989</v>
      </c>
      <c r="J21" s="21">
        <f t="shared" si="3"/>
        <v>2.0671476414298198</v>
      </c>
      <c r="K21" s="1">
        <f t="shared" si="4"/>
        <v>0</v>
      </c>
    </row>
    <row r="22" spans="1:12" x14ac:dyDescent="0.45">
      <c r="A22" s="1">
        <f t="shared" si="5"/>
        <v>6</v>
      </c>
      <c r="B22" s="13">
        <f t="shared" si="6"/>
        <v>47141</v>
      </c>
      <c r="C22" s="21">
        <f t="shared" si="0"/>
        <v>3.0006844626967832</v>
      </c>
      <c r="D22" s="21">
        <f t="shared" si="1"/>
        <v>2.25</v>
      </c>
      <c r="E22" s="21">
        <f>INDEX(data_ois!$F$2:$F$121, MATCH(C22, data_ois!$F$2:$F$121, 1))</f>
        <v>3</v>
      </c>
      <c r="F22" s="21" cm="1">
        <f t="array" ref="F22">INDEX(data_ois!$F$2:$F$121, MATCH(C22, data_ois!$F$2:$F$121, 1)+1)</f>
        <v>3.25</v>
      </c>
      <c r="G22" s="21">
        <f>INDEX(data_ois!$G$2:$G$121, MATCH(C22, data_ois!$F$2:$F$121, 1))</f>
        <v>0.90283185852921699</v>
      </c>
      <c r="H22" s="21" cm="1">
        <f t="array" ref="H22">INDEX(data_ois!$G$2:$G$121, MATCH(C22, data_ois!$F$2:$F$121, 1)+1)</f>
        <v>0.89452971041117146</v>
      </c>
      <c r="I22" s="21">
        <f t="shared" si="2"/>
        <v>0.90280912848645711</v>
      </c>
      <c r="J22" s="21">
        <f t="shared" si="3"/>
        <v>2.0313205390945286</v>
      </c>
      <c r="K22" s="1">
        <f t="shared" si="4"/>
        <v>0</v>
      </c>
    </row>
    <row r="23" spans="1:12" x14ac:dyDescent="0.45">
      <c r="A23" s="1">
        <f t="shared" si="5"/>
        <v>7</v>
      </c>
      <c r="B23" s="13">
        <f t="shared" si="6"/>
        <v>47322</v>
      </c>
      <c r="C23" s="21">
        <f t="shared" si="0"/>
        <v>3.4962354551676933</v>
      </c>
      <c r="D23" s="21">
        <f t="shared" si="1"/>
        <v>2.25</v>
      </c>
      <c r="E23" s="21">
        <f>INDEX(data_ois!$F$2:$F$121, MATCH(C23, data_ois!$F$2:$F$121, 1))</f>
        <v>3.25</v>
      </c>
      <c r="F23" s="21" cm="1">
        <f t="array" ref="F23">INDEX(data_ois!$F$2:$F$121, MATCH(C23, data_ois!$F$2:$F$121, 1)+1)</f>
        <v>3.5</v>
      </c>
      <c r="G23" s="21">
        <f>INDEX(data_ois!$G$2:$G$121, MATCH(C23, data_ois!$F$2:$F$121, 1))</f>
        <v>0.89452971041117146</v>
      </c>
      <c r="H23" s="21" cm="1">
        <f t="array" ref="H23">INDEX(data_ois!$G$2:$G$121, MATCH(C23, data_ois!$F$2:$F$121, 1)+1)</f>
        <v>0.88630390614688248</v>
      </c>
      <c r="I23" s="21">
        <f t="shared" si="2"/>
        <v>0.88642777178262122</v>
      </c>
      <c r="J23" s="21">
        <f t="shared" si="3"/>
        <v>1.9944624865108977</v>
      </c>
      <c r="K23" s="1">
        <f t="shared" si="4"/>
        <v>2.2308714324470231</v>
      </c>
      <c r="L23" s="20" t="s">
        <v>101</v>
      </c>
    </row>
    <row r="24" spans="1:12" x14ac:dyDescent="0.45">
      <c r="A24" s="1">
        <f t="shared" si="5"/>
        <v>8</v>
      </c>
      <c r="B24" s="13">
        <f t="shared" si="6"/>
        <v>47506</v>
      </c>
      <c r="C24" s="21">
        <f t="shared" si="0"/>
        <v>4.0005476451259581</v>
      </c>
      <c r="D24" s="21">
        <f t="shared" si="1"/>
        <v>2.25</v>
      </c>
      <c r="E24" s="21">
        <f>INDEX(data_ois!$F$2:$F$121, MATCH(C24, data_ois!$F$2:$F$121, 1))</f>
        <v>4</v>
      </c>
      <c r="F24" s="21" cm="1">
        <f t="array" ref="F24">INDEX(data_ois!$F$2:$F$121, MATCH(C24, data_ois!$F$2:$F$121, 1)+1)</f>
        <v>4.25</v>
      </c>
      <c r="G24" s="21">
        <f>INDEX(data_ois!$G$2:$G$121, MATCH(C24, data_ois!$F$2:$F$121, 1))</f>
        <v>0.87007852750225156</v>
      </c>
      <c r="H24" s="21" cm="1">
        <f t="array" ref="H24">INDEX(data_ois!$G$2:$G$121, MATCH(C24, data_ois!$F$2:$F$121, 1)+1)</f>
        <v>0.86207756836305816</v>
      </c>
      <c r="I24" s="21">
        <f t="shared" si="2"/>
        <v>0.87006100075714932</v>
      </c>
      <c r="J24" s="21">
        <f t="shared" si="3"/>
        <v>1.957637251703586</v>
      </c>
      <c r="K24" s="1">
        <f t="shared" si="4"/>
        <v>2.1896812045633678</v>
      </c>
    </row>
    <row r="25" spans="1:12" x14ac:dyDescent="0.45">
      <c r="A25" s="1">
        <f t="shared" si="5"/>
        <v>9</v>
      </c>
      <c r="B25" s="13">
        <f t="shared" si="6"/>
        <v>47687</v>
      </c>
      <c r="C25" s="21">
        <f t="shared" si="0"/>
        <v>4.4961664841182918</v>
      </c>
      <c r="D25" s="21">
        <f t="shared" si="1"/>
        <v>2.25</v>
      </c>
      <c r="E25" s="21">
        <f>INDEX(data_ois!$F$2:$F$121, MATCH(C25, data_ois!$F$2:$F$121, 1))</f>
        <v>4.25</v>
      </c>
      <c r="F25" s="21" cm="1">
        <f t="array" ref="F25">INDEX(data_ois!$F$2:$F$121, MATCH(C25, data_ois!$F$2:$F$121, 1)+1)</f>
        <v>4.5</v>
      </c>
      <c r="G25" s="21">
        <f>INDEX(data_ois!$G$2:$G$121, MATCH(C25, data_ois!$F$2:$F$121, 1))</f>
        <v>0.86207756836305816</v>
      </c>
      <c r="H25" s="21" cm="1">
        <f t="array" ref="H25">INDEX(data_ois!$G$2:$G$121, MATCH(C25, data_ois!$F$2:$F$121, 1)+1)</f>
        <v>0.85415018344173554</v>
      </c>
      <c r="I25" s="21">
        <f t="shared" si="2"/>
        <v>0.8542717424657208</v>
      </c>
      <c r="J25" s="21">
        <f t="shared" si="3"/>
        <v>1.9221114205478718</v>
      </c>
      <c r="K25" s="1">
        <f t="shared" si="4"/>
        <v>2.1499444021039418</v>
      </c>
    </row>
    <row r="26" spans="1:12" x14ac:dyDescent="0.45">
      <c r="A26" s="1">
        <f t="shared" si="5"/>
        <v>10</v>
      </c>
      <c r="B26" s="13">
        <f t="shared" si="6"/>
        <v>47871</v>
      </c>
      <c r="C26" s="21">
        <f t="shared" si="0"/>
        <v>5.0004564125969875</v>
      </c>
      <c r="D26" s="21">
        <f t="shared" si="1"/>
        <v>2.25</v>
      </c>
      <c r="E26" s="21">
        <f>INDEX(data_ois!$F$2:$F$121, MATCH(C26, data_ois!$F$2:$F$121, 1))</f>
        <v>5</v>
      </c>
      <c r="F26" s="21" cm="1">
        <f t="array" ref="F26">INDEX(data_ois!$F$2:$F$121, MATCH(C26, data_ois!$F$2:$F$121, 1)+1)</f>
        <v>5.25</v>
      </c>
      <c r="G26" s="21">
        <f>INDEX(data_ois!$G$2:$G$121, MATCH(C26, data_ois!$F$2:$F$121, 1))</f>
        <v>0.83851343621586205</v>
      </c>
      <c r="H26" s="21" cm="1">
        <f t="array" ref="H26">INDEX(data_ois!$G$2:$G$121, MATCH(C26, data_ois!$F$2:$F$121, 1)+1)</f>
        <v>0.83016387506434064</v>
      </c>
      <c r="I26" s="21">
        <f t="shared" si="2"/>
        <v>0.83849819283630656</v>
      </c>
      <c r="J26" s="21">
        <f t="shared" si="3"/>
        <v>1.8866209338816897</v>
      </c>
      <c r="K26" s="1">
        <f t="shared" si="4"/>
        <v>2.1102471336104465</v>
      </c>
    </row>
    <row r="27" spans="1:12" x14ac:dyDescent="0.45">
      <c r="A27" s="1">
        <f t="shared" si="5"/>
        <v>11</v>
      </c>
      <c r="B27" s="13">
        <f t="shared" si="6"/>
        <v>48052</v>
      </c>
      <c r="C27" s="21">
        <f t="shared" si="0"/>
        <v>5.4961204929256047</v>
      </c>
      <c r="D27" s="21">
        <f t="shared" si="1"/>
        <v>2.25</v>
      </c>
      <c r="E27" s="21">
        <f>INDEX(data_ois!$F$2:$F$121, MATCH(C27, data_ois!$F$2:$F$121, 1))</f>
        <v>5.25</v>
      </c>
      <c r="F27" s="21" cm="1">
        <f t="array" ref="F27">INDEX(data_ois!$F$2:$F$121, MATCH(C27, data_ois!$F$2:$F$121, 1)+1)</f>
        <v>5.5</v>
      </c>
      <c r="G27" s="21">
        <f>INDEX(data_ois!$G$2:$G$121, MATCH(C27, data_ois!$F$2:$F$121, 1))</f>
        <v>0.83016387506434064</v>
      </c>
      <c r="H27" s="21" cm="1">
        <f t="array" ref="H27">INDEX(data_ois!$G$2:$G$121, MATCH(C27, data_ois!$F$2:$F$121, 1)+1)</f>
        <v>0.82189745530139091</v>
      </c>
      <c r="I27" s="21">
        <f t="shared" si="2"/>
        <v>0.82202573383719202</v>
      </c>
      <c r="J27" s="21">
        <f t="shared" si="3"/>
        <v>1.849557901133682</v>
      </c>
      <c r="K27" s="1">
        <f t="shared" si="4"/>
        <v>2.0687909209633868</v>
      </c>
    </row>
    <row r="28" spans="1:12" x14ac:dyDescent="0.45">
      <c r="A28" s="1">
        <f t="shared" si="5"/>
        <v>12</v>
      </c>
      <c r="B28" s="13">
        <f t="shared" si="6"/>
        <v>48236</v>
      </c>
      <c r="C28" s="21">
        <f t="shared" si="0"/>
        <v>5.9980445834962852</v>
      </c>
      <c r="D28" s="21">
        <f t="shared" si="1"/>
        <v>2.25</v>
      </c>
      <c r="E28" s="21">
        <f>INDEX(data_ois!$F$2:$F$121, MATCH(C28, data_ois!$F$2:$F$121, 1))</f>
        <v>5.75</v>
      </c>
      <c r="F28" s="21" cm="1">
        <f t="array" ref="F28">INDEX(data_ois!$F$2:$F$121, MATCH(C28, data_ois!$F$2:$F$121, 1)+1)</f>
        <v>6</v>
      </c>
      <c r="G28" s="21">
        <f>INDEX(data_ois!$G$2:$G$121, MATCH(C28, data_ois!$F$2:$F$121, 1))</f>
        <v>0.81371334904032899</v>
      </c>
      <c r="H28" s="21" cm="1">
        <f t="array" ref="H28">INDEX(data_ois!$G$2:$G$121, MATCH(C28, data_ois!$F$2:$F$121, 1)+1)</f>
        <v>0.80561073663821536</v>
      </c>
      <c r="I28" s="21">
        <f t="shared" si="2"/>
        <v>0.80567411256627253</v>
      </c>
      <c r="J28" s="21">
        <f t="shared" si="3"/>
        <v>1.8127667532741132</v>
      </c>
      <c r="K28" s="1">
        <f t="shared" si="4"/>
        <v>2.0276388204440985</v>
      </c>
    </row>
    <row r="29" spans="1:12" x14ac:dyDescent="0.45">
      <c r="A29" s="1">
        <f t="shared" si="5"/>
        <v>13</v>
      </c>
      <c r="B29" s="13">
        <f t="shared" si="6"/>
        <v>48418</v>
      </c>
      <c r="C29" s="21">
        <f t="shared" si="0"/>
        <v>6.4962847086429409</v>
      </c>
      <c r="D29" s="21">
        <f t="shared" si="1"/>
        <v>2.25</v>
      </c>
      <c r="E29" s="21">
        <f>INDEX(data_ois!$F$2:$F$121, MATCH(C29, data_ois!$F$2:$F$121, 1))</f>
        <v>6.25</v>
      </c>
      <c r="F29" s="21" cm="1">
        <f t="array" ref="F29">INDEX(data_ois!$F$2:$F$121, MATCH(C29, data_ois!$F$2:$F$121, 1)+1)</f>
        <v>6.5</v>
      </c>
      <c r="G29" s="21">
        <f>INDEX(data_ois!$G$2:$G$121, MATCH(C29, data_ois!$F$2:$F$121, 1))</f>
        <v>0.79758880661376752</v>
      </c>
      <c r="H29" s="21" cm="1">
        <f t="array" ref="H29">INDEX(data_ois!$G$2:$G$121, MATCH(C29, data_ois!$F$2:$F$121, 1)+1)</f>
        <v>0.78964675556608899</v>
      </c>
      <c r="I29" s="21">
        <f t="shared" si="2"/>
        <v>0.78976478370054803</v>
      </c>
      <c r="J29" s="21">
        <f t="shared" si="3"/>
        <v>1.776970763326233</v>
      </c>
      <c r="K29" s="1">
        <f t="shared" si="4"/>
        <v>1.9875998365519587</v>
      </c>
    </row>
    <row r="30" spans="1:12" x14ac:dyDescent="0.45">
      <c r="A30" s="1">
        <f t="shared" si="5"/>
        <v>14</v>
      </c>
      <c r="B30" s="13">
        <f t="shared" si="6"/>
        <v>48602</v>
      </c>
      <c r="C30" s="21">
        <f t="shared" si="0"/>
        <v>7.0006844626967828</v>
      </c>
      <c r="D30" s="21">
        <f t="shared" si="1"/>
        <v>2.25</v>
      </c>
      <c r="E30" s="21">
        <f>INDEX(data_ois!$F$2:$F$121, MATCH(C30, data_ois!$F$2:$F$121, 1))</f>
        <v>7</v>
      </c>
      <c r="F30" s="21" cm="1">
        <f t="array" ref="F30">INDEX(data_ois!$F$2:$F$121, MATCH(C30, data_ois!$F$2:$F$121, 1)+1)</f>
        <v>7.25</v>
      </c>
      <c r="G30" s="21">
        <f>INDEX(data_ois!$G$2:$G$121, MATCH(C30, data_ois!$F$2:$F$121, 1))</f>
        <v>0.7739991167174225</v>
      </c>
      <c r="H30" s="21" cm="1">
        <f t="array" ref="H30">INDEX(data_ois!$G$2:$G$121, MATCH(C30, data_ois!$F$2:$F$121, 1)+1)</f>
        <v>0.76575367883502887</v>
      </c>
      <c r="I30" s="21">
        <f t="shared" si="2"/>
        <v>0.77397654193882592</v>
      </c>
      <c r="J30" s="21">
        <f t="shared" si="3"/>
        <v>1.7414472193623582</v>
      </c>
      <c r="K30" s="1">
        <f t="shared" si="4"/>
        <v>1.9478655923913073</v>
      </c>
    </row>
    <row r="31" spans="1:12" x14ac:dyDescent="0.45">
      <c r="A31" s="1">
        <f t="shared" si="5"/>
        <v>15</v>
      </c>
      <c r="B31" s="13">
        <f t="shared" si="6"/>
        <v>48783</v>
      </c>
      <c r="C31" s="21">
        <f t="shared" si="0"/>
        <v>7.4962354551676933</v>
      </c>
      <c r="D31" s="21">
        <f t="shared" si="1"/>
        <v>2.25</v>
      </c>
      <c r="E31" s="21">
        <f>INDEX(data_ois!$F$2:$F$121, MATCH(C31, data_ois!$F$2:$F$121, 1))</f>
        <v>7.25</v>
      </c>
      <c r="F31" s="21" cm="1">
        <f t="array" ref="F31">INDEX(data_ois!$F$2:$F$121, MATCH(C31, data_ois!$F$2:$F$121, 1)+1)</f>
        <v>7.5</v>
      </c>
      <c r="G31" s="21">
        <f>INDEX(data_ois!$G$2:$G$121, MATCH(C31, data_ois!$F$2:$F$121, 1))</f>
        <v>0.76575367883502887</v>
      </c>
      <c r="H31" s="21" cm="1">
        <f t="array" ref="H31">INDEX(data_ois!$G$2:$G$121, MATCH(C31, data_ois!$F$2:$F$121, 1)+1)</f>
        <v>0.75759607987183297</v>
      </c>
      <c r="I31" s="21">
        <f t="shared" si="2"/>
        <v>0.75771891845991668</v>
      </c>
      <c r="J31" s="21">
        <f t="shared" si="3"/>
        <v>1.7048675665348125</v>
      </c>
      <c r="K31" s="1">
        <f t="shared" si="4"/>
        <v>1.9069500559729911</v>
      </c>
    </row>
    <row r="32" spans="1:12" x14ac:dyDescent="0.45">
      <c r="A32" s="1">
        <f t="shared" si="5"/>
        <v>16</v>
      </c>
      <c r="B32" s="13">
        <f t="shared" si="6"/>
        <v>48967</v>
      </c>
      <c r="C32" s="21">
        <f t="shared" si="0"/>
        <v>8.0006084575600855</v>
      </c>
      <c r="D32" s="21">
        <f t="shared" si="1"/>
        <v>2.25</v>
      </c>
      <c r="E32" s="21">
        <f>INDEX(data_ois!$F$2:$F$121, MATCH(C32, data_ois!$F$2:$F$121, 1))</f>
        <v>8</v>
      </c>
      <c r="F32" s="21" cm="1">
        <f t="array" ref="F32">INDEX(data_ois!$F$2:$F$121, MATCH(C32, data_ois!$F$2:$F$121, 1)+1)</f>
        <v>8.25</v>
      </c>
      <c r="G32" s="21">
        <f>INDEX(data_ois!$G$2:$G$121, MATCH(C32, data_ois!$F$2:$F$121, 1))</f>
        <v>0.74154066566811272</v>
      </c>
      <c r="H32" s="21" cm="1">
        <f t="array" ref="H32">INDEX(data_ois!$G$2:$G$121, MATCH(C32, data_ois!$F$2:$F$121, 1)+1)</f>
        <v>0.73364100872539362</v>
      </c>
      <c r="I32" s="21">
        <f t="shared" si="2"/>
        <v>0.74152143924415725</v>
      </c>
      <c r="J32" s="21">
        <f t="shared" si="3"/>
        <v>1.6684232382993538</v>
      </c>
      <c r="K32" s="1">
        <f t="shared" si="4"/>
        <v>1.8661858845307708</v>
      </c>
    </row>
    <row r="33" spans="1:11" x14ac:dyDescent="0.45">
      <c r="A33" s="1">
        <f t="shared" si="5"/>
        <v>17</v>
      </c>
      <c r="B33" s="13">
        <f t="shared" si="6"/>
        <v>49148</v>
      </c>
      <c r="C33" s="21">
        <f t="shared" si="0"/>
        <v>8.4961971402494676</v>
      </c>
      <c r="D33" s="21">
        <f t="shared" si="1"/>
        <v>2.25</v>
      </c>
      <c r="E33" s="21">
        <f>INDEX(data_ois!$F$2:$F$121, MATCH(C33, data_ois!$F$2:$F$121, 1))</f>
        <v>8.25</v>
      </c>
      <c r="F33" s="21" cm="1">
        <f t="array" ref="F33">INDEX(data_ois!$F$2:$F$121, MATCH(C33, data_ois!$F$2:$F$121, 1)+1)</f>
        <v>8.5</v>
      </c>
      <c r="G33" s="21">
        <f>INDEX(data_ois!$G$2:$G$121, MATCH(C33, data_ois!$F$2:$F$121, 1))</f>
        <v>0.73364100872539362</v>
      </c>
      <c r="H33" s="21" cm="1">
        <f t="array" ref="H33">INDEX(data_ois!$G$2:$G$121, MATCH(C33, data_ois!$F$2:$F$121, 1)+1)</f>
        <v>0.72582550708622273</v>
      </c>
      <c r="I33" s="21">
        <f t="shared" si="2"/>
        <v>0.72594439211267803</v>
      </c>
      <c r="J33" s="21">
        <f t="shared" si="3"/>
        <v>1.6333748822535257</v>
      </c>
      <c r="K33" s="1">
        <f t="shared" si="4"/>
        <v>1.8269831535766017</v>
      </c>
    </row>
    <row r="34" spans="1:11" x14ac:dyDescent="0.45">
      <c r="A34" s="1">
        <f t="shared" si="5"/>
        <v>18</v>
      </c>
      <c r="B34" s="13">
        <f t="shared" si="6"/>
        <v>49332</v>
      </c>
      <c r="C34" s="21">
        <f t="shared" si="0"/>
        <v>9.000547645125959</v>
      </c>
      <c r="D34" s="21">
        <f t="shared" si="1"/>
        <v>2.25</v>
      </c>
      <c r="E34" s="21">
        <f>INDEX(data_ois!$F$2:$F$121, MATCH(C34, data_ois!$F$2:$F$121, 1))</f>
        <v>9</v>
      </c>
      <c r="F34" s="21" cm="1">
        <f t="array" ref="F34">INDEX(data_ois!$F$2:$F$121, MATCH(C34, data_ois!$F$2:$F$121, 1)+1)</f>
        <v>9.25</v>
      </c>
      <c r="G34" s="21">
        <f>INDEX(data_ois!$G$2:$G$121, MATCH(C34, data_ois!$F$2:$F$121, 1))</f>
        <v>0.7104433932322729</v>
      </c>
      <c r="H34" s="21" cm="1">
        <f t="array" ref="H34">INDEX(data_ois!$G$2:$G$121, MATCH(C34, data_ois!$F$2:$F$121, 1)+1)</f>
        <v>0.70287501654897977</v>
      </c>
      <c r="I34" s="21">
        <f t="shared" si="2"/>
        <v>0.71042681409386477</v>
      </c>
      <c r="J34" s="21">
        <f t="shared" si="3"/>
        <v>1.5984603317111956</v>
      </c>
      <c r="K34" s="1">
        <f t="shared" si="4"/>
        <v>1.7879300884483267</v>
      </c>
    </row>
    <row r="35" spans="1:11" x14ac:dyDescent="0.45">
      <c r="A35" s="1">
        <f t="shared" si="5"/>
        <v>19</v>
      </c>
      <c r="B35" s="13">
        <f t="shared" si="6"/>
        <v>49513</v>
      </c>
      <c r="C35" s="21">
        <f t="shared" si="0"/>
        <v>9.4961664841182909</v>
      </c>
      <c r="D35" s="21">
        <f t="shared" si="1"/>
        <v>2.25</v>
      </c>
      <c r="E35" s="21">
        <f>INDEX(data_ois!$F$2:$F$121, MATCH(C35, data_ois!$F$2:$F$121, 1))</f>
        <v>9.25</v>
      </c>
      <c r="F35" s="21" cm="1">
        <f t="array" ref="F35">INDEX(data_ois!$F$2:$F$121, MATCH(C35, data_ois!$F$2:$F$121, 1)+1)</f>
        <v>9.5</v>
      </c>
      <c r="G35" s="21">
        <f>INDEX(data_ois!$G$2:$G$121, MATCH(C35, data_ois!$F$2:$F$121, 1))</f>
        <v>0.70287501654897977</v>
      </c>
      <c r="H35" s="21" cm="1">
        <f t="array" ref="H35">INDEX(data_ois!$G$2:$G$121, MATCH(C35, data_ois!$F$2:$F$121, 1)+1)</f>
        <v>0.69538726602980594</v>
      </c>
      <c r="I35" s="21">
        <f t="shared" si="2"/>
        <v>0.69550208367194011</v>
      </c>
      <c r="J35" s="21">
        <f t="shared" si="3"/>
        <v>1.5648796882618652</v>
      </c>
      <c r="K35" s="1">
        <f t="shared" si="4"/>
        <v>1.7503690419704081</v>
      </c>
    </row>
    <row r="36" spans="1:11" x14ac:dyDescent="0.45">
      <c r="A36" s="1">
        <f t="shared" si="5"/>
        <v>20</v>
      </c>
      <c r="B36" s="13">
        <f t="shared" si="6"/>
        <v>49697</v>
      </c>
      <c r="C36" s="21">
        <f t="shared" si="0"/>
        <v>9.9980089596814334</v>
      </c>
      <c r="D36" s="21">
        <f t="shared" si="1"/>
        <v>2.25</v>
      </c>
      <c r="E36" s="21">
        <f>INDEX(data_ois!$F$2:$F$121, MATCH(C36, data_ois!$F$2:$F$121, 1))</f>
        <v>9.75</v>
      </c>
      <c r="F36" s="21" cm="1">
        <f t="array" ref="F36">INDEX(data_ois!$F$2:$F$121, MATCH(C36, data_ois!$F$2:$F$121, 1)+1)</f>
        <v>10</v>
      </c>
      <c r="G36" s="21">
        <f>INDEX(data_ois!$G$2:$G$121, MATCH(C36, data_ois!$F$2:$F$121, 1))</f>
        <v>0.68797928276159037</v>
      </c>
      <c r="H36" s="21" cm="1">
        <f t="array" ref="H36">INDEX(data_ois!$G$2:$G$121, MATCH(C36, data_ois!$F$2:$F$121, 1)+1)</f>
        <v>0.68065021698120221</v>
      </c>
      <c r="I36" s="21">
        <f t="shared" si="2"/>
        <v>0.6807085868430669</v>
      </c>
      <c r="J36" s="21">
        <f t="shared" si="3"/>
        <v>1.5315943203969005</v>
      </c>
      <c r="K36" s="1">
        <f t="shared" si="4"/>
        <v>1.7131382708776202</v>
      </c>
    </row>
    <row r="37" spans="1:11" x14ac:dyDescent="0.45">
      <c r="A37" s="1">
        <f t="shared" si="5"/>
        <v>21</v>
      </c>
      <c r="B37" s="13">
        <f t="shared" si="6"/>
        <v>49879</v>
      </c>
      <c r="C37" s="21">
        <f t="shared" si="0"/>
        <v>10.496266799402688</v>
      </c>
      <c r="D37" s="21">
        <f t="shared" si="1"/>
        <v>2.25</v>
      </c>
      <c r="E37" s="21">
        <f>INDEX(data_ois!$F$2:$F$121, MATCH(C37, data_ois!$F$2:$F$121, 1))</f>
        <v>10.25</v>
      </c>
      <c r="F37" s="21" cm="1">
        <f t="array" ref="F37">INDEX(data_ois!$F$2:$F$121, MATCH(C37, data_ois!$F$2:$F$121, 1)+1)</f>
        <v>10.5</v>
      </c>
      <c r="G37" s="21">
        <f>INDEX(data_ois!$G$2:$G$121, MATCH(C37, data_ois!$F$2:$F$121, 1))</f>
        <v>0.67281693893654382</v>
      </c>
      <c r="H37" s="21" cm="1">
        <f t="array" ref="H37">INDEX(data_ois!$G$2:$G$121, MATCH(C37, data_ois!$F$2:$F$121, 1)+1)</f>
        <v>0.66507381034514945</v>
      </c>
      <c r="I37" s="21">
        <f t="shared" si="2"/>
        <v>0.66518943695427923</v>
      </c>
      <c r="J37" s="21">
        <f t="shared" si="3"/>
        <v>1.4966762331471282</v>
      </c>
      <c r="K37" s="1">
        <f t="shared" si="4"/>
        <v>1.6740812498265583</v>
      </c>
    </row>
    <row r="38" spans="1:11" x14ac:dyDescent="0.45">
      <c r="A38" s="1">
        <f t="shared" si="5"/>
        <v>22</v>
      </c>
      <c r="B38" s="13">
        <f t="shared" si="6"/>
        <v>50063</v>
      </c>
      <c r="C38" s="21">
        <f t="shared" si="0"/>
        <v>11.000684462696784</v>
      </c>
      <c r="D38" s="21">
        <f t="shared" si="1"/>
        <v>2.25</v>
      </c>
      <c r="E38" s="21">
        <f>INDEX(data_ois!$F$2:$F$121, MATCH(C38, data_ois!$F$2:$F$121, 1))</f>
        <v>11</v>
      </c>
      <c r="F38" s="21" cm="1">
        <f t="array" ref="F38">INDEX(data_ois!$F$2:$F$121, MATCH(C38, data_ois!$F$2:$F$121, 1)+1)</f>
        <v>11.25</v>
      </c>
      <c r="G38" s="21">
        <f>INDEX(data_ois!$G$2:$G$121, MATCH(C38, data_ois!$F$2:$F$121, 1))</f>
        <v>0.64985386351420449</v>
      </c>
      <c r="H38" s="21" cm="1">
        <f t="array" ref="H38">INDEX(data_ois!$G$2:$G$121, MATCH(C38, data_ois!$F$2:$F$121, 1)+1)</f>
        <v>0.6423750059831228</v>
      </c>
      <c r="I38" s="21">
        <f t="shared" si="2"/>
        <v>0.64983338751822617</v>
      </c>
      <c r="J38" s="21">
        <f t="shared" si="3"/>
        <v>1.462125121916009</v>
      </c>
      <c r="K38" s="1">
        <f t="shared" si="4"/>
        <v>1.63543470343819</v>
      </c>
    </row>
    <row r="39" spans="1:11" x14ac:dyDescent="0.45">
      <c r="A39" s="1">
        <f t="shared" si="5"/>
        <v>23</v>
      </c>
      <c r="B39" s="13">
        <f t="shared" si="6"/>
        <v>50244</v>
      </c>
      <c r="C39" s="21">
        <f t="shared" si="0"/>
        <v>11.496235455167694</v>
      </c>
      <c r="D39" s="21">
        <f t="shared" si="1"/>
        <v>2.25</v>
      </c>
      <c r="E39" s="21">
        <f>INDEX(data_ois!$F$2:$F$121, MATCH(C39, data_ois!$F$2:$F$121, 1))</f>
        <v>11.25</v>
      </c>
      <c r="F39" s="21" cm="1">
        <f t="array" ref="F39">INDEX(data_ois!$F$2:$F$121, MATCH(C39, data_ois!$F$2:$F$121, 1)+1)</f>
        <v>11.5</v>
      </c>
      <c r="G39" s="21">
        <f>INDEX(data_ois!$G$2:$G$121, MATCH(C39, data_ois!$F$2:$F$121, 1))</f>
        <v>0.6423750059831228</v>
      </c>
      <c r="H39" s="21" cm="1">
        <f t="array" ref="H39">INDEX(data_ois!$G$2:$G$121, MATCH(C39, data_ois!$F$2:$F$121, 1)+1)</f>
        <v>0.63498221904900232</v>
      </c>
      <c r="I39" s="21">
        <f t="shared" si="2"/>
        <v>0.63509354096039905</v>
      </c>
      <c r="J39" s="21">
        <f t="shared" si="3"/>
        <v>1.428960467160898</v>
      </c>
      <c r="K39" s="1">
        <f t="shared" si="4"/>
        <v>1.598338953901393</v>
      </c>
    </row>
    <row r="40" spans="1:11" x14ac:dyDescent="0.45">
      <c r="A40" s="1">
        <f t="shared" si="5"/>
        <v>24</v>
      </c>
      <c r="B40" s="13">
        <f t="shared" si="6"/>
        <v>50428</v>
      </c>
      <c r="C40" s="21">
        <f t="shared" si="0"/>
        <v>12.000631844987364</v>
      </c>
      <c r="D40" s="21">
        <f t="shared" si="1"/>
        <v>2.25</v>
      </c>
      <c r="E40" s="21">
        <f>INDEX(data_ois!$F$2:$F$121, MATCH(C40, data_ois!$F$2:$F$121, 1))</f>
        <v>12</v>
      </c>
      <c r="F40" s="21" cm="1">
        <f t="array" ref="F40">INDEX(data_ois!$F$2:$F$121, MATCH(C40, data_ois!$F$2:$F$121, 1)+1)</f>
        <v>12.25</v>
      </c>
      <c r="G40" s="21">
        <f>INDEX(data_ois!$G$2:$G$121, MATCH(C40, data_ois!$F$2:$F$121, 1))</f>
        <v>0.62045090618989895</v>
      </c>
      <c r="H40" s="21" cm="1">
        <f t="array" ref="H40">INDEX(data_ois!$G$2:$G$121, MATCH(C40, data_ois!$F$2:$F$121, 1)+1)</f>
        <v>0.6133104332421323</v>
      </c>
      <c r="I40" s="21">
        <f t="shared" si="2"/>
        <v>0.6204328595017411</v>
      </c>
      <c r="J40" s="21">
        <f t="shared" si="3"/>
        <v>1.3959739338789174</v>
      </c>
      <c r="K40" s="1">
        <f t="shared" si="4"/>
        <v>1.5614424390499311</v>
      </c>
    </row>
    <row r="41" spans="1:11" x14ac:dyDescent="0.45">
      <c r="A41" s="1">
        <f t="shared" si="5"/>
        <v>25</v>
      </c>
      <c r="B41" s="13">
        <f t="shared" si="6"/>
        <v>50609</v>
      </c>
      <c r="C41" s="21">
        <f t="shared" si="0"/>
        <v>12.496208930075822</v>
      </c>
      <c r="D41" s="21">
        <f t="shared" si="1"/>
        <v>2.25</v>
      </c>
      <c r="E41" s="21">
        <f>INDEX(data_ois!$F$2:$F$121, MATCH(C41, data_ois!$F$2:$F$121, 1))</f>
        <v>12.25</v>
      </c>
      <c r="F41" s="21" cm="1">
        <f t="array" ref="F41">INDEX(data_ois!$F$2:$F$121, MATCH(C41, data_ois!$F$2:$F$121, 1)+1)</f>
        <v>12.5</v>
      </c>
      <c r="G41" s="21">
        <f>INDEX(data_ois!$G$2:$G$121, MATCH(C41, data_ois!$F$2:$F$121, 1))</f>
        <v>0.6133104332421323</v>
      </c>
      <c r="H41" s="21" cm="1">
        <f t="array" ref="H41">INDEX(data_ois!$G$2:$G$121, MATCH(C41, data_ois!$F$2:$F$121, 1)+1)</f>
        <v>0.60625213658488142</v>
      </c>
      <c r="I41" s="21">
        <f t="shared" si="2"/>
        <v>0.60635917056957434</v>
      </c>
      <c r="J41" s="21">
        <f t="shared" si="3"/>
        <v>1.3643081337815421</v>
      </c>
      <c r="K41" s="1">
        <f t="shared" si="4"/>
        <v>1.5260232074020128</v>
      </c>
    </row>
    <row r="42" spans="1:11" x14ac:dyDescent="0.45">
      <c r="A42" s="1">
        <f t="shared" si="5"/>
        <v>26</v>
      </c>
      <c r="B42" s="13">
        <f t="shared" si="6"/>
        <v>50793</v>
      </c>
      <c r="C42" s="21">
        <f t="shared" si="0"/>
        <v>13.000586739683161</v>
      </c>
      <c r="D42" s="21">
        <f t="shared" si="1"/>
        <v>2.25</v>
      </c>
      <c r="E42" s="21">
        <f>INDEX(data_ois!$F$2:$F$121, MATCH(C42, data_ois!$F$2:$F$121, 1))</f>
        <v>13</v>
      </c>
      <c r="F42" s="21" cm="1">
        <f t="array" ref="F42">INDEX(data_ois!$F$2:$F$121, MATCH(C42, data_ois!$F$2:$F$121, 1)+1)</f>
        <v>13.25</v>
      </c>
      <c r="G42" s="21">
        <f>INDEX(data_ois!$G$2:$G$121, MATCH(C42, data_ois!$F$2:$F$121, 1))</f>
        <v>0.59237830011524184</v>
      </c>
      <c r="H42" s="21" cm="1">
        <f t="array" ref="H42">INDEX(data_ois!$G$2:$G$121, MATCH(C42, data_ois!$F$2:$F$121, 1)+1)</f>
        <v>0.5855609013740718</v>
      </c>
      <c r="I42" s="21">
        <f t="shared" si="2"/>
        <v>0.59236229996173229</v>
      </c>
      <c r="J42" s="21">
        <f t="shared" si="3"/>
        <v>1.3328151749138977</v>
      </c>
      <c r="K42" s="1">
        <f t="shared" si="4"/>
        <v>1.4907973043147282</v>
      </c>
    </row>
    <row r="43" spans="1:11" x14ac:dyDescent="0.45">
      <c r="A43" s="1">
        <f t="shared" si="5"/>
        <v>27</v>
      </c>
      <c r="B43" s="13">
        <f t="shared" si="6"/>
        <v>50974</v>
      </c>
      <c r="C43" s="21">
        <f t="shared" si="0"/>
        <v>13.496186192059456</v>
      </c>
      <c r="D43" s="21">
        <f t="shared" si="1"/>
        <v>2.25</v>
      </c>
      <c r="E43" s="21">
        <f>INDEX(data_ois!$F$2:$F$121, MATCH(C43, data_ois!$F$2:$F$121, 1))</f>
        <v>13.25</v>
      </c>
      <c r="F43" s="21" cm="1">
        <f t="array" ref="F43">INDEX(data_ois!$F$2:$F$121, MATCH(C43, data_ois!$F$2:$F$121, 1)+1)</f>
        <v>13.5</v>
      </c>
      <c r="G43" s="21">
        <f>INDEX(data_ois!$G$2:$G$121, MATCH(C43, data_ois!$F$2:$F$121, 1))</f>
        <v>0.5855609013740718</v>
      </c>
      <c r="H43" s="21" cm="1">
        <f t="array" ref="H43">INDEX(data_ois!$G$2:$G$121, MATCH(C43, data_ois!$F$2:$F$121, 1)+1)</f>
        <v>0.57882196081678017</v>
      </c>
      <c r="I43" s="21">
        <f t="shared" si="2"/>
        <v>0.57892476491681322</v>
      </c>
      <c r="J43" s="21">
        <f t="shared" si="3"/>
        <v>1.3025807210628297</v>
      </c>
      <c r="K43" s="1">
        <f t="shared" si="4"/>
        <v>1.4569790801926088</v>
      </c>
    </row>
    <row r="44" spans="1:11" x14ac:dyDescent="0.45">
      <c r="A44" s="1">
        <f t="shared" si="5"/>
        <v>28</v>
      </c>
      <c r="B44" s="13">
        <f t="shared" si="6"/>
        <v>51158</v>
      </c>
      <c r="C44" s="21">
        <f t="shared" si="0"/>
        <v>13.997992334367586</v>
      </c>
      <c r="D44" s="21">
        <f t="shared" si="1"/>
        <v>2.25</v>
      </c>
      <c r="E44" s="21">
        <f>INDEX(data_ois!$F$2:$F$121, MATCH(C44, data_ois!$F$2:$F$121, 1))</f>
        <v>13.75</v>
      </c>
      <c r="F44" s="21" cm="1">
        <f t="array" ref="F44">INDEX(data_ois!$F$2:$F$121, MATCH(C44, data_ois!$F$2:$F$121, 1)+1)</f>
        <v>14</v>
      </c>
      <c r="G44" s="21">
        <f>INDEX(data_ois!$G$2:$G$121, MATCH(C44, data_ois!$F$2:$F$121, 1))</f>
        <v>0.57216057550562638</v>
      </c>
      <c r="H44" s="21" cm="1">
        <f t="array" ref="H44">INDEX(data_ois!$G$2:$G$121, MATCH(C44, data_ois!$F$2:$F$121, 1)+1)</f>
        <v>0.56557585289434853</v>
      </c>
      <c r="I44" s="21">
        <f t="shared" si="2"/>
        <v>0.56562873257949109</v>
      </c>
      <c r="J44" s="21">
        <f t="shared" si="3"/>
        <v>1.2726646483038548</v>
      </c>
      <c r="K44" s="1">
        <f t="shared" si="4"/>
        <v>1.4235169757206636</v>
      </c>
    </row>
    <row r="45" spans="1:11" x14ac:dyDescent="0.45">
      <c r="A45" s="1">
        <f t="shared" si="5"/>
        <v>29</v>
      </c>
      <c r="B45" s="13">
        <f t="shared" si="6"/>
        <v>51340</v>
      </c>
      <c r="C45" s="21">
        <f t="shared" si="0"/>
        <v>14.496258441321409</v>
      </c>
      <c r="D45" s="21">
        <f t="shared" si="1"/>
        <v>2.25</v>
      </c>
      <c r="E45" s="21">
        <f>INDEX(data_ois!$F$2:$F$121, MATCH(C45, data_ois!$F$2:$F$121, 1))</f>
        <v>14.25</v>
      </c>
      <c r="F45" s="21" cm="1">
        <f t="array" ref="F45">INDEX(data_ois!$F$2:$F$121, MATCH(C45, data_ois!$F$2:$F$121, 1)+1)</f>
        <v>14.5</v>
      </c>
      <c r="G45" s="21">
        <f>INDEX(data_ois!$G$2:$G$121, MATCH(C45, data_ois!$F$2:$F$121, 1))</f>
        <v>0.55906691070857295</v>
      </c>
      <c r="H45" s="21" cm="1">
        <f t="array" ref="H45">INDEX(data_ois!$G$2:$G$121, MATCH(C45, data_ois!$F$2:$F$121, 1)+1)</f>
        <v>0.55263287682760021</v>
      </c>
      <c r="I45" s="21">
        <f t="shared" si="2"/>
        <v>0.55272917008882305</v>
      </c>
      <c r="J45" s="21">
        <f t="shared" si="3"/>
        <v>1.2436406326998519</v>
      </c>
      <c r="K45" s="1">
        <f t="shared" si="4"/>
        <v>1.3910526663120977</v>
      </c>
    </row>
    <row r="46" spans="1:11" x14ac:dyDescent="0.45">
      <c r="A46" s="1">
        <f t="shared" si="5"/>
        <v>30</v>
      </c>
      <c r="B46" s="13">
        <f t="shared" si="6"/>
        <v>51524</v>
      </c>
      <c r="C46" s="21">
        <f t="shared" si="0"/>
        <v>15.000684462696784</v>
      </c>
      <c r="D46" s="21">
        <f t="shared" si="1"/>
        <v>2.25</v>
      </c>
      <c r="E46" s="21">
        <f>INDEX(data_ois!$F$2:$F$121, MATCH(C46, data_ois!$F$2:$F$121, 1))</f>
        <v>15</v>
      </c>
      <c r="F46" s="21" cm="1">
        <f t="array" ref="F46">INDEX(data_ois!$F$2:$F$121, MATCH(C46, data_ois!$F$2:$F$121, 1)+1)</f>
        <v>15.25</v>
      </c>
      <c r="G46" s="21">
        <f>INDEX(data_ois!$G$2:$G$121, MATCH(C46, data_ois!$F$2:$F$121, 1))</f>
        <v>0.53998609556585853</v>
      </c>
      <c r="H46" s="21" cm="1">
        <f t="array" ref="H46">INDEX(data_ois!$G$2:$G$121, MATCH(C46, data_ois!$F$2:$F$121, 1)+1)</f>
        <v>0.53421356384776308</v>
      </c>
      <c r="I46" s="21">
        <f t="shared" si="2"/>
        <v>0.53997029123535034</v>
      </c>
      <c r="J46" s="21">
        <f t="shared" si="3"/>
        <v>1.2149331552795384</v>
      </c>
      <c r="K46" s="1">
        <f t="shared" si="4"/>
        <v>1.3589424152004654</v>
      </c>
    </row>
    <row r="47" spans="1:11" x14ac:dyDescent="0.45">
      <c r="A47" s="1">
        <f t="shared" si="5"/>
        <v>31</v>
      </c>
      <c r="B47" s="13">
        <f t="shared" si="6"/>
        <v>51705</v>
      </c>
      <c r="C47" s="21">
        <f t="shared" si="0"/>
        <v>15.496235455167694</v>
      </c>
      <c r="D47" s="21">
        <f t="shared" si="1"/>
        <v>2.25</v>
      </c>
      <c r="E47" s="21">
        <f>INDEX(data_ois!$F$2:$F$121, MATCH(C47, data_ois!$F$2:$F$121, 1))</f>
        <v>15.25</v>
      </c>
      <c r="F47" s="21" cm="1">
        <f t="array" ref="F47">INDEX(data_ois!$F$2:$F$121, MATCH(C47, data_ois!$F$2:$F$121, 1)+1)</f>
        <v>15.5</v>
      </c>
      <c r="G47" s="21">
        <f>INDEX(data_ois!$G$2:$G$121, MATCH(C47, data_ois!$F$2:$F$121, 1))</f>
        <v>0.53421356384776308</v>
      </c>
      <c r="H47" s="21" cm="1">
        <f t="array" ref="H47">INDEX(data_ois!$G$2:$G$121, MATCH(C47, data_ois!$F$2:$F$121, 1)+1)</f>
        <v>0.5285027413527571</v>
      </c>
      <c r="I47" s="21">
        <f t="shared" si="2"/>
        <v>0.52858873594200428</v>
      </c>
      <c r="J47" s="21">
        <f t="shared" si="3"/>
        <v>1.1893246558695096</v>
      </c>
      <c r="K47" s="1">
        <f t="shared" si="4"/>
        <v>1.3302984722092834</v>
      </c>
    </row>
    <row r="48" spans="1:11" x14ac:dyDescent="0.45">
      <c r="A48" s="1">
        <f t="shared" si="5"/>
        <v>32</v>
      </c>
      <c r="B48" s="13">
        <f t="shared" si="6"/>
        <v>51889</v>
      </c>
      <c r="C48" s="21">
        <f t="shared" si="0"/>
        <v>16.00064422612337</v>
      </c>
      <c r="D48" s="21">
        <f t="shared" si="1"/>
        <v>2.25</v>
      </c>
      <c r="E48" s="21">
        <f>INDEX(data_ois!$F$2:$F$121, MATCH(C48, data_ois!$F$2:$F$121, 1))</f>
        <v>16</v>
      </c>
      <c r="F48" s="21" cm="1">
        <f t="array" ref="F48">INDEX(data_ois!$F$2:$F$121, MATCH(C48, data_ois!$F$2:$F$121, 1)+1)</f>
        <v>16.25</v>
      </c>
      <c r="G48" s="21">
        <f>INDEX(data_ois!$G$2:$G$121, MATCH(C48, data_ois!$F$2:$F$121, 1))</f>
        <v>0.51726359236098707</v>
      </c>
      <c r="H48" s="21" cm="1">
        <f t="array" ref="H48">INDEX(data_ois!$G$2:$G$121, MATCH(C48, data_ois!$F$2:$F$121, 1)+1)</f>
        <v>0.51173396758353651</v>
      </c>
      <c r="I48" s="21">
        <f t="shared" si="2"/>
        <v>0.51724934304605075</v>
      </c>
      <c r="J48" s="21">
        <f t="shared" si="3"/>
        <v>1.1638110218536142</v>
      </c>
      <c r="K48" s="1">
        <f t="shared" si="4"/>
        <v>1.3017606392598446</v>
      </c>
    </row>
    <row r="49" spans="1:11" x14ac:dyDescent="0.45">
      <c r="A49" s="1">
        <f t="shared" si="5"/>
        <v>33</v>
      </c>
      <c r="B49" s="13">
        <f t="shared" si="6"/>
        <v>52070</v>
      </c>
      <c r="C49" s="21">
        <f t="shared" si="0"/>
        <v>16.496215171525204</v>
      </c>
      <c r="D49" s="21">
        <f t="shared" si="1"/>
        <v>2.25</v>
      </c>
      <c r="E49" s="21">
        <f>INDEX(data_ois!$F$2:$F$121, MATCH(C49, data_ois!$F$2:$F$121, 1))</f>
        <v>16.25</v>
      </c>
      <c r="F49" s="21" cm="1">
        <f t="array" ref="F49">INDEX(data_ois!$F$2:$F$121, MATCH(C49, data_ois!$F$2:$F$121, 1)+1)</f>
        <v>16.5</v>
      </c>
      <c r="G49" s="21">
        <f>INDEX(data_ois!$G$2:$G$121, MATCH(C49, data_ois!$F$2:$F$121, 1))</f>
        <v>0.51173396758353651</v>
      </c>
      <c r="H49" s="21" cm="1">
        <f t="array" ref="H49">INDEX(data_ois!$G$2:$G$121, MATCH(C49, data_ois!$F$2:$F$121, 1)+1)</f>
        <v>0.50626345531783223</v>
      </c>
      <c r="I49" s="21">
        <f t="shared" si="2"/>
        <v>0.50634627512021202</v>
      </c>
      <c r="J49" s="21">
        <f t="shared" si="3"/>
        <v>1.139279119020477</v>
      </c>
      <c r="K49" s="1">
        <f t="shared" si="4"/>
        <v>1.2743209047027153</v>
      </c>
    </row>
    <row r="50" spans="1:11" x14ac:dyDescent="0.45">
      <c r="A50" s="1">
        <f t="shared" si="5"/>
        <v>34</v>
      </c>
      <c r="B50" s="13">
        <f t="shared" si="6"/>
        <v>52254</v>
      </c>
      <c r="C50" s="21">
        <f t="shared" si="0"/>
        <v>17.000608457560084</v>
      </c>
      <c r="D50" s="21">
        <f t="shared" si="1"/>
        <v>2.25</v>
      </c>
      <c r="E50" s="21">
        <f>INDEX(data_ois!$F$2:$F$121, MATCH(C50, data_ois!$F$2:$F$121, 1))</f>
        <v>17</v>
      </c>
      <c r="F50" s="21" cm="1">
        <f t="array" ref="F50">INDEX(data_ois!$F$2:$F$121, MATCH(C50, data_ois!$F$2:$F$121, 1)+1)</f>
        <v>17.25</v>
      </c>
      <c r="G50" s="21">
        <f>INDEX(data_ois!$G$2:$G$121, MATCH(C50, data_ois!$F$2:$F$121, 1))</f>
        <v>0.4954972473908093</v>
      </c>
      <c r="H50" s="21" cm="1">
        <f t="array" ref="H50">INDEX(data_ois!$G$2:$G$121, MATCH(C50, data_ois!$F$2:$F$121, 1)+1)</f>
        <v>0.49020030808018672</v>
      </c>
      <c r="I50" s="21">
        <f t="shared" si="2"/>
        <v>0.49548435553973391</v>
      </c>
      <c r="J50" s="21">
        <f t="shared" si="3"/>
        <v>1.1148397999644013</v>
      </c>
      <c r="K50" s="1">
        <f t="shared" si="4"/>
        <v>1.2469847281241142</v>
      </c>
    </row>
    <row r="51" spans="1:11" x14ac:dyDescent="0.45">
      <c r="A51" s="1">
        <f t="shared" si="5"/>
        <v>35</v>
      </c>
      <c r="B51" s="13">
        <f t="shared" si="6"/>
        <v>52435</v>
      </c>
      <c r="C51" s="21">
        <f t="shared" si="0"/>
        <v>17.496197140249468</v>
      </c>
      <c r="D51" s="21">
        <f t="shared" si="1"/>
        <v>2.25</v>
      </c>
      <c r="E51" s="21">
        <f>INDEX(data_ois!$F$2:$F$121, MATCH(C51, data_ois!$F$2:$F$121, 1))</f>
        <v>17.25</v>
      </c>
      <c r="F51" s="21" cm="1">
        <f t="array" ref="F51">INDEX(data_ois!$F$2:$F$121, MATCH(C51, data_ois!$F$2:$F$121, 1)+1)</f>
        <v>17.5</v>
      </c>
      <c r="G51" s="21">
        <f>INDEX(data_ois!$G$2:$G$121, MATCH(C51, data_ois!$F$2:$F$121, 1))</f>
        <v>0.49020030808018672</v>
      </c>
      <c r="H51" s="21" cm="1">
        <f t="array" ref="H51">INDEX(data_ois!$G$2:$G$121, MATCH(C51, data_ois!$F$2:$F$121, 1)+1)</f>
        <v>0.48495999383904365</v>
      </c>
      <c r="I51" s="21">
        <f t="shared" si="2"/>
        <v>0.48503970655947476</v>
      </c>
      <c r="J51" s="21">
        <f t="shared" si="3"/>
        <v>1.0913393397588182</v>
      </c>
      <c r="K51" s="1">
        <f t="shared" si="4"/>
        <v>1.2206986958339265</v>
      </c>
    </row>
    <row r="52" spans="1:11" x14ac:dyDescent="0.45">
      <c r="A52" s="1">
        <f t="shared" si="5"/>
        <v>36</v>
      </c>
      <c r="B52" s="13">
        <f t="shared" si="6"/>
        <v>52619</v>
      </c>
      <c r="C52" s="21">
        <f t="shared" si="0"/>
        <v>17.997982708933719</v>
      </c>
      <c r="D52" s="21">
        <f t="shared" si="1"/>
        <v>2.25</v>
      </c>
      <c r="E52" s="21">
        <f>INDEX(data_ois!$F$2:$F$121, MATCH(C52, data_ois!$F$2:$F$121, 1))</f>
        <v>17.75</v>
      </c>
      <c r="F52" s="21" cm="1">
        <f t="array" ref="F52">INDEX(data_ois!$F$2:$F$121, MATCH(C52, data_ois!$F$2:$F$121, 1)+1)</f>
        <v>18</v>
      </c>
      <c r="G52" s="21">
        <f>INDEX(data_ois!$G$2:$G$121, MATCH(C52, data_ois!$F$2:$F$121, 1))</f>
        <v>0.47977569933696085</v>
      </c>
      <c r="H52" s="21" cm="1">
        <f t="array" ref="H52">INDEX(data_ois!$G$2:$G$121, MATCH(C52, data_ois!$F$2:$F$121, 1)+1)</f>
        <v>0.47464682571459138</v>
      </c>
      <c r="I52" s="21">
        <f t="shared" si="2"/>
        <v>0.47468821143834533</v>
      </c>
      <c r="J52" s="21">
        <f t="shared" si="3"/>
        <v>1.0680484757362769</v>
      </c>
      <c r="K52" s="1">
        <f t="shared" si="4"/>
        <v>1.1946471037201074</v>
      </c>
    </row>
    <row r="53" spans="1:11" x14ac:dyDescent="0.45">
      <c r="A53" s="1">
        <f t="shared" si="5"/>
        <v>37</v>
      </c>
      <c r="B53" s="13">
        <f t="shared" si="6"/>
        <v>52801</v>
      </c>
      <c r="C53" s="21">
        <f t="shared" si="0"/>
        <v>18.496253602305476</v>
      </c>
      <c r="D53" s="21">
        <f t="shared" si="1"/>
        <v>2.25</v>
      </c>
      <c r="E53" s="21">
        <f>INDEX(data_ois!$F$2:$F$121, MATCH(C53, data_ois!$F$2:$F$121, 1))</f>
        <v>18.25</v>
      </c>
      <c r="F53" s="21" cm="1">
        <f t="array" ref="F53">INDEX(data_ois!$F$2:$F$121, MATCH(C53, data_ois!$F$2:$F$121, 1)+1)</f>
        <v>18.5</v>
      </c>
      <c r="G53" s="21">
        <f>INDEX(data_ois!$G$2:$G$121, MATCH(C53, data_ois!$F$2:$F$121, 1))</f>
        <v>0.46957278051448381</v>
      </c>
      <c r="H53" s="21" cm="1">
        <f t="array" ref="H53">INDEX(data_ois!$G$2:$G$121, MATCH(C53, data_ois!$F$2:$F$121, 1)+1)</f>
        <v>0.46455297761264502</v>
      </c>
      <c r="I53" s="21">
        <f t="shared" si="2"/>
        <v>0.46462820232471869</v>
      </c>
      <c r="J53" s="21">
        <f t="shared" si="3"/>
        <v>1.0454134552306171</v>
      </c>
      <c r="K53" s="1">
        <f t="shared" si="4"/>
        <v>1.169329094000473</v>
      </c>
    </row>
    <row r="54" spans="1:11" x14ac:dyDescent="0.45">
      <c r="A54" s="1">
        <f t="shared" si="5"/>
        <v>38</v>
      </c>
      <c r="B54" s="13">
        <f t="shared" si="6"/>
        <v>52985</v>
      </c>
      <c r="C54" s="21">
        <f t="shared" si="0"/>
        <v>19.000684462696782</v>
      </c>
      <c r="D54" s="21">
        <f t="shared" si="1"/>
        <v>2.25</v>
      </c>
      <c r="E54" s="21">
        <f>INDEX(data_ois!$F$2:$F$121, MATCH(C54, data_ois!$F$2:$F$121, 1))</f>
        <v>19</v>
      </c>
      <c r="F54" s="21" cm="1">
        <f t="array" ref="F54">INDEX(data_ois!$F$2:$F$121, MATCH(C54, data_ois!$F$2:$F$121, 1)+1)</f>
        <v>19.25</v>
      </c>
      <c r="G54" s="21">
        <f>INDEX(data_ois!$G$2:$G$121, MATCH(C54, data_ois!$F$2:$F$121, 1))</f>
        <v>0.45467378546958298</v>
      </c>
      <c r="H54" s="21" cm="1">
        <f t="array" ref="H54">INDEX(data_ois!$G$2:$G$121, MATCH(C54, data_ois!$F$2:$F$121, 1)+1)</f>
        <v>0.44981325504192576</v>
      </c>
      <c r="I54" s="21">
        <f t="shared" si="2"/>
        <v>0.45466047806252574</v>
      </c>
      <c r="J54" s="21">
        <f t="shared" si="3"/>
        <v>1.022986075640683</v>
      </c>
      <c r="K54" s="1">
        <f t="shared" si="4"/>
        <v>1.1442433374268528</v>
      </c>
    </row>
    <row r="55" spans="1:11" x14ac:dyDescent="0.45">
      <c r="A55" s="1">
        <f t="shared" si="5"/>
        <v>39</v>
      </c>
      <c r="B55" s="13">
        <f t="shared" si="6"/>
        <v>53166</v>
      </c>
      <c r="C55" s="21">
        <f t="shared" si="0"/>
        <v>19.496235455167692</v>
      </c>
      <c r="D55" s="21">
        <f t="shared" si="1"/>
        <v>2.25</v>
      </c>
      <c r="E55" s="21">
        <f>INDEX(data_ois!$F$2:$F$121, MATCH(C55, data_ois!$F$2:$F$121, 1))</f>
        <v>19.25</v>
      </c>
      <c r="F55" s="21" cm="1">
        <f t="array" ref="F55">INDEX(data_ois!$F$2:$F$121, MATCH(C55, data_ois!$F$2:$F$121, 1)+1)</f>
        <v>19.5</v>
      </c>
      <c r="G55" s="21">
        <f>INDEX(data_ois!$G$2:$G$121, MATCH(C55, data_ois!$F$2:$F$121, 1))</f>
        <v>0.44981325504192576</v>
      </c>
      <c r="H55" s="21" cm="1">
        <f t="array" ref="H55">INDEX(data_ois!$G$2:$G$121, MATCH(C55, data_ois!$F$2:$F$121, 1)+1)</f>
        <v>0.44500468440784624</v>
      </c>
      <c r="I55" s="21">
        <f t="shared" si="2"/>
        <v>0.44507709272677148</v>
      </c>
      <c r="J55" s="21">
        <f t="shared" si="3"/>
        <v>1.0014234586352357</v>
      </c>
      <c r="K55" s="1">
        <f t="shared" si="4"/>
        <v>1.1201248460480553</v>
      </c>
    </row>
    <row r="56" spans="1:11" x14ac:dyDescent="0.45">
      <c r="A56" s="1">
        <f t="shared" si="5"/>
        <v>40</v>
      </c>
      <c r="B56" s="13">
        <f t="shared" si="6"/>
        <v>53350</v>
      </c>
      <c r="C56" s="21">
        <f t="shared" si="0"/>
        <v>20.000651890482398</v>
      </c>
      <c r="D56" s="21">
        <f t="shared" si="1"/>
        <v>2.25</v>
      </c>
      <c r="E56" s="21">
        <f>INDEX(data_ois!$F$2:$F$121, MATCH(C56, data_ois!$F$2:$F$121, 1))</f>
        <v>20</v>
      </c>
      <c r="F56" s="21" cm="1">
        <f t="array" ref="F56">INDEX(data_ois!$F$2:$F$121, MATCH(C56, data_ois!$F$2:$F$121, 1)+1)</f>
        <v>20.25</v>
      </c>
      <c r="G56" s="21">
        <f>INDEX(data_ois!$G$2:$G$121, MATCH(C56, data_ois!$F$2:$F$121, 1))</f>
        <v>0.43554120662664569</v>
      </c>
      <c r="H56" s="21" cm="1">
        <f t="array" ref="H56">INDEX(data_ois!$G$2:$G$121, MATCH(C56, data_ois!$F$2:$F$121, 1)+1)</f>
        <v>0.43088520631397981</v>
      </c>
      <c r="I56" s="21">
        <f t="shared" si="2"/>
        <v>0.43552906581748618</v>
      </c>
      <c r="J56" s="21">
        <f t="shared" si="3"/>
        <v>0.97994039808934397</v>
      </c>
      <c r="K56" s="1">
        <f t="shared" si="4"/>
        <v>1.0960953411676693</v>
      </c>
    </row>
    <row r="57" spans="1:11" x14ac:dyDescent="0.45">
      <c r="A57" s="1">
        <f t="shared" si="5"/>
        <v>41</v>
      </c>
      <c r="B57" s="13">
        <f t="shared" si="6"/>
        <v>53531</v>
      </c>
      <c r="C57" s="21">
        <f t="shared" si="0"/>
        <v>20.496219035202085</v>
      </c>
      <c r="D57" s="21">
        <f t="shared" si="1"/>
        <v>2.25</v>
      </c>
      <c r="E57" s="21">
        <f>INDEX(data_ois!$F$2:$F$121, MATCH(C57, data_ois!$F$2:$F$121, 1))</f>
        <v>20.25</v>
      </c>
      <c r="F57" s="21" cm="1">
        <f t="array" ref="F57">INDEX(data_ois!$F$2:$F$121, MATCH(C57, data_ois!$F$2:$F$121, 1)+1)</f>
        <v>20.5</v>
      </c>
      <c r="G57" s="21">
        <f>INDEX(data_ois!$G$2:$G$121, MATCH(C57, data_ois!$F$2:$F$121, 1))</f>
        <v>0.43088520631397981</v>
      </c>
      <c r="H57" s="21" cm="1">
        <f t="array" ref="H57">INDEX(data_ois!$G$2:$G$121, MATCH(C57, data_ois!$F$2:$F$121, 1)+1)</f>
        <v>0.42627897933752584</v>
      </c>
      <c r="I57" s="21">
        <f t="shared" si="2"/>
        <v>0.42634864326572258</v>
      </c>
      <c r="J57" s="21">
        <f t="shared" si="3"/>
        <v>0.95928444734787577</v>
      </c>
      <c r="K57" s="1">
        <f t="shared" si="4"/>
        <v>1.0729909856178252</v>
      </c>
    </row>
    <row r="58" spans="1:11" x14ac:dyDescent="0.45">
      <c r="A58" s="1">
        <f t="shared" si="5"/>
        <v>42</v>
      </c>
      <c r="B58" s="13">
        <f t="shared" si="6"/>
        <v>53715</v>
      </c>
      <c r="C58" s="21">
        <f t="shared" si="0"/>
        <v>21.000622277535779</v>
      </c>
      <c r="D58" s="21">
        <f t="shared" si="1"/>
        <v>2.25</v>
      </c>
      <c r="E58" s="21">
        <f>INDEX(data_ois!$F$2:$F$121, MATCH(C58, data_ois!$F$2:$F$121, 1))</f>
        <v>21</v>
      </c>
      <c r="F58" s="21" cm="1">
        <f t="array" ref="F58">INDEX(data_ois!$F$2:$F$121, MATCH(C58, data_ois!$F$2:$F$121, 1)+1)</f>
        <v>21.25</v>
      </c>
      <c r="G58" s="21">
        <f>INDEX(data_ois!$G$2:$G$121, MATCH(C58, data_ois!$F$2:$F$121, 1))</f>
        <v>0.41721372274383056</v>
      </c>
      <c r="H58" s="21" cm="1">
        <f t="array" ref="H58">INDEX(data_ois!$G$2:$G$121, MATCH(C58, data_ois!$F$2:$F$121, 1)+1)</f>
        <v>0.41275364596122444</v>
      </c>
      <c r="I58" s="21">
        <f t="shared" si="2"/>
        <v>0.41720262112147188</v>
      </c>
      <c r="J58" s="21">
        <f t="shared" si="3"/>
        <v>0.93870589752331179</v>
      </c>
      <c r="K58" s="1">
        <f t="shared" si="4"/>
        <v>1.0499732055215352</v>
      </c>
    </row>
    <row r="59" spans="1:11" x14ac:dyDescent="0.45">
      <c r="A59" s="1">
        <f t="shared" si="5"/>
        <v>43</v>
      </c>
      <c r="B59" s="13">
        <f t="shared" si="6"/>
        <v>53896</v>
      </c>
      <c r="C59" s="21">
        <f t="shared" si="0"/>
        <v>21.496204107031733</v>
      </c>
      <c r="D59" s="21">
        <f t="shared" si="1"/>
        <v>2.25</v>
      </c>
      <c r="E59" s="21">
        <f>INDEX(data_ois!$F$2:$F$121, MATCH(C59, data_ois!$F$2:$F$121, 1))</f>
        <v>21.25</v>
      </c>
      <c r="F59" s="21" cm="1">
        <f t="array" ref="F59">INDEX(data_ois!$F$2:$F$121, MATCH(C59, data_ois!$F$2:$F$121, 1)+1)</f>
        <v>21.5</v>
      </c>
      <c r="G59" s="21">
        <f>INDEX(data_ois!$G$2:$G$121, MATCH(C59, data_ois!$F$2:$F$121, 1))</f>
        <v>0.41275364596122444</v>
      </c>
      <c r="H59" s="21" cm="1">
        <f t="array" ref="H59">INDEX(data_ois!$G$2:$G$121, MATCH(C59, data_ois!$F$2:$F$121, 1)+1)</f>
        <v>0.40834124806313798</v>
      </c>
      <c r="I59" s="21">
        <f t="shared" si="2"/>
        <v>0.40840824402375614</v>
      </c>
      <c r="J59" s="21">
        <f t="shared" si="3"/>
        <v>0.91891854905345127</v>
      </c>
      <c r="K59" s="1">
        <f t="shared" si="4"/>
        <v>1.0278404099819662</v>
      </c>
    </row>
    <row r="60" spans="1:11" x14ac:dyDescent="0.45">
      <c r="A60" s="1">
        <f t="shared" si="5"/>
        <v>44</v>
      </c>
      <c r="B60" s="13">
        <f t="shared" si="6"/>
        <v>54080</v>
      </c>
      <c r="C60" s="21">
        <f t="shared" si="0"/>
        <v>21.997976431377218</v>
      </c>
      <c r="D60" s="21">
        <f t="shared" si="1"/>
        <v>2.25</v>
      </c>
      <c r="E60" s="21">
        <f>INDEX(data_ois!$F$2:$F$121, MATCH(C60, data_ois!$F$2:$F$121, 1))</f>
        <v>21.75</v>
      </c>
      <c r="F60" s="21" cm="1">
        <f t="array" ref="F60">INDEX(data_ois!$F$2:$F$121, MATCH(C60, data_ois!$F$2:$F$121, 1)+1)</f>
        <v>22</v>
      </c>
      <c r="G60" s="21">
        <f>INDEX(data_ois!$G$2:$G$121, MATCH(C60, data_ois!$F$2:$F$121, 1))</f>
        <v>0.40397601935520061</v>
      </c>
      <c r="H60" s="21" cm="1">
        <f t="array" ref="H60">INDEX(data_ois!$G$2:$G$121, MATCH(C60, data_ois!$F$2:$F$121, 1)+1)</f>
        <v>0.39965745559175014</v>
      </c>
      <c r="I60" s="21">
        <f t="shared" si="2"/>
        <v>0.39969241123225896</v>
      </c>
      <c r="J60" s="21">
        <f t="shared" si="3"/>
        <v>0.89930792527258263</v>
      </c>
      <c r="K60" s="1">
        <f t="shared" si="4"/>
        <v>1.0059052867790526</v>
      </c>
    </row>
    <row r="61" spans="1:11" x14ac:dyDescent="0.45">
      <c r="A61" s="1">
        <f t="shared" si="5"/>
        <v>45</v>
      </c>
      <c r="B61" s="13">
        <f t="shared" si="6"/>
        <v>54262</v>
      </c>
      <c r="C61" s="21">
        <f t="shared" si="0"/>
        <v>22.496250446375431</v>
      </c>
      <c r="D61" s="21">
        <f t="shared" si="1"/>
        <v>2.25</v>
      </c>
      <c r="E61" s="21">
        <f>INDEX(data_ois!$F$2:$F$121, MATCH(C61, data_ois!$F$2:$F$121, 1))</f>
        <v>22.25</v>
      </c>
      <c r="F61" s="21" cm="1">
        <f t="array" ref="F61">INDEX(data_ois!$F$2:$F$121, MATCH(C61, data_ois!$F$2:$F$121, 1)+1)</f>
        <v>22.5</v>
      </c>
      <c r="G61" s="21">
        <f>INDEX(data_ois!$G$2:$G$121, MATCH(C61, data_ois!$F$2:$F$121, 1))</f>
        <v>0.39538505791758577</v>
      </c>
      <c r="H61" s="21" cm="1">
        <f t="array" ref="H61">INDEX(data_ois!$G$2:$G$121, MATCH(C61, data_ois!$F$2:$F$121, 1)+1)</f>
        <v>0.3911583328103429</v>
      </c>
      <c r="I61" s="21">
        <f t="shared" si="2"/>
        <v>0.39122172614012657</v>
      </c>
      <c r="J61" s="21">
        <f t="shared" si="3"/>
        <v>0.88024888381528477</v>
      </c>
      <c r="K61" s="1">
        <f t="shared" si="4"/>
        <v>0.9845871264203232</v>
      </c>
    </row>
    <row r="62" spans="1:11" x14ac:dyDescent="0.45">
      <c r="A62" s="1">
        <f t="shared" si="5"/>
        <v>46</v>
      </c>
      <c r="B62" s="13">
        <f t="shared" si="6"/>
        <v>54446</v>
      </c>
      <c r="C62" s="21">
        <f t="shared" si="0"/>
        <v>23.000684462696782</v>
      </c>
      <c r="D62" s="21">
        <f t="shared" si="1"/>
        <v>2.25</v>
      </c>
      <c r="E62" s="21">
        <f>INDEX(data_ois!$F$2:$F$121, MATCH(C62, data_ois!$F$2:$F$121, 1))</f>
        <v>23</v>
      </c>
      <c r="F62" s="21" cm="1">
        <f t="array" ref="F62">INDEX(data_ois!$F$2:$F$121, MATCH(C62, data_ois!$F$2:$F$121, 1)+1)</f>
        <v>23.25</v>
      </c>
      <c r="G62" s="21">
        <f>INDEX(data_ois!$G$2:$G$121, MATCH(C62, data_ois!$F$2:$F$121, 1))</f>
        <v>0.38283995252990188</v>
      </c>
      <c r="H62" s="21" cm="1">
        <f t="array" ref="H62">INDEX(data_ois!$G$2:$G$121, MATCH(C62, data_ois!$F$2:$F$121, 1)+1)</f>
        <v>0.37874733646611758</v>
      </c>
      <c r="I62" s="21">
        <f t="shared" si="2"/>
        <v>0.38282874755779023</v>
      </c>
      <c r="J62" s="21">
        <f t="shared" si="3"/>
        <v>0.86136468200502803</v>
      </c>
      <c r="K62" s="1">
        <f t="shared" si="4"/>
        <v>0.96346452991725984</v>
      </c>
    </row>
    <row r="63" spans="1:11" x14ac:dyDescent="0.45">
      <c r="A63" s="1">
        <f t="shared" si="5"/>
        <v>47</v>
      </c>
      <c r="B63" s="13">
        <f t="shared" si="6"/>
        <v>54627</v>
      </c>
      <c r="C63" s="21">
        <f t="shared" si="0"/>
        <v>23.496235455167692</v>
      </c>
      <c r="D63" s="21">
        <f t="shared" si="1"/>
        <v>2.25</v>
      </c>
      <c r="E63" s="21">
        <f>INDEX(data_ois!$F$2:$F$121, MATCH(C63, data_ois!$F$2:$F$121, 1))</f>
        <v>23.25</v>
      </c>
      <c r="F63" s="21" cm="1">
        <f t="array" ref="F63">INDEX(data_ois!$F$2:$F$121, MATCH(C63, data_ois!$F$2:$F$121, 1)+1)</f>
        <v>23.5</v>
      </c>
      <c r="G63" s="21">
        <f>INDEX(data_ois!$G$2:$G$121, MATCH(C63, data_ois!$F$2:$F$121, 1))</f>
        <v>0.37874733646611758</v>
      </c>
      <c r="H63" s="21" cm="1">
        <f t="array" ref="H63">INDEX(data_ois!$G$2:$G$121, MATCH(C63, data_ois!$F$2:$F$121, 1)+1)</f>
        <v>0.3746984710770862</v>
      </c>
      <c r="I63" s="21">
        <f t="shared" si="2"/>
        <v>0.37475943961819413</v>
      </c>
      <c r="J63" s="21">
        <f t="shared" si="3"/>
        <v>0.84320873914093686</v>
      </c>
      <c r="K63" s="1">
        <f t="shared" si="4"/>
        <v>0.94315651483120111</v>
      </c>
    </row>
    <row r="64" spans="1:11" x14ac:dyDescent="0.45">
      <c r="A64" s="1">
        <f t="shared" si="5"/>
        <v>48</v>
      </c>
      <c r="B64" s="13">
        <f t="shared" si="6"/>
        <v>54811</v>
      </c>
      <c r="C64" s="21">
        <f t="shared" si="0"/>
        <v>24.000657102179389</v>
      </c>
      <c r="D64" s="21">
        <f t="shared" si="1"/>
        <v>2.25</v>
      </c>
      <c r="E64" s="21">
        <f>INDEX(data_ois!$F$2:$F$121, MATCH(C64, data_ois!$F$2:$F$121, 1))</f>
        <v>24</v>
      </c>
      <c r="F64" s="21" cm="1">
        <f t="array" ref="F64">INDEX(data_ois!$F$2:$F$121, MATCH(C64, data_ois!$F$2:$F$121, 1)+1)</f>
        <v>24.25</v>
      </c>
      <c r="G64" s="21">
        <f>INDEX(data_ois!$G$2:$G$121, MATCH(C64, data_ois!$F$2:$F$121, 1))</f>
        <v>0.36673012651818276</v>
      </c>
      <c r="H64" s="21" cm="1">
        <f t="array" ref="H64">INDEX(data_ois!$G$2:$G$121, MATCH(C64, data_ois!$F$2:$F$121, 1)+1)</f>
        <v>0.36280972689180163</v>
      </c>
      <c r="I64" s="21">
        <f t="shared" si="2"/>
        <v>0.36671982210562848</v>
      </c>
      <c r="J64" s="21">
        <f t="shared" si="3"/>
        <v>0.82511959973766413</v>
      </c>
      <c r="K64" s="1">
        <f t="shared" si="4"/>
        <v>0.9229232215979406</v>
      </c>
    </row>
    <row r="65" spans="1:11" x14ac:dyDescent="0.45">
      <c r="A65" s="1">
        <f t="shared" si="5"/>
        <v>49</v>
      </c>
      <c r="B65" s="13">
        <f t="shared" si="6"/>
        <v>54992</v>
      </c>
      <c r="C65" s="21">
        <f t="shared" si="0"/>
        <v>24.496221662468514</v>
      </c>
      <c r="D65" s="21">
        <f t="shared" si="1"/>
        <v>2.25</v>
      </c>
      <c r="E65" s="21">
        <f>INDEX(data_ois!$F$2:$F$121, MATCH(C65, data_ois!$F$2:$F$121, 1))</f>
        <v>24.25</v>
      </c>
      <c r="F65" s="21" cm="1">
        <f t="array" ref="F65">INDEX(data_ois!$F$2:$F$121, MATCH(C65, data_ois!$F$2:$F$121, 1)+1)</f>
        <v>24.5</v>
      </c>
      <c r="G65" s="21">
        <f>INDEX(data_ois!$G$2:$G$121, MATCH(C65, data_ois!$F$2:$F$121, 1))</f>
        <v>0.36280972689180163</v>
      </c>
      <c r="H65" s="21" cm="1">
        <f t="array" ref="H65">INDEX(data_ois!$G$2:$G$121, MATCH(C65, data_ois!$F$2:$F$121, 1)+1)</f>
        <v>0.35893123692082979</v>
      </c>
      <c r="I65" s="21">
        <f t="shared" si="2"/>
        <v>0.35898985389772103</v>
      </c>
      <c r="J65" s="21">
        <f t="shared" si="3"/>
        <v>0.80772717126987237</v>
      </c>
      <c r="K65" s="1">
        <f t="shared" si="4"/>
        <v>0.90346922230134219</v>
      </c>
    </row>
    <row r="66" spans="1:11" x14ac:dyDescent="0.45">
      <c r="A66" s="1">
        <f t="shared" si="5"/>
        <v>50</v>
      </c>
      <c r="B66" s="13">
        <f t="shared" si="6"/>
        <v>55176</v>
      </c>
      <c r="C66" s="21">
        <f t="shared" si="0"/>
        <v>25.000631844987364</v>
      </c>
      <c r="D66" s="21">
        <f t="shared" si="1"/>
        <v>2.25</v>
      </c>
      <c r="E66" s="21">
        <f>INDEX(data_ois!$F$2:$F$121, MATCH(C66, data_ois!$F$2:$F$121, 1))</f>
        <v>25</v>
      </c>
      <c r="F66" s="21" cm="1">
        <f t="array" ref="F66">INDEX(data_ois!$F$2:$F$121, MATCH(C66, data_ois!$F$2:$F$121, 1)+1)</f>
        <v>25.25</v>
      </c>
      <c r="G66" s="21">
        <f>INDEX(data_ois!$G$2:$G$121, MATCH(C66, data_ois!$F$2:$F$121, 1))</f>
        <v>0.35129819865270678</v>
      </c>
      <c r="H66" s="21" cm="1">
        <f t="array" ref="H66">INDEX(data_ois!$G$2:$G$121, MATCH(C66, data_ois!$F$2:$F$121, 1)+1)</f>
        <v>0.34754276863166617</v>
      </c>
      <c r="I66" s="21">
        <f t="shared" si="2"/>
        <v>0.35128870725417</v>
      </c>
      <c r="J66" s="21">
        <f t="shared" si="3"/>
        <v>0.79039959132188253</v>
      </c>
      <c r="K66" s="1">
        <f t="shared" si="4"/>
        <v>0.88408775819216445</v>
      </c>
    </row>
    <row r="67" spans="1:11" x14ac:dyDescent="0.45">
      <c r="A67" s="1">
        <f t="shared" si="5"/>
        <v>51</v>
      </c>
      <c r="B67" s="13">
        <f t="shared" si="6"/>
        <v>55357</v>
      </c>
      <c r="C67" s="21">
        <f t="shared" si="0"/>
        <v>25.49620893007582</v>
      </c>
      <c r="D67" s="21">
        <f t="shared" si="1"/>
        <v>2.25</v>
      </c>
      <c r="E67" s="21">
        <f>INDEX(data_ois!$F$2:$F$121, MATCH(C67, data_ois!$F$2:$F$121, 1))</f>
        <v>25.25</v>
      </c>
      <c r="F67" s="21" cm="1">
        <f t="array" ref="F67">INDEX(data_ois!$F$2:$F$121, MATCH(C67, data_ois!$F$2:$F$121, 1)+1)</f>
        <v>25.5</v>
      </c>
      <c r="G67" s="21">
        <f>INDEX(data_ois!$G$2:$G$121, MATCH(C67, data_ois!$F$2:$F$121, 1))</f>
        <v>0.34754276863166617</v>
      </c>
      <c r="H67" s="21" cm="1">
        <f t="array" ref="H67">INDEX(data_ois!$G$2:$G$121, MATCH(C67, data_ois!$F$2:$F$121, 1)+1)</f>
        <v>0.34382748471640412</v>
      </c>
      <c r="I67" s="21">
        <f t="shared" si="2"/>
        <v>0.34388382432084785</v>
      </c>
      <c r="J67" s="21">
        <f t="shared" si="3"/>
        <v>0.7737386047219077</v>
      </c>
      <c r="K67" s="1">
        <f t="shared" si="4"/>
        <v>0.86545190051439536</v>
      </c>
    </row>
    <row r="68" spans="1:11" x14ac:dyDescent="0.45">
      <c r="A68" s="1">
        <f t="shared" si="5"/>
        <v>52</v>
      </c>
      <c r="B68" s="13">
        <f t="shared" si="6"/>
        <v>55541</v>
      </c>
      <c r="C68" s="21">
        <f t="shared" si="0"/>
        <v>25.997972013790307</v>
      </c>
      <c r="D68" s="21">
        <f t="shared" si="1"/>
        <v>2.25</v>
      </c>
      <c r="E68" s="21">
        <f>INDEX(data_ois!$F$2:$F$121, MATCH(C68, data_ois!$F$2:$F$121, 1))</f>
        <v>25.75</v>
      </c>
      <c r="F68" s="21" cm="1">
        <f t="array" ref="F68">INDEX(data_ois!$F$2:$F$121, MATCH(C68, data_ois!$F$2:$F$121, 1)+1)</f>
        <v>26</v>
      </c>
      <c r="G68" s="21">
        <f>INDEX(data_ois!$G$2:$G$121, MATCH(C68, data_ois!$F$2:$F$121, 1))</f>
        <v>0.34015191773907572</v>
      </c>
      <c r="H68" s="21" cm="1">
        <f t="array" ref="H68">INDEX(data_ois!$G$2:$G$121, MATCH(C68, data_ois!$F$2:$F$121, 1)+1)</f>
        <v>0.33651564311970389</v>
      </c>
      <c r="I68" s="21">
        <f t="shared" si="2"/>
        <v>0.33654514037883487</v>
      </c>
      <c r="J68" s="21">
        <f t="shared" si="3"/>
        <v>0.75722656585237846</v>
      </c>
      <c r="K68" s="1">
        <f t="shared" si="4"/>
        <v>0.84698264573792237</v>
      </c>
    </row>
    <row r="69" spans="1:11" x14ac:dyDescent="0.45">
      <c r="A69" s="1">
        <f t="shared" si="5"/>
        <v>53</v>
      </c>
      <c r="B69" s="13">
        <f t="shared" si="6"/>
        <v>55723</v>
      </c>
      <c r="C69" s="21">
        <f t="shared" si="0"/>
        <v>26.496248225512069</v>
      </c>
      <c r="D69" s="21">
        <f t="shared" si="1"/>
        <v>2.25</v>
      </c>
      <c r="E69" s="21">
        <f>INDEX(data_ois!$F$2:$F$121, MATCH(C69, data_ois!$F$2:$F$121, 1))</f>
        <v>26.25</v>
      </c>
      <c r="F69" s="21" cm="1">
        <f t="array" ref="F69">INDEX(data_ois!$F$2:$F$121, MATCH(C69, data_ois!$F$2:$F$121, 1)+1)</f>
        <v>26.5</v>
      </c>
      <c r="G69" s="21">
        <f>INDEX(data_ois!$G$2:$G$121, MATCH(C69, data_ois!$F$2:$F$121, 1))</f>
        <v>0.33291824081713506</v>
      </c>
      <c r="H69" s="21" cm="1">
        <f t="array" ref="H69">INDEX(data_ois!$G$2:$G$121, MATCH(C69, data_ois!$F$2:$F$121, 1)+1)</f>
        <v>0.32935929528051794</v>
      </c>
      <c r="I69" s="21">
        <f t="shared" si="2"/>
        <v>0.32941270472479078</v>
      </c>
      <c r="J69" s="21">
        <f t="shared" si="3"/>
        <v>0.74117858563077932</v>
      </c>
      <c r="K69" s="1">
        <f t="shared" si="4"/>
        <v>0.82903245571581241</v>
      </c>
    </row>
    <row r="70" spans="1:11" x14ac:dyDescent="0.45">
      <c r="A70" s="1">
        <f t="shared" si="5"/>
        <v>54</v>
      </c>
      <c r="B70" s="13">
        <f t="shared" si="6"/>
        <v>55907</v>
      </c>
      <c r="C70" s="21">
        <f t="shared" si="0"/>
        <v>27.000684462696782</v>
      </c>
      <c r="D70" s="21">
        <f t="shared" si="1"/>
        <v>2.25</v>
      </c>
      <c r="E70" s="21">
        <f>INDEX(data_ois!$F$2:$F$121, MATCH(C70, data_ois!$F$2:$F$121, 1))</f>
        <v>27</v>
      </c>
      <c r="F70" s="21" cm="1">
        <f t="array" ref="F70">INDEX(data_ois!$F$2:$F$121, MATCH(C70, data_ois!$F$2:$F$121, 1)+1)</f>
        <v>27.25</v>
      </c>
      <c r="G70" s="21">
        <f>INDEX(data_ois!$G$2:$G$121, MATCH(C70, data_ois!$F$2:$F$121, 1))</f>
        <v>0.32235513446574676</v>
      </c>
      <c r="H70" s="21" cm="1">
        <f t="array" ref="H70">INDEX(data_ois!$G$2:$G$121, MATCH(C70, data_ois!$F$2:$F$121, 1)+1)</f>
        <v>0.31890911010794459</v>
      </c>
      <c r="I70" s="21">
        <f t="shared" si="2"/>
        <v>0.3223456997652463</v>
      </c>
      <c r="J70" s="21">
        <f t="shared" si="3"/>
        <v>0.72527782447180411</v>
      </c>
      <c r="K70" s="1">
        <f t="shared" si="4"/>
        <v>0.81124693502358014</v>
      </c>
    </row>
    <row r="71" spans="1:11" x14ac:dyDescent="0.45">
      <c r="A71" s="1">
        <f t="shared" si="5"/>
        <v>55</v>
      </c>
      <c r="B71" s="13">
        <f t="shared" si="6"/>
        <v>56088</v>
      </c>
      <c r="C71" s="21">
        <f t="shared" si="0"/>
        <v>27.496235455167692</v>
      </c>
      <c r="D71" s="21">
        <f t="shared" si="1"/>
        <v>2.25</v>
      </c>
      <c r="E71" s="21">
        <f>INDEX(data_ois!$F$2:$F$121, MATCH(C71, data_ois!$F$2:$F$121, 1))</f>
        <v>27.25</v>
      </c>
      <c r="F71" s="21" cm="1">
        <f t="array" ref="F71">INDEX(data_ois!$F$2:$F$121, MATCH(C71, data_ois!$F$2:$F$121, 1)+1)</f>
        <v>27.5</v>
      </c>
      <c r="G71" s="21">
        <f>INDEX(data_ois!$G$2:$G$121, MATCH(C71, data_ois!$F$2:$F$121, 1))</f>
        <v>0.31890911010794459</v>
      </c>
      <c r="H71" s="21" cm="1">
        <f t="array" ref="H71">INDEX(data_ois!$G$2:$G$121, MATCH(C71, data_ois!$F$2:$F$121, 1)+1)</f>
        <v>0.31549992426333767</v>
      </c>
      <c r="I71" s="21">
        <f t="shared" si="2"/>
        <v>0.31555126039515241</v>
      </c>
      <c r="J71" s="21">
        <f t="shared" si="3"/>
        <v>0.70999033588909288</v>
      </c>
      <c r="K71" s="1">
        <f t="shared" si="4"/>
        <v>0.79414737973803917</v>
      </c>
    </row>
    <row r="72" spans="1:11" x14ac:dyDescent="0.45">
      <c r="A72" s="1">
        <f t="shared" si="5"/>
        <v>56</v>
      </c>
      <c r="B72" s="13">
        <f t="shared" si="6"/>
        <v>56272</v>
      </c>
      <c r="C72" s="21">
        <f t="shared" si="0"/>
        <v>28.00066087613293</v>
      </c>
      <c r="D72" s="21">
        <f t="shared" si="1"/>
        <v>2.25</v>
      </c>
      <c r="E72" s="21">
        <f>INDEX(data_ois!$F$2:$F$121, MATCH(C72, data_ois!$F$2:$F$121, 1))</f>
        <v>28</v>
      </c>
      <c r="F72" s="21" cm="1">
        <f t="array" ref="F72">INDEX(data_ois!$F$2:$F$121, MATCH(C72, data_ois!$F$2:$F$121, 1)+1)</f>
        <v>28.25</v>
      </c>
      <c r="G72" s="21">
        <f>INDEX(data_ois!$G$2:$G$121, MATCH(C72, data_ois!$F$2:$F$121, 1))</f>
        <v>0.30879049708683604</v>
      </c>
      <c r="H72" s="21" cm="1">
        <f t="array" ref="H72">INDEX(data_ois!$G$2:$G$121, MATCH(C72, data_ois!$F$2:$F$121, 1)+1)</f>
        <v>0.30548948072119742</v>
      </c>
      <c r="I72" s="21">
        <f t="shared" si="2"/>
        <v>0.30878177083511421</v>
      </c>
      <c r="J72" s="21">
        <f t="shared" si="3"/>
        <v>0.69475898437900696</v>
      </c>
      <c r="K72" s="1">
        <f t="shared" si="4"/>
        <v>0.77711061560172667</v>
      </c>
    </row>
    <row r="73" spans="1:11" x14ac:dyDescent="0.45">
      <c r="A73" s="1">
        <f t="shared" si="5"/>
        <v>57</v>
      </c>
      <c r="B73" s="13">
        <f t="shared" si="6"/>
        <v>56453</v>
      </c>
      <c r="C73" s="21">
        <f t="shared" si="0"/>
        <v>28.496223564954683</v>
      </c>
      <c r="D73" s="21">
        <f t="shared" si="1"/>
        <v>2.25</v>
      </c>
      <c r="E73" s="21">
        <f>INDEX(data_ois!$F$2:$F$121, MATCH(C73, data_ois!$F$2:$F$121, 1))</f>
        <v>28.25</v>
      </c>
      <c r="F73" s="21" cm="1">
        <f t="array" ref="F73">INDEX(data_ois!$F$2:$F$121, MATCH(C73, data_ois!$F$2:$F$121, 1)+1)</f>
        <v>28.5</v>
      </c>
      <c r="G73" s="21">
        <f>INDEX(data_ois!$G$2:$G$121, MATCH(C73, data_ois!$F$2:$F$121, 1))</f>
        <v>0.30548948072119742</v>
      </c>
      <c r="H73" s="21" cm="1">
        <f t="array" ref="H73">INDEX(data_ois!$G$2:$G$121, MATCH(C73, data_ois!$F$2:$F$121, 1)+1)</f>
        <v>0.3022237527117389</v>
      </c>
      <c r="I73" s="21">
        <f t="shared" si="2"/>
        <v>0.30227308395055247</v>
      </c>
      <c r="J73" s="21">
        <f t="shared" si="3"/>
        <v>0.68011443888874301</v>
      </c>
      <c r="K73" s="1">
        <f t="shared" si="4"/>
        <v>0.76073021316429923</v>
      </c>
    </row>
    <row r="74" spans="1:11" x14ac:dyDescent="0.45">
      <c r="A74" s="1">
        <f t="shared" si="5"/>
        <v>58</v>
      </c>
      <c r="B74" s="13">
        <f t="shared" si="6"/>
        <v>56637</v>
      </c>
      <c r="C74" s="21">
        <f t="shared" si="0"/>
        <v>29.000638861002098</v>
      </c>
      <c r="D74" s="21">
        <f t="shared" si="1"/>
        <v>2.25</v>
      </c>
      <c r="E74" s="21">
        <f>INDEX(data_ois!$F$2:$F$121, MATCH(C74, data_ois!$F$2:$F$121, 1))</f>
        <v>29</v>
      </c>
      <c r="F74" s="21" cm="1">
        <f t="array" ref="F74">INDEX(data_ois!$F$2:$F$121, MATCH(C74, data_ois!$F$2:$F$121, 1)+1)</f>
        <v>29.25</v>
      </c>
      <c r="G74" s="21">
        <f>INDEX(data_ois!$G$2:$G$121, MATCH(C74, data_ois!$F$2:$F$121, 1))</f>
        <v>0.29579665684297424</v>
      </c>
      <c r="H74" s="21" cm="1">
        <f t="array" ref="H74">INDEX(data_ois!$G$2:$G$121, MATCH(C74, data_ois!$F$2:$F$121, 1)+1)</f>
        <v>0.29263454656318394</v>
      </c>
      <c r="I74" s="21">
        <f t="shared" si="2"/>
        <v>0.29578857624720589</v>
      </c>
      <c r="J74" s="21">
        <f t="shared" si="3"/>
        <v>0.66552429655621326</v>
      </c>
      <c r="K74" s="1">
        <f t="shared" si="4"/>
        <v>0.7444106624356629</v>
      </c>
    </row>
    <row r="75" spans="1:11" x14ac:dyDescent="0.45">
      <c r="A75" s="1">
        <f t="shared" si="5"/>
        <v>59</v>
      </c>
      <c r="B75" s="13">
        <f t="shared" si="6"/>
        <v>56818</v>
      </c>
      <c r="C75" s="21">
        <f t="shared" si="0"/>
        <v>29.496212466916127</v>
      </c>
      <c r="D75" s="21">
        <f t="shared" si="1"/>
        <v>2.25</v>
      </c>
      <c r="E75" s="21">
        <f>INDEX(data_ois!$F$2:$F$121, MATCH(C75, data_ois!$F$2:$F$121, 1))</f>
        <v>29.25</v>
      </c>
      <c r="F75" s="21" cm="1">
        <f t="array" ref="F75">INDEX(data_ois!$F$2:$F$121, MATCH(C75, data_ois!$F$2:$F$121, 1)+1)</f>
        <v>29.5</v>
      </c>
      <c r="G75" s="21">
        <f>INDEX(data_ois!$G$2:$G$121, MATCH(C75, data_ois!$F$2:$F$121, 1))</f>
        <v>0.29263454656318394</v>
      </c>
      <c r="H75" s="21" cm="1">
        <f t="array" ref="H75">INDEX(data_ois!$G$2:$G$121, MATCH(C75, data_ois!$F$2:$F$121, 1)+1)</f>
        <v>0.289506239712845</v>
      </c>
      <c r="I75" s="21">
        <f t="shared" si="2"/>
        <v>0.28955363397561368</v>
      </c>
      <c r="J75" s="21">
        <f t="shared" si="3"/>
        <v>0.65149567644513073</v>
      </c>
      <c r="K75" s="1">
        <f t="shared" si="4"/>
        <v>0.72871919265163365</v>
      </c>
    </row>
    <row r="76" spans="1:11" x14ac:dyDescent="0.45">
      <c r="A76" s="1">
        <f t="shared" si="5"/>
        <v>60</v>
      </c>
      <c r="B76" s="13">
        <f t="shared" si="6"/>
        <v>57002</v>
      </c>
      <c r="C76" s="21">
        <f t="shared" si="0"/>
        <v>29.997968736200654</v>
      </c>
      <c r="D76" s="21">
        <f t="shared" si="1"/>
        <v>2.25</v>
      </c>
      <c r="E76" s="21">
        <f>INDEX(data_ois!$F$2:$F$121, MATCH(C76, data_ois!$F$2:$F$121, 1))</f>
        <v>29.75</v>
      </c>
      <c r="F76" s="21" cm="1">
        <f t="array" ref="F76">INDEX(data_ois!$F$2:$F$121, MATCH(C76, data_ois!$F$2:$F$121, 1)+1)</f>
        <v>30</v>
      </c>
      <c r="G76" s="21">
        <f>INDEX(data_ois!$G$2:$G$121, MATCH(C76, data_ois!$F$2:$F$121, 1))</f>
        <v>0.28641137492826624</v>
      </c>
      <c r="H76" s="21" cm="1">
        <f t="array" ref="H76">INDEX(data_ois!$G$2:$G$121, MATCH(C76, data_ois!$F$2:$F$121, 1)+1)</f>
        <v>0.28334959470878823</v>
      </c>
      <c r="I76" s="21">
        <f t="shared" si="2"/>
        <v>0.28337447184207376</v>
      </c>
      <c r="J76" s="21">
        <f t="shared" si="3"/>
        <v>0.63759256164466593</v>
      </c>
      <c r="K76" s="1">
        <f t="shared" si="4"/>
        <v>0.71316810465666836</v>
      </c>
    </row>
    <row r="77" spans="1:11" x14ac:dyDescent="0.45">
      <c r="A77" s="1" t="str">
        <f t="shared" si="5"/>
        <v/>
      </c>
      <c r="B77" s="13" t="str">
        <f t="shared" si="6"/>
        <v/>
      </c>
      <c r="C77" s="1" t="str">
        <f t="shared" ref="C77:C82" si="7">IF(B77="","",YEARFRAC($B$2, B77, 1))</f>
        <v/>
      </c>
      <c r="D77" s="1" t="str">
        <f t="shared" ref="D77:D82" si="8">IF(B77="","",IF(B77=$B$4, ($B$5/$B$6)*$B$7 + $B$7, ($B$5/$B$6)*$B$7))</f>
        <v/>
      </c>
    </row>
    <row r="78" spans="1:11" x14ac:dyDescent="0.45">
      <c r="A78" s="1" t="str">
        <f t="shared" si="5"/>
        <v/>
      </c>
      <c r="B78" s="13" t="str">
        <f t="shared" si="6"/>
        <v/>
      </c>
      <c r="C78" s="1" t="str">
        <f t="shared" si="7"/>
        <v/>
      </c>
      <c r="D78" s="1" t="str">
        <f t="shared" si="8"/>
        <v/>
      </c>
    </row>
    <row r="79" spans="1:11" x14ac:dyDescent="0.45">
      <c r="A79" s="1" t="str">
        <f t="shared" si="5"/>
        <v/>
      </c>
      <c r="B79" s="13" t="str">
        <f t="shared" si="6"/>
        <v/>
      </c>
      <c r="C79" s="1" t="str">
        <f t="shared" si="7"/>
        <v/>
      </c>
      <c r="D79" s="1" t="str">
        <f t="shared" si="8"/>
        <v/>
      </c>
    </row>
    <row r="80" spans="1:11" x14ac:dyDescent="0.45">
      <c r="A80" s="1" t="str">
        <f t="shared" si="5"/>
        <v/>
      </c>
      <c r="B80" s="13" t="str">
        <f t="shared" si="6"/>
        <v/>
      </c>
      <c r="C80" s="1" t="str">
        <f t="shared" si="7"/>
        <v/>
      </c>
      <c r="D80" s="1" t="str">
        <f t="shared" si="8"/>
        <v/>
      </c>
    </row>
    <row r="81" spans="1:4" x14ac:dyDescent="0.45">
      <c r="A81" s="1" t="str">
        <f t="shared" si="5"/>
        <v/>
      </c>
      <c r="B81" s="13" t="str">
        <f t="shared" si="6"/>
        <v/>
      </c>
      <c r="C81" s="1" t="str">
        <f t="shared" si="7"/>
        <v/>
      </c>
      <c r="D81" s="1" t="str">
        <f t="shared" si="8"/>
        <v/>
      </c>
    </row>
    <row r="82" spans="1:4" x14ac:dyDescent="0.45">
      <c r="A82" s="1" t="str">
        <f t="shared" si="5"/>
        <v/>
      </c>
      <c r="B82" s="13" t="str">
        <f t="shared" si="6"/>
        <v/>
      </c>
      <c r="C82" s="1" t="str">
        <f t="shared" si="7"/>
        <v/>
      </c>
      <c r="D82" s="1" t="str">
        <f t="shared" si="8"/>
        <v/>
      </c>
    </row>
    <row r="83" spans="1:4" x14ac:dyDescent="0.45">
      <c r="A83" s="1" t="str">
        <f t="shared" ref="A83:A110" si="9">IF(B82="","",IF(B82&lt;$B$4,A82+1,""))</f>
        <v/>
      </c>
      <c r="B83" s="13" t="str">
        <f t="shared" ref="B83:B110" si="10">IF(A83="","",EDATE(B82,12/$B$6))</f>
        <v/>
      </c>
      <c r="C83" s="1" t="str">
        <f t="shared" ref="C83:C110" si="11">IF(B83="","",YEARFRAC($B$2, B83, 1))</f>
        <v/>
      </c>
      <c r="D83" s="1" t="str">
        <f t="shared" ref="D83:D110" si="12">IF(B83="","",IF(B83=$B$4, ($B$5/$B$6)*$B$7 + $B$7, ($B$5/$B$6)*$B$7))</f>
        <v/>
      </c>
    </row>
    <row r="84" spans="1:4" x14ac:dyDescent="0.45">
      <c r="A84" s="1" t="str">
        <f t="shared" si="9"/>
        <v/>
      </c>
      <c r="B84" s="13" t="str">
        <f t="shared" si="10"/>
        <v/>
      </c>
      <c r="C84" s="1" t="str">
        <f t="shared" si="11"/>
        <v/>
      </c>
      <c r="D84" s="1" t="str">
        <f t="shared" si="12"/>
        <v/>
      </c>
    </row>
    <row r="85" spans="1:4" x14ac:dyDescent="0.45">
      <c r="A85" s="1" t="str">
        <f t="shared" si="9"/>
        <v/>
      </c>
      <c r="B85" s="13" t="str">
        <f t="shared" si="10"/>
        <v/>
      </c>
      <c r="C85" s="1" t="str">
        <f t="shared" si="11"/>
        <v/>
      </c>
      <c r="D85" s="1" t="str">
        <f t="shared" si="12"/>
        <v/>
      </c>
    </row>
    <row r="86" spans="1:4" x14ac:dyDescent="0.45">
      <c r="A86" s="1" t="str">
        <f t="shared" si="9"/>
        <v/>
      </c>
      <c r="B86" s="13" t="str">
        <f t="shared" si="10"/>
        <v/>
      </c>
      <c r="C86" s="1" t="str">
        <f t="shared" si="11"/>
        <v/>
      </c>
      <c r="D86" s="1" t="str">
        <f t="shared" si="12"/>
        <v/>
      </c>
    </row>
    <row r="87" spans="1:4" x14ac:dyDescent="0.45">
      <c r="A87" s="1" t="str">
        <f t="shared" si="9"/>
        <v/>
      </c>
      <c r="B87" s="13" t="str">
        <f t="shared" si="10"/>
        <v/>
      </c>
      <c r="C87" s="1" t="str">
        <f t="shared" si="11"/>
        <v/>
      </c>
      <c r="D87" s="1" t="str">
        <f t="shared" si="12"/>
        <v/>
      </c>
    </row>
    <row r="88" spans="1:4" x14ac:dyDescent="0.45">
      <c r="A88" s="1" t="str">
        <f t="shared" si="9"/>
        <v/>
      </c>
      <c r="B88" s="13" t="str">
        <f t="shared" si="10"/>
        <v/>
      </c>
      <c r="C88" s="1" t="str">
        <f t="shared" si="11"/>
        <v/>
      </c>
      <c r="D88" s="1" t="str">
        <f t="shared" si="12"/>
        <v/>
      </c>
    </row>
    <row r="89" spans="1:4" x14ac:dyDescent="0.45">
      <c r="A89" s="1" t="str">
        <f t="shared" si="9"/>
        <v/>
      </c>
      <c r="B89" s="13" t="str">
        <f t="shared" si="10"/>
        <v/>
      </c>
      <c r="C89" s="1" t="str">
        <f t="shared" si="11"/>
        <v/>
      </c>
      <c r="D89" s="1" t="str">
        <f t="shared" si="12"/>
        <v/>
      </c>
    </row>
    <row r="90" spans="1:4" x14ac:dyDescent="0.45">
      <c r="A90" s="1" t="str">
        <f t="shared" si="9"/>
        <v/>
      </c>
      <c r="B90" s="13" t="str">
        <f t="shared" si="10"/>
        <v/>
      </c>
      <c r="C90" s="1" t="str">
        <f t="shared" si="11"/>
        <v/>
      </c>
      <c r="D90" s="1" t="str">
        <f t="shared" si="12"/>
        <v/>
      </c>
    </row>
    <row r="91" spans="1:4" x14ac:dyDescent="0.45">
      <c r="A91" s="1" t="str">
        <f t="shared" si="9"/>
        <v/>
      </c>
      <c r="B91" s="13" t="str">
        <f t="shared" si="10"/>
        <v/>
      </c>
      <c r="C91" s="1" t="str">
        <f t="shared" si="11"/>
        <v/>
      </c>
      <c r="D91" s="1" t="str">
        <f t="shared" si="12"/>
        <v/>
      </c>
    </row>
    <row r="92" spans="1:4" x14ac:dyDescent="0.45">
      <c r="A92" s="1" t="str">
        <f t="shared" si="9"/>
        <v/>
      </c>
      <c r="B92" s="13" t="str">
        <f t="shared" si="10"/>
        <v/>
      </c>
      <c r="C92" s="1" t="str">
        <f t="shared" si="11"/>
        <v/>
      </c>
      <c r="D92" s="1" t="str">
        <f t="shared" si="12"/>
        <v/>
      </c>
    </row>
    <row r="93" spans="1:4" x14ac:dyDescent="0.45">
      <c r="A93" s="1" t="str">
        <f t="shared" si="9"/>
        <v/>
      </c>
      <c r="B93" s="13" t="str">
        <f t="shared" si="10"/>
        <v/>
      </c>
      <c r="C93" s="1" t="str">
        <f t="shared" si="11"/>
        <v/>
      </c>
      <c r="D93" s="1" t="str">
        <f t="shared" si="12"/>
        <v/>
      </c>
    </row>
    <row r="94" spans="1:4" x14ac:dyDescent="0.45">
      <c r="A94" s="1" t="str">
        <f t="shared" si="9"/>
        <v/>
      </c>
      <c r="B94" s="13" t="str">
        <f t="shared" si="10"/>
        <v/>
      </c>
      <c r="C94" s="1" t="str">
        <f t="shared" si="11"/>
        <v/>
      </c>
      <c r="D94" s="1" t="str">
        <f t="shared" si="12"/>
        <v/>
      </c>
    </row>
    <row r="95" spans="1:4" x14ac:dyDescent="0.45">
      <c r="A95" s="1" t="str">
        <f t="shared" si="9"/>
        <v/>
      </c>
      <c r="B95" s="13" t="str">
        <f t="shared" si="10"/>
        <v/>
      </c>
      <c r="C95" s="1" t="str">
        <f t="shared" si="11"/>
        <v/>
      </c>
      <c r="D95" s="1" t="str">
        <f t="shared" si="12"/>
        <v/>
      </c>
    </row>
    <row r="96" spans="1:4" x14ac:dyDescent="0.45">
      <c r="A96" s="1" t="str">
        <f t="shared" si="9"/>
        <v/>
      </c>
      <c r="B96" s="13" t="str">
        <f t="shared" si="10"/>
        <v/>
      </c>
      <c r="C96" s="1" t="str">
        <f t="shared" si="11"/>
        <v/>
      </c>
      <c r="D96" s="1" t="str">
        <f t="shared" si="12"/>
        <v/>
      </c>
    </row>
    <row r="97" spans="1:4" x14ac:dyDescent="0.45">
      <c r="A97" s="1" t="str">
        <f t="shared" si="9"/>
        <v/>
      </c>
      <c r="B97" s="13" t="str">
        <f t="shared" si="10"/>
        <v/>
      </c>
      <c r="C97" s="1" t="str">
        <f t="shared" si="11"/>
        <v/>
      </c>
      <c r="D97" s="1" t="str">
        <f t="shared" si="12"/>
        <v/>
      </c>
    </row>
    <row r="98" spans="1:4" x14ac:dyDescent="0.45">
      <c r="A98" s="1" t="str">
        <f t="shared" si="9"/>
        <v/>
      </c>
      <c r="B98" s="13" t="str">
        <f t="shared" si="10"/>
        <v/>
      </c>
      <c r="C98" s="1" t="str">
        <f t="shared" si="11"/>
        <v/>
      </c>
      <c r="D98" s="1" t="str">
        <f t="shared" si="12"/>
        <v/>
      </c>
    </row>
    <row r="99" spans="1:4" x14ac:dyDescent="0.45">
      <c r="A99" s="1" t="str">
        <f t="shared" si="9"/>
        <v/>
      </c>
      <c r="B99" s="13" t="str">
        <f t="shared" si="10"/>
        <v/>
      </c>
      <c r="C99" s="1" t="str">
        <f t="shared" si="11"/>
        <v/>
      </c>
      <c r="D99" s="1" t="str">
        <f t="shared" si="12"/>
        <v/>
      </c>
    </row>
    <row r="100" spans="1:4" x14ac:dyDescent="0.45">
      <c r="A100" s="1" t="str">
        <f t="shared" si="9"/>
        <v/>
      </c>
      <c r="B100" s="13" t="str">
        <f t="shared" si="10"/>
        <v/>
      </c>
      <c r="C100" s="1" t="str">
        <f t="shared" si="11"/>
        <v/>
      </c>
      <c r="D100" s="1" t="str">
        <f t="shared" si="12"/>
        <v/>
      </c>
    </row>
    <row r="101" spans="1:4" x14ac:dyDescent="0.45">
      <c r="A101" s="1" t="str">
        <f t="shared" si="9"/>
        <v/>
      </c>
      <c r="B101" s="13" t="str">
        <f t="shared" si="10"/>
        <v/>
      </c>
      <c r="C101" s="1" t="str">
        <f t="shared" si="11"/>
        <v/>
      </c>
      <c r="D101" s="1" t="str">
        <f t="shared" si="12"/>
        <v/>
      </c>
    </row>
    <row r="102" spans="1:4" x14ac:dyDescent="0.45">
      <c r="A102" s="1" t="str">
        <f t="shared" si="9"/>
        <v/>
      </c>
      <c r="B102" s="13" t="str">
        <f t="shared" si="10"/>
        <v/>
      </c>
      <c r="C102" s="1" t="str">
        <f t="shared" si="11"/>
        <v/>
      </c>
      <c r="D102" s="1" t="str">
        <f t="shared" si="12"/>
        <v/>
      </c>
    </row>
    <row r="103" spans="1:4" x14ac:dyDescent="0.45">
      <c r="A103" s="1" t="str">
        <f t="shared" si="9"/>
        <v/>
      </c>
      <c r="B103" s="13" t="str">
        <f t="shared" si="10"/>
        <v/>
      </c>
      <c r="C103" s="1" t="str">
        <f t="shared" si="11"/>
        <v/>
      </c>
      <c r="D103" s="1" t="str">
        <f t="shared" si="12"/>
        <v/>
      </c>
    </row>
    <row r="104" spans="1:4" x14ac:dyDescent="0.45">
      <c r="A104" s="1" t="str">
        <f t="shared" si="9"/>
        <v/>
      </c>
      <c r="B104" s="13" t="str">
        <f t="shared" si="10"/>
        <v/>
      </c>
      <c r="C104" s="1" t="str">
        <f t="shared" si="11"/>
        <v/>
      </c>
      <c r="D104" s="1" t="str">
        <f t="shared" si="12"/>
        <v/>
      </c>
    </row>
    <row r="105" spans="1:4" x14ac:dyDescent="0.45">
      <c r="A105" s="1" t="str">
        <f t="shared" si="9"/>
        <v/>
      </c>
      <c r="B105" s="13" t="str">
        <f t="shared" si="10"/>
        <v/>
      </c>
      <c r="C105" s="1" t="str">
        <f t="shared" si="11"/>
        <v/>
      </c>
      <c r="D105" s="1" t="str">
        <f t="shared" si="12"/>
        <v/>
      </c>
    </row>
    <row r="106" spans="1:4" x14ac:dyDescent="0.45">
      <c r="A106" s="1" t="str">
        <f t="shared" si="9"/>
        <v/>
      </c>
      <c r="B106" s="13" t="str">
        <f t="shared" si="10"/>
        <v/>
      </c>
      <c r="C106" s="1" t="str">
        <f t="shared" si="11"/>
        <v/>
      </c>
      <c r="D106" s="1" t="str">
        <f t="shared" si="12"/>
        <v/>
      </c>
    </row>
    <row r="107" spans="1:4" x14ac:dyDescent="0.45">
      <c r="A107" s="1" t="str">
        <f t="shared" si="9"/>
        <v/>
      </c>
      <c r="B107" s="13" t="str">
        <f t="shared" si="10"/>
        <v/>
      </c>
      <c r="C107" s="1" t="str">
        <f t="shared" si="11"/>
        <v/>
      </c>
      <c r="D107" s="1" t="str">
        <f t="shared" si="12"/>
        <v/>
      </c>
    </row>
    <row r="108" spans="1:4" x14ac:dyDescent="0.45">
      <c r="A108" s="1" t="str">
        <f t="shared" si="9"/>
        <v/>
      </c>
      <c r="B108" s="13" t="str">
        <f t="shared" si="10"/>
        <v/>
      </c>
      <c r="C108" s="1" t="str">
        <f t="shared" si="11"/>
        <v/>
      </c>
      <c r="D108" s="1" t="str">
        <f t="shared" si="12"/>
        <v/>
      </c>
    </row>
    <row r="109" spans="1:4" x14ac:dyDescent="0.45">
      <c r="A109" s="1" t="str">
        <f t="shared" si="9"/>
        <v/>
      </c>
      <c r="B109" s="13" t="str">
        <f t="shared" si="10"/>
        <v/>
      </c>
      <c r="C109" s="1" t="str">
        <f t="shared" si="11"/>
        <v/>
      </c>
      <c r="D109" s="1" t="str">
        <f t="shared" si="12"/>
        <v/>
      </c>
    </row>
    <row r="110" spans="1:4" x14ac:dyDescent="0.45">
      <c r="A110" s="1" t="str">
        <f t="shared" si="9"/>
        <v/>
      </c>
      <c r="B110" s="13" t="str">
        <f t="shared" si="10"/>
        <v/>
      </c>
      <c r="C110" s="1" t="str">
        <f t="shared" si="11"/>
        <v/>
      </c>
      <c r="D110" s="1" t="str">
        <f t="shared" si="12"/>
        <v/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513D-DDA4-C34A-A921-1F6A116EA1C5}">
  <dimension ref="A1:G31"/>
  <sheetViews>
    <sheetView tabSelected="1" zoomScale="64" workbookViewId="0">
      <selection activeCell="E35" sqref="E35"/>
    </sheetView>
  </sheetViews>
  <sheetFormatPr defaultColWidth="10.69140625" defaultRowHeight="17.5" x14ac:dyDescent="0.45"/>
  <cols>
    <col min="1" max="8" width="20.69140625" style="1" customWidth="1"/>
    <col min="9" max="16384" width="10.69140625" style="1"/>
  </cols>
  <sheetData>
    <row r="1" spans="1:7" ht="18" thickBot="1" x14ac:dyDescent="0.5">
      <c r="A1" s="15" t="s">
        <v>64</v>
      </c>
      <c r="B1" s="15"/>
      <c r="D1" s="15" t="s">
        <v>67</v>
      </c>
      <c r="E1" s="15"/>
      <c r="F1" s="15" t="s">
        <v>68</v>
      </c>
      <c r="G1" s="1" t="s">
        <v>86</v>
      </c>
    </row>
    <row r="2" spans="1:7" x14ac:dyDescent="0.45">
      <c r="A2" s="1" t="s">
        <v>65</v>
      </c>
      <c r="B2" s="27">
        <v>0</v>
      </c>
      <c r="D2" s="27"/>
      <c r="E2" s="28">
        <f>engine!E8</f>
        <v>72.265135926792041</v>
      </c>
    </row>
    <row r="3" spans="1:7" x14ac:dyDescent="0.45">
      <c r="A3" s="1" t="s">
        <v>66</v>
      </c>
      <c r="B3">
        <f>engine!$E$8</f>
        <v>72.265135926792041</v>
      </c>
      <c r="D3" s="28">
        <v>-10</v>
      </c>
      <c r="E3" s="28">
        <f>engine!E9</f>
        <v>0</v>
      </c>
      <c r="F3" s="21">
        <f>E3-$E$6</f>
        <v>0</v>
      </c>
    </row>
    <row r="4" spans="1:7" x14ac:dyDescent="0.45">
      <c r="D4" s="28">
        <v>-5</v>
      </c>
      <c r="E4" s="28">
        <f>engine!E10</f>
        <v>0</v>
      </c>
      <c r="F4" s="21">
        <f t="shared" ref="F4:F9" si="0">E4-$E$6</f>
        <v>0</v>
      </c>
    </row>
    <row r="5" spans="1:7" x14ac:dyDescent="0.45">
      <c r="D5" s="28">
        <v>-1</v>
      </c>
      <c r="E5" s="28">
        <f>engine!E11</f>
        <v>0</v>
      </c>
      <c r="F5" s="21">
        <f t="shared" si="0"/>
        <v>0</v>
      </c>
    </row>
    <row r="6" spans="1:7" x14ac:dyDescent="0.45">
      <c r="D6" s="28">
        <v>0</v>
      </c>
      <c r="E6" s="28">
        <f>engine!E12</f>
        <v>0</v>
      </c>
      <c r="F6" s="21">
        <f t="shared" si="0"/>
        <v>0</v>
      </c>
    </row>
    <row r="7" spans="1:7" x14ac:dyDescent="0.45">
      <c r="D7" s="28">
        <v>1</v>
      </c>
      <c r="E7" s="28">
        <f>engine!E13</f>
        <v>0</v>
      </c>
      <c r="F7" s="21">
        <f t="shared" si="0"/>
        <v>0</v>
      </c>
    </row>
    <row r="8" spans="1:7" x14ac:dyDescent="0.45">
      <c r="D8" s="28">
        <v>5</v>
      </c>
      <c r="E8" s="28">
        <f>engine!E14</f>
        <v>0</v>
      </c>
      <c r="F8" s="21">
        <f t="shared" si="0"/>
        <v>0</v>
      </c>
    </row>
    <row r="9" spans="1:7" x14ac:dyDescent="0.45">
      <c r="D9" s="28">
        <v>10</v>
      </c>
      <c r="E9" s="28">
        <f>engine!E15</f>
        <v>0</v>
      </c>
      <c r="F9" s="21">
        <f t="shared" si="0"/>
        <v>0</v>
      </c>
    </row>
    <row r="10" spans="1:7" x14ac:dyDescent="0.45">
      <c r="E10" s="19" t="s">
        <v>104</v>
      </c>
    </row>
    <row r="12" spans="1:7" ht="18" thickBot="1" x14ac:dyDescent="0.5">
      <c r="A12" s="15" t="s">
        <v>71</v>
      </c>
      <c r="B12" s="15"/>
    </row>
    <row r="13" spans="1:7" x14ac:dyDescent="0.45">
      <c r="A13" s="1" t="s">
        <v>73</v>
      </c>
      <c r="B13" s="1">
        <v>5</v>
      </c>
      <c r="C13" s="1" t="s">
        <v>94</v>
      </c>
    </row>
    <row r="14" spans="1:7" x14ac:dyDescent="0.45">
      <c r="A14" s="1" t="s">
        <v>72</v>
      </c>
      <c r="B14" s="21">
        <f>engine!B10 + (B13 / 10000)</f>
        <v>3.4572982027425862E-2</v>
      </c>
      <c r="C14" s="1" t="s">
        <v>107</v>
      </c>
    </row>
    <row r="15" spans="1:7" x14ac:dyDescent="0.45">
      <c r="A15" s="1" t="s">
        <v>74</v>
      </c>
      <c r="B15" s="21">
        <f>engine!B12 + (B13 / 10000)</f>
        <v>3.7738231723962692E-2</v>
      </c>
      <c r="C15" s="1" t="s">
        <v>80</v>
      </c>
    </row>
    <row r="16" spans="1:7" x14ac:dyDescent="0.45">
      <c r="A16" s="1" t="s">
        <v>75</v>
      </c>
      <c r="B16">
        <f>(engine!E2 - engine!E3) * EXP(B15 * engine!B13) - engine!E7</f>
        <v>72.376589978936337</v>
      </c>
      <c r="C16" s="1" t="s">
        <v>81</v>
      </c>
    </row>
    <row r="17" spans="1:5" x14ac:dyDescent="0.45">
      <c r="A17" s="1" t="s">
        <v>76</v>
      </c>
      <c r="B17" s="24">
        <f>engine!E8</f>
        <v>72.265135926792041</v>
      </c>
      <c r="C17" s="1" t="s">
        <v>82</v>
      </c>
    </row>
    <row r="18" spans="1:5" x14ac:dyDescent="0.45">
      <c r="A18" s="1" t="s">
        <v>77</v>
      </c>
      <c r="B18" s="1">
        <f xml:space="preserve"> B16 - B17</f>
        <v>0.11145405214429616</v>
      </c>
      <c r="C18" s="1" t="s">
        <v>83</v>
      </c>
    </row>
    <row r="19" spans="1:5" x14ac:dyDescent="0.45">
      <c r="A19" s="1" t="s">
        <v>78</v>
      </c>
      <c r="B19" s="1">
        <v>1000000</v>
      </c>
      <c r="C19" s="1" t="s">
        <v>84</v>
      </c>
    </row>
    <row r="20" spans="1:5" x14ac:dyDescent="0.45">
      <c r="A20" s="1" t="s">
        <v>79</v>
      </c>
      <c r="B20" s="21">
        <f xml:space="preserve"> (B18 / 100) * B19</f>
        <v>1114.5405214429616</v>
      </c>
      <c r="C20" s="1" t="s">
        <v>85</v>
      </c>
    </row>
    <row r="21" spans="1:5" x14ac:dyDescent="0.45">
      <c r="C21" s="19" t="s">
        <v>103</v>
      </c>
    </row>
    <row r="31" spans="1:5" x14ac:dyDescent="0.45">
      <c r="E31" s="1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data_treasury</vt:lpstr>
      <vt:lpstr>data_ois</vt:lpstr>
      <vt:lpstr>engine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이영우</dc:creator>
  <cp:lastModifiedBy>수린 김</cp:lastModifiedBy>
  <dcterms:created xsi:type="dcterms:W3CDTF">2026-01-25T03:30:12Z</dcterms:created>
  <dcterms:modified xsi:type="dcterms:W3CDTF">2026-03-04T13:35:40Z</dcterms:modified>
</cp:coreProperties>
</file>