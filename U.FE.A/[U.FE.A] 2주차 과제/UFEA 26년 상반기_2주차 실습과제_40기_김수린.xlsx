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0261bea96bfc57/문서/대외활동^0 자격증/U.FE.A/[유피아] 41기 준회원/[유피아 41기] 실습과제/"/>
    </mc:Choice>
  </mc:AlternateContent>
  <xr:revisionPtr revIDLastSave="1738" documentId="8_{94B75480-186E-4E6D-A06D-13BBFCA828A1}" xr6:coauthVersionLast="47" xr6:coauthVersionMax="47" xr10:uidLastSave="{3E5E32FE-8BC5-4B17-8F53-91B41868D71D}"/>
  <bookViews>
    <workbookView xWindow="750" yWindow="1230" windowWidth="22450" windowHeight="12610" activeTab="1" xr2:uid="{5C20B928-4B59-B84B-8301-A97D555ABD2B}"/>
  </bookViews>
  <sheets>
    <sheet name="1번시트" sheetId="1" r:id="rId1"/>
    <sheet name="2번시트" sheetId="3" r:id="rId2"/>
  </sheets>
  <definedNames>
    <definedName name="solver_adj" localSheetId="1" hidden="1">'2번시트'!$C$40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'2번시트'!$E$40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40" i="3"/>
  <c r="D34" i="3"/>
  <c r="D30" i="3"/>
  <c r="D24" i="3"/>
  <c r="D21" i="3"/>
  <c r="D20" i="3"/>
  <c r="E20" i="3" s="1"/>
  <c r="D19" i="3"/>
  <c r="E19" i="3" s="1"/>
  <c r="D18" i="3"/>
  <c r="E18" i="3" s="1"/>
  <c r="D17" i="3"/>
  <c r="E17" i="3" s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29" i="1"/>
  <c r="D27" i="3" l="1"/>
  <c r="C29" i="3" s="1"/>
  <c r="D39" i="3"/>
  <c r="D35" i="3"/>
  <c r="D36" i="3"/>
  <c r="D37" i="3"/>
  <c r="D38" i="3"/>
  <c r="D33" i="3"/>
  <c r="D31" i="3"/>
  <c r="D32" i="3"/>
  <c r="D29" i="3"/>
  <c r="D28" i="3"/>
  <c r="D25" i="3"/>
  <c r="C25" i="3" s="1"/>
  <c r="E21" i="3"/>
  <c r="C39" i="3" l="1"/>
  <c r="C38" i="3"/>
  <c r="C37" i="3"/>
  <c r="C36" i="3"/>
  <c r="C35" i="3"/>
  <c r="C27" i="3"/>
  <c r="C32" i="3"/>
  <c r="C33" i="3"/>
  <c r="C31" i="3"/>
  <c r="C28" i="3"/>
  <c r="G3" i="1" l="1" a="1"/>
  <c r="A29" i="1"/>
  <c r="C29" i="1" l="1" a="1"/>
  <c r="D37" i="1"/>
  <c r="D45" i="1"/>
  <c r="D31" i="1"/>
  <c r="D39" i="1"/>
  <c r="D47" i="1"/>
  <c r="D36" i="1"/>
  <c r="D30" i="1"/>
  <c r="D38" i="1"/>
  <c r="D46" i="1"/>
  <c r="D32" i="1"/>
  <c r="D40" i="1"/>
  <c r="D48" i="1"/>
  <c r="D33" i="1"/>
  <c r="D41" i="1"/>
  <c r="D34" i="1"/>
  <c r="D42" i="1"/>
  <c r="D35" i="1"/>
  <c r="D43" i="1"/>
  <c r="D44" i="1"/>
  <c r="D29" i="1" l="1"/>
  <c r="E29" i="1" a="1"/>
  <c r="D22" i="3"/>
  <c r="E22" i="3" s="1"/>
  <c r="D23" i="3" l="1"/>
  <c r="E34" i="3" s="1"/>
  <c r="E26" i="3"/>
  <c r="E30" i="3"/>
  <c r="E40" i="3" l="1"/>
  <c r="C23" i="3"/>
  <c r="E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<sst xmlns="http://schemas.openxmlformats.org/spreadsheetml/2006/main" count="53" uniqueCount="53">
  <si>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Coupon Rate(%)</t>
  </si>
  <si>
    <t>Mid Price</t>
  </si>
  <si>
    <t>Maturity date</t>
  </si>
  <si>
    <t>Time to Maturity</t>
  </si>
  <si>
    <t>8/15/2008</t>
  </si>
  <si>
    <t>2/15/2009</t>
  </si>
  <si>
    <t>8/15/2009</t>
  </si>
  <si>
    <t>2/15/2010</t>
  </si>
  <si>
    <t>8/15/2010</t>
  </si>
  <si>
    <t>2/15/2011</t>
  </si>
  <si>
    <t>8/15/2011</t>
  </si>
  <si>
    <t>2/15/2012</t>
  </si>
  <si>
    <t>8/15/2012</t>
  </si>
  <si>
    <t>2/15/2013</t>
  </si>
  <si>
    <t>8/15/2013</t>
  </si>
  <si>
    <t>2/15/2014</t>
  </si>
  <si>
    <t>8/15/2014</t>
  </si>
  <si>
    <t>2/15/2015</t>
  </si>
  <si>
    <t>8/15/2015</t>
  </si>
  <si>
    <t>2/15/2016</t>
  </si>
  <si>
    <t>8/15/2016</t>
  </si>
  <si>
    <t>2/15/2017</t>
  </si>
  <si>
    <t>8/15/2017</t>
  </si>
  <si>
    <t>2/15/2018</t>
  </si>
  <si>
    <t>행렬</t>
    <phoneticPr fontId="4" type="noConversion"/>
  </si>
  <si>
    <t>만기 (T)</t>
  </si>
  <si>
    <t>시장 가격 (P)</t>
  </si>
  <si>
    <t>할인계수 (DF)</t>
  </si>
  <si>
    <t>스팟 금리 (Spot)</t>
  </si>
  <si>
    <t>*베로네시 chap2 참고</t>
    <phoneticPr fontId="4" type="noConversion"/>
  </si>
  <si>
    <t>1. 베로네시 2.9.1을 참고하시어 행렬 테이블을 만들어주세요. (아래 데이터 사용)
hint : 조건문 IF()사용</t>
    <phoneticPr fontId="4" type="noConversion"/>
  </si>
  <si>
    <t>이론가</t>
    <phoneticPr fontId="4" type="noConversion"/>
  </si>
  <si>
    <t>1M</t>
  </si>
  <si>
    <t>2M</t>
  </si>
  <si>
    <t>3M</t>
  </si>
  <si>
    <t>4M</t>
  </si>
  <si>
    <t>6M</t>
  </si>
  <si>
    <t>1Y</t>
  </si>
  <si>
    <t>2Y</t>
  </si>
  <si>
    <t>3Y</t>
  </si>
  <si>
    <t>5Y</t>
  </si>
  <si>
    <t>7Y</t>
  </si>
  <si>
    <t>10Y</t>
  </si>
  <si>
    <t>T</t>
    <phoneticPr fontId="4" type="noConversion"/>
  </si>
  <si>
    <t>DF</t>
    <phoneticPr fontId="4" type="noConversion"/>
  </si>
  <si>
    <t>Diff</t>
    <phoneticPr fontId="4" type="noConversion"/>
  </si>
  <si>
    <t>par</t>
    <phoneticPr fontId="4" type="noConversion"/>
  </si>
  <si>
    <t>spot</t>
    <phoneticPr fontId="4" type="noConversion"/>
  </si>
  <si>
    <t>Maturity</t>
    <phoneticPr fontId="4" type="noConversion"/>
  </si>
  <si>
    <t>2. 아래 두 커브를 각각 삽입해 주세요(스케일 주의)</t>
    <phoneticPr fontId="4" type="noConversion"/>
  </si>
  <si>
    <t>1. 로그 보간을 사용하여 spot curve를 도출해주세요. (반기 지급 가정)
hint : 시장가-이론가=0으로 만드는 해찾기 활용(df에 값이 있어야 하니 더미값을 넣고 진행해주시면 됩니다)</t>
    <phoneticPr fontId="4" type="noConversion"/>
  </si>
  <si>
    <t>답안은 1월 23일 데이터 기준으로 제공될 예정이나, 다른 날짜의 데이터를 사용하셔도 무방합니다.</t>
    <phoneticPr fontId="4" type="noConversion"/>
  </si>
  <si>
    <t xml:space="preserve">2. 역행렬과 행렬곱을 활용하여 할인계수(DF)를 구한뒤 스팟금리(SPOT)까지 도출하고, 그래프를 삽입해주세요.
Hint : MINVERSE(), MMULT() 사용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</si>
</sst>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"/>
    <numFmt numFmtId="177" formatCode="0.000000000"/>
  </numFmts>
  <fonts count="15">
    <font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2"/>
      <color rgb="FF1F1F1F"/>
      <name val="Malgun Gothic"/>
      <family val="2"/>
      <charset val="129"/>
    </font>
    <font>
      <sz val="10"/>
      <color theme="1"/>
      <name val="Arial Unicode MS"/>
      <family val="2"/>
    </font>
    <font>
      <b/>
      <sz val="12"/>
      <color theme="1"/>
      <name val="맑은 고딕"/>
      <family val="2"/>
      <charset val="129"/>
      <scheme val="minor"/>
    </font>
    <font>
      <sz val="12"/>
      <color rgb="FF1B1B1B"/>
      <name val="Helvetica Neue"/>
      <family val="2"/>
    </font>
    <font>
      <sz val="12"/>
      <color theme="1"/>
      <name val="맑은 고딕"/>
      <family val="2"/>
      <charset val="129"/>
      <scheme val="major"/>
    </font>
    <font>
      <b/>
      <sz val="12"/>
      <color rgb="FF1B1B1B"/>
      <name val="Helvetica Neue"/>
      <family val="2"/>
    </font>
    <font>
      <b/>
      <sz val="12"/>
      <color theme="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ajor"/>
    </font>
    <font>
      <u/>
      <sz val="12"/>
      <color theme="10"/>
      <name val="맑은 고딕"/>
      <family val="2"/>
      <charset val="129"/>
      <scheme val="minor"/>
    </font>
    <font>
      <i/>
      <u/>
      <sz val="12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7E21"/>
        <bgColor indexed="64"/>
      </patternFill>
    </fill>
    <fill>
      <patternFill patternType="solid">
        <fgColor rgb="FF00397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6822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right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 applyAlignment="1">
      <alignment horizontal="right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6" fillId="0" borderId="0" xfId="0" applyFont="1">
      <alignment vertical="center"/>
    </xf>
    <xf numFmtId="0" fontId="5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0" xfId="0" applyFont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0" fillId="2" borderId="19" xfId="0" applyFill="1" applyBorder="1">
      <alignment vertical="center"/>
    </xf>
    <xf numFmtId="0" fontId="1" fillId="3" borderId="23" xfId="0" applyFont="1" applyFill="1" applyBorder="1">
      <alignment vertical="center"/>
    </xf>
    <xf numFmtId="0" fontId="1" fillId="3" borderId="24" xfId="0" applyFont="1" applyFill="1" applyBorder="1">
      <alignment vertical="center"/>
    </xf>
    <xf numFmtId="0" fontId="0" fillId="4" borderId="0" xfId="0" applyFill="1" applyAlignment="1">
      <alignment vertical="center" wrapText="1"/>
    </xf>
    <xf numFmtId="176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177" fontId="2" fillId="0" borderId="0" xfId="0" applyNumberFormat="1" applyFont="1">
      <alignment vertical="center"/>
    </xf>
    <xf numFmtId="0" fontId="12" fillId="0" borderId="0" xfId="0" applyFont="1">
      <alignment vertical="center"/>
    </xf>
    <xf numFmtId="0" fontId="11" fillId="3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2" fontId="0" fillId="0" borderId="0" xfId="0" applyNumberFormat="1">
      <alignment vertical="center"/>
    </xf>
    <xf numFmtId="0" fontId="0" fillId="4" borderId="0" xfId="0" applyFill="1">
      <alignment vertical="center"/>
    </xf>
    <xf numFmtId="0" fontId="14" fillId="0" borderId="0" xfId="0" applyFont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7" fillId="0" borderId="26" xfId="0" applyFont="1" applyBorder="1">
      <alignment vertical="center"/>
    </xf>
    <xf numFmtId="0" fontId="10" fillId="0" borderId="26" xfId="0" applyFont="1" applyBorder="1">
      <alignment vertical="center"/>
    </xf>
    <xf numFmtId="10" fontId="0" fillId="0" borderId="0" xfId="0" applyNumberFormat="1">
      <alignment vertical="center"/>
    </xf>
    <xf numFmtId="10" fontId="13" fillId="0" borderId="0" xfId="1" applyNumberFormat="1">
      <alignment vertical="center"/>
    </xf>
    <xf numFmtId="10" fontId="9" fillId="0" borderId="0" xfId="0" applyNumberFormat="1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3970"/>
      <color rgb="FFF68222"/>
      <color rgb="FFEE7E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baseline="0"/>
              <a:t>할인계수</a:t>
            </a:r>
            <a:r>
              <a:rPr lang="en-US" altLang="ko-KR" sz="1400" b="0" i="0" u="none" strike="noStrike" baseline="0"/>
              <a:t>(DF)</a:t>
            </a:r>
            <a:r>
              <a:rPr lang="ko-KR" altLang="en-US" sz="1400" b="0" i="0" u="none" strike="noStrike" baseline="0"/>
              <a:t>와 스팟 금리</a:t>
            </a:r>
            <a:r>
              <a:rPr lang="en-US" altLang="ko-KR" sz="1400" b="0" i="0" u="none" strike="noStrike" baseline="0"/>
              <a:t>(Spot Rate) </a:t>
            </a:r>
            <a:r>
              <a:rPr lang="ko-KR" altLang="en-US" sz="1400" b="0" i="0" u="none" strike="noStrike" baseline="0"/>
              <a:t>곡선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할인계수(DF)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'1번시트'!$A$29:$A$48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xVal>
          <c:yVal>
            <c:numRef>
              <c:f>'1번시트'!$C$29:$C$48</c:f>
              <c:numCache>
                <c:formatCode>General</c:formatCode>
                <c:ptCount val="20"/>
                <c:pt idx="0">
                  <c:v>0.98958971218616043</c:v>
                </c:pt>
                <c:pt idx="1">
                  <c:v>0.98189166892499891</c:v>
                </c:pt>
                <c:pt idx="2">
                  <c:v>0.97314669074842253</c:v>
                </c:pt>
                <c:pt idx="3">
                  <c:v>0.96244110700203644</c:v>
                </c:pt>
                <c:pt idx="4">
                  <c:v>0.95082199454841809</c:v>
                </c:pt>
                <c:pt idx="5">
                  <c:v>0.93761241040463328</c:v>
                </c:pt>
                <c:pt idx="6">
                  <c:v>0.92221308332159346</c:v>
                </c:pt>
                <c:pt idx="7">
                  <c:v>0.90604579010475017</c:v>
                </c:pt>
                <c:pt idx="8">
                  <c:v>0.88725939693979483</c:v>
                </c:pt>
                <c:pt idx="9">
                  <c:v>0.8698093945557297</c:v>
                </c:pt>
                <c:pt idx="10">
                  <c:v>0.85085761171539631</c:v>
                </c:pt>
                <c:pt idx="11">
                  <c:v>0.83124139489309923</c:v>
                </c:pt>
                <c:pt idx="12">
                  <c:v>0.81111454793039717</c:v>
                </c:pt>
                <c:pt idx="13">
                  <c:v>0.79061284699459944</c:v>
                </c:pt>
                <c:pt idx="14">
                  <c:v>0.76875889834199429</c:v>
                </c:pt>
                <c:pt idx="15">
                  <c:v>0.74825635956599434</c:v>
                </c:pt>
                <c:pt idx="16">
                  <c:v>0.72676287771876602</c:v>
                </c:pt>
                <c:pt idx="17">
                  <c:v>0.70839186067307225</c:v>
                </c:pt>
                <c:pt idx="18">
                  <c:v>0.69158128780851369</c:v>
                </c:pt>
                <c:pt idx="19">
                  <c:v>0.68158117311879951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70-4E26-B3B9-47823234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099487"/>
        <c:axId val="506097087"/>
      </c:scatterChart>
      <c:scatterChart>
        <c:scatterStyle val="smoothMarker"/>
        <c:varyColors val="0"/>
        <c:ser>
          <c:idx val="1"/>
          <c:order val="1"/>
          <c:tx>
            <c:v>스팟금리(Spot Rate)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'1번시트'!$A$29:$A$48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xVal>
          <c:yVal>
            <c:numRef>
              <c:f>'1번시트'!$D$29:$D$48</c:f>
              <c:numCache>
                <c:formatCode>General</c:formatCode>
                <c:ptCount val="20"/>
                <c:pt idx="0">
                  <c:v>2.1150270194098431E-2</c:v>
                </c:pt>
                <c:pt idx="1">
                  <c:v>1.8442290171202469E-2</c:v>
                </c:pt>
                <c:pt idx="2">
                  <c:v>1.8312621270367702E-2</c:v>
                </c:pt>
                <c:pt idx="3">
                  <c:v>1.9325568359375378E-2</c:v>
                </c:pt>
                <c:pt idx="4">
                  <c:v>2.0376181233360047E-2</c:v>
                </c:pt>
                <c:pt idx="5">
                  <c:v>2.1705075834624221E-2</c:v>
                </c:pt>
                <c:pt idx="6">
                  <c:v>2.3406582346651605E-2</c:v>
                </c:pt>
                <c:pt idx="7">
                  <c:v>2.497308972147172E-2</c:v>
                </c:pt>
                <c:pt idx="8">
                  <c:v>2.693820091758603E-2</c:v>
                </c:pt>
                <c:pt idx="9">
                  <c:v>2.8288979107589096E-2</c:v>
                </c:pt>
                <c:pt idx="10">
                  <c:v>2.9800961595289222E-2</c:v>
                </c:pt>
                <c:pt idx="11">
                  <c:v>3.1285249943185489E-2</c:v>
                </c:pt>
                <c:pt idx="12">
                  <c:v>3.2731336723833326E-2</c:v>
                </c:pt>
                <c:pt idx="13">
                  <c:v>3.4133460488549705E-2</c:v>
                </c:pt>
                <c:pt idx="14">
                  <c:v>3.568569849777381E-2</c:v>
                </c:pt>
                <c:pt idx="15">
                  <c:v>3.6916291431035697E-2</c:v>
                </c:pt>
                <c:pt idx="16">
                  <c:v>3.8261468463726578E-2</c:v>
                </c:pt>
                <c:pt idx="17">
                  <c:v>3.9049579240399535E-2</c:v>
                </c:pt>
                <c:pt idx="18">
                  <c:v>3.9581654609686101E-2</c:v>
                </c:pt>
                <c:pt idx="19">
                  <c:v>3.9078219308391171E-2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70-4E26-B3B9-47823234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50559"/>
        <c:axId val="416047199"/>
      </c:scatterChart>
      <c:valAx>
        <c:axId val="50609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만기</a:t>
                </a:r>
                <a:r>
                  <a:rPr lang="en-US" altLang="ko-KR"/>
                  <a:t>(T, 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097087"/>
        <c:crosses val="autoZero"/>
        <c:crossBetween val="midCat"/>
      </c:valAx>
      <c:valAx>
        <c:axId val="50609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할인계수</a:t>
                </a:r>
                <a:r>
                  <a:rPr lang="en-US" altLang="ko-KR"/>
                  <a:t>(DF)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099487"/>
        <c:crosses val="autoZero"/>
        <c:crossBetween val="midCat"/>
      </c:valAx>
      <c:valAx>
        <c:axId val="4160471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스팟금리</a:t>
                </a:r>
                <a:r>
                  <a:rPr lang="en-US" altLang="ko-KR"/>
                  <a:t>(Spot</a:t>
                </a:r>
                <a:r>
                  <a:rPr lang="en-US" altLang="ko-KR" baseline="0"/>
                  <a:t> Rate)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6050559"/>
        <c:crosses val="max"/>
        <c:crossBetween val="midCat"/>
      </c:valAx>
      <c:valAx>
        <c:axId val="416050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604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할인계수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(DF)</a:t>
            </a: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와 스팟 금리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(Spot Rate) </a:t>
            </a: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곡선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'2번시트'!$A$17:$A$40</c:f>
              <c:numCache>
                <c:formatCode>General</c:formatCode>
                <c:ptCount val="24"/>
                <c:pt idx="0">
                  <c:v>8.3299999999999999E-2</c:v>
                </c:pt>
                <c:pt idx="1">
                  <c:v>0.16669999999999999</c:v>
                </c:pt>
                <c:pt idx="2">
                  <c:v>0.25</c:v>
                </c:pt>
                <c:pt idx="3">
                  <c:v>0.33329999999999999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</c:numCache>
            </c:numRef>
          </c:xVal>
          <c:yVal>
            <c:numRef>
              <c:f>'2번시트'!$C$17:$C$40</c:f>
              <c:numCache>
                <c:formatCode>General</c:formatCode>
                <c:ptCount val="24"/>
                <c:pt idx="0">
                  <c:v>3.774061364727134E-2</c:v>
                </c:pt>
                <c:pt idx="1">
                  <c:v>3.7085132109000579E-2</c:v>
                </c:pt>
                <c:pt idx="2">
                  <c:v>3.6829923930565341E-2</c:v>
                </c:pt>
                <c:pt idx="3">
                  <c:v>3.6477355520189082E-2</c:v>
                </c:pt>
                <c:pt idx="4">
                  <c:v>3.5778066132736423E-2</c:v>
                </c:pt>
                <c:pt idx="5">
                  <c:v>3.4985160452125665E-2</c:v>
                </c:pt>
                <c:pt idx="6">
                  <c:v>3.5770363604854971E-2</c:v>
                </c:pt>
                <c:pt idx="7">
                  <c:v>3.5688791035793969E-2</c:v>
                </c:pt>
                <c:pt idx="8">
                  <c:v>3.6443098652562345E-2</c:v>
                </c:pt>
                <c:pt idx="9">
                  <c:v>3.6399227313115796E-2</c:v>
                </c:pt>
                <c:pt idx="10">
                  <c:v>3.7458143952383782E-2</c:v>
                </c:pt>
                <c:pt idx="11">
                  <c:v>3.7458143952383782E-2</c:v>
                </c:pt>
                <c:pt idx="12">
                  <c:v>3.7458143952383782E-2</c:v>
                </c:pt>
                <c:pt idx="13">
                  <c:v>3.8394108928637607E-2</c:v>
                </c:pt>
                <c:pt idx="14">
                  <c:v>3.947149889807422E-2</c:v>
                </c:pt>
                <c:pt idx="15">
                  <c:v>3.947149889807422E-2</c:v>
                </c:pt>
                <c:pt idx="16">
                  <c:v>3.947149889807422E-2</c:v>
                </c:pt>
                <c:pt idx="17">
                  <c:v>4.057192098600873E-2</c:v>
                </c:pt>
                <c:pt idx="18">
                  <c:v>4.1613902372682698E-2</c:v>
                </c:pt>
                <c:pt idx="19">
                  <c:v>4.1613902372682698E-2</c:v>
                </c:pt>
                <c:pt idx="20">
                  <c:v>4.1613902372682698E-2</c:v>
                </c:pt>
                <c:pt idx="21">
                  <c:v>4.1613902372682698E-2</c:v>
                </c:pt>
                <c:pt idx="22">
                  <c:v>4.1613902372682698E-2</c:v>
                </c:pt>
                <c:pt idx="23">
                  <c:v>4.333926474553576E-2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3-4EC3-BF78-9DC497D33B4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'2번시트'!$A$17:$A$40</c:f>
              <c:numCache>
                <c:formatCode>General</c:formatCode>
                <c:ptCount val="24"/>
                <c:pt idx="0">
                  <c:v>8.3299999999999999E-2</c:v>
                </c:pt>
                <c:pt idx="1">
                  <c:v>0.16669999999999999</c:v>
                </c:pt>
                <c:pt idx="2">
                  <c:v>0.25</c:v>
                </c:pt>
                <c:pt idx="3">
                  <c:v>0.33329999999999999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</c:numCache>
            </c:numRef>
          </c:xVal>
          <c:yVal>
            <c:numRef>
              <c:f>'2번시트'!$D$17:$D$40</c:f>
              <c:numCache>
                <c:formatCode>General</c:formatCode>
                <c:ptCount val="24"/>
                <c:pt idx="0">
                  <c:v>0.99686114342625132</c:v>
                </c:pt>
                <c:pt idx="1">
                  <c:v>0.99383697828788531</c:v>
                </c:pt>
                <c:pt idx="2">
                  <c:v>0.99083477807111398</c:v>
                </c:pt>
                <c:pt idx="3">
                  <c:v>0.98791570609180412</c:v>
                </c:pt>
                <c:pt idx="4">
                  <c:v>0.98227002580361655</c:v>
                </c:pt>
                <c:pt idx="5">
                  <c:v>0.96561974551168828</c:v>
                </c:pt>
                <c:pt idx="6">
                  <c:v>0.94820801920050524</c:v>
                </c:pt>
                <c:pt idx="7">
                  <c:v>0.93111025520683355</c:v>
                </c:pt>
                <c:pt idx="8">
                  <c:v>0.91366834721368007</c:v>
                </c:pt>
                <c:pt idx="9">
                  <c:v>0.89655316761036064</c:v>
                </c:pt>
                <c:pt idx="10">
                  <c:v>0.87819123845238234</c:v>
                </c:pt>
                <c:pt idx="11">
                  <c:v>0.87819123845238234</c:v>
                </c:pt>
                <c:pt idx="12">
                  <c:v>0.87819123845238234</c:v>
                </c:pt>
                <c:pt idx="13">
                  <c:v>0.82533117855800231</c:v>
                </c:pt>
                <c:pt idx="14">
                  <c:v>0.80655856306617391</c:v>
                </c:pt>
                <c:pt idx="15">
                  <c:v>0.80655856306617391</c:v>
                </c:pt>
                <c:pt idx="16">
                  <c:v>0.80655856306617391</c:v>
                </c:pt>
                <c:pt idx="17">
                  <c:v>0.75276404999776891</c:v>
                </c:pt>
                <c:pt idx="18">
                  <c:v>0.73425298246283621</c:v>
                </c:pt>
                <c:pt idx="19">
                  <c:v>0.73425298246283621</c:v>
                </c:pt>
                <c:pt idx="20">
                  <c:v>0.73425298246283621</c:v>
                </c:pt>
                <c:pt idx="21">
                  <c:v>0.73425298246283621</c:v>
                </c:pt>
                <c:pt idx="22">
                  <c:v>0.73425298246283621</c:v>
                </c:pt>
                <c:pt idx="23">
                  <c:v>0.64830588616662244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D3-4EC3-BF78-9DC497D3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679903"/>
        <c:axId val="594681343"/>
      </c:scatterChart>
      <c:valAx>
        <c:axId val="59467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4681343"/>
        <c:crosses val="autoZero"/>
        <c:crossBetween val="midCat"/>
      </c:valAx>
      <c:valAx>
        <c:axId val="5946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4679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756597</xdr:colOff>
      <xdr:row>0</xdr:row>
      <xdr:rowOff>0</xdr:rowOff>
    </xdr:from>
    <xdr:to>
      <xdr:col>5</xdr:col>
      <xdr:colOff>55312</xdr:colOff>
      <xdr:row>1</xdr:row>
      <xdr:rowOff>430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D32C15D-E116-0F4A-820D-C39FC2A16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5320" y="0"/>
          <a:ext cx="4233332" cy="932234"/>
        </a:xfrm>
        <a:prstGeom prst="rect">
          <a:avLst/>
        </a:prstGeom>
      </xdr:spPr>
    </xdr:pic>
    <xdr:clientData/>
  </xdr:twoCellAnchor>
  <xdr:twoCellAnchor>
    <xdr:from>
      <xdr:col>7</xdr:col>
      <xdr:colOff>119405</xdr:colOff>
      <xdr:row>27</xdr:row>
      <xdr:rowOff>26633</xdr:rowOff>
    </xdr:from>
    <xdr:to>
      <xdr:col>18</xdr:col>
      <xdr:colOff>79592</xdr:colOff>
      <xdr:row>47</xdr:row>
      <xdr:rowOff>223483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D967E6F-9CD0-AB84-6CB6-861BEC80C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996540</xdr:colOff>
      <xdr:row>21</xdr:row>
      <xdr:rowOff>820</xdr:rowOff>
    </xdr:from>
    <xdr:to>
      <xdr:col>13</xdr:col>
      <xdr:colOff>583791</xdr:colOff>
      <xdr:row>39</xdr:row>
      <xdr:rowOff>133145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439B3E7-E214-3A76-F782-F325EF29F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9DAA-A760-0348-B0E3-E2590A497B48}">
  <sheetPr codeName="Sheet1"/>
  <dimension ref="A1:AB71"/>
  <sheetViews>
    <sheetView topLeftCell="A19" zoomScale="45" zoomScaleNormal="63" workbookViewId="0">
      <selection activeCell="Q27" sqref="Q27"/>
    </sheetView>
  </sheetViews>
  <sheetFormatPr defaultColWidth="11.07421875" defaultRowHeight="17.5"/>
  <cols>
    <col min="1" max="1" width="24.53515625" customWidth="1"/>
    <col min="2" max="2" width="12.3828125" bestFit="1" customWidth="1"/>
    <col min="3" max="3" width="15.3828125" bestFit="1" customWidth="1"/>
    <col min="4" max="4" width="14.53515625" customWidth="1"/>
    <col min="5" max="5" width="12.84375" customWidth="1"/>
    <col min="6" max="6" width="6.15234375" bestFit="1" customWidth="1"/>
    <col min="7" max="7" width="9.69140625" bestFit="1" customWidth="1"/>
    <col min="8" max="8" width="7.84375" bestFit="1" customWidth="1"/>
    <col min="9" max="9" width="9.69140625" bestFit="1" customWidth="1"/>
    <col min="10" max="10" width="8.69140625" bestFit="1" customWidth="1"/>
    <col min="11" max="11" width="9.69140625" bestFit="1" customWidth="1"/>
    <col min="12" max="13" width="7.84375" bestFit="1" customWidth="1"/>
    <col min="14" max="16" width="9.69140625" bestFit="1" customWidth="1"/>
    <col min="17" max="17" width="8.69140625" bestFit="1" customWidth="1"/>
    <col min="18" max="18" width="7" bestFit="1" customWidth="1"/>
    <col min="19" max="19" width="8.69140625" bestFit="1" customWidth="1"/>
    <col min="20" max="20" width="7" bestFit="1" customWidth="1"/>
    <col min="21" max="21" width="8.69140625" bestFit="1" customWidth="1"/>
    <col min="22" max="22" width="7.84375" bestFit="1" customWidth="1"/>
    <col min="23" max="23" width="8.69140625" bestFit="1" customWidth="1"/>
    <col min="24" max="24" width="7.84375" bestFit="1" customWidth="1"/>
    <col min="25" max="25" width="8.69140625" bestFit="1" customWidth="1"/>
    <col min="26" max="26" width="7.84375" bestFit="1" customWidth="1"/>
    <col min="27" max="27" width="6.15234375" bestFit="1" customWidth="1"/>
  </cols>
  <sheetData>
    <row r="1" spans="1:28" ht="70.5" thickBot="1">
      <c r="A1" s="29" t="s">
        <v>30</v>
      </c>
    </row>
    <row r="2" spans="1:28" ht="18" thickBot="1">
      <c r="A2" s="5" t="s">
        <v>0</v>
      </c>
      <c r="B2" s="6" t="s">
        <v>2</v>
      </c>
      <c r="C2" s="6" t="s">
        <v>3</v>
      </c>
      <c r="D2" s="7" t="s">
        <v>1</v>
      </c>
      <c r="F2" s="17" t="s">
        <v>24</v>
      </c>
      <c r="G2" s="18">
        <v>0.5</v>
      </c>
      <c r="H2" s="18">
        <v>1</v>
      </c>
      <c r="I2" s="18">
        <v>1.5</v>
      </c>
      <c r="J2" s="18">
        <v>2</v>
      </c>
      <c r="K2" s="18">
        <v>2.5</v>
      </c>
      <c r="L2" s="18">
        <v>3</v>
      </c>
      <c r="M2" s="18">
        <v>3.5</v>
      </c>
      <c r="N2" s="18">
        <v>4</v>
      </c>
      <c r="O2" s="18">
        <v>4.5</v>
      </c>
      <c r="P2" s="18">
        <v>5</v>
      </c>
      <c r="Q2" s="18">
        <v>5.5</v>
      </c>
      <c r="R2" s="18">
        <v>6</v>
      </c>
      <c r="S2" s="18">
        <v>6.5</v>
      </c>
      <c r="T2" s="18">
        <v>7</v>
      </c>
      <c r="U2" s="18">
        <v>7.5</v>
      </c>
      <c r="V2" s="18">
        <v>8</v>
      </c>
      <c r="W2" s="18">
        <v>8.5</v>
      </c>
      <c r="X2" s="18">
        <v>9</v>
      </c>
      <c r="Y2" s="18">
        <v>9.5</v>
      </c>
      <c r="Z2" s="19">
        <v>10</v>
      </c>
      <c r="AB2" s="21"/>
    </row>
    <row r="3" spans="1:28">
      <c r="A3" s="8">
        <v>4.125</v>
      </c>
      <c r="B3" s="4" t="s">
        <v>4</v>
      </c>
      <c r="C3" s="3">
        <v>0.5</v>
      </c>
      <c r="D3" s="9">
        <v>101</v>
      </c>
      <c r="F3" s="20">
        <v>0.5</v>
      </c>
      <c r="G3" s="21" cm="1">
        <f t="array" ref="G3:Z22">IF(G2:Z2 &gt; C3:C22, 0, IF(G2:Z2 &lt; C3:C22, A3:A22/2, 100 + (A3:A22/2)))</f>
        <v>102.0625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2">
        <v>0</v>
      </c>
      <c r="AB3" s="21"/>
    </row>
    <row r="4" spans="1:28">
      <c r="A4" s="10">
        <v>4.5</v>
      </c>
      <c r="B4" s="2" t="s">
        <v>5</v>
      </c>
      <c r="C4" s="1">
        <v>1</v>
      </c>
      <c r="D4" s="11">
        <v>102.625</v>
      </c>
      <c r="F4" s="20">
        <v>1</v>
      </c>
      <c r="G4" s="21">
        <v>2.25</v>
      </c>
      <c r="H4" s="21">
        <v>102.25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2">
        <v>0</v>
      </c>
      <c r="AB4" s="21"/>
    </row>
    <row r="5" spans="1:28">
      <c r="A5" s="10">
        <v>4.875</v>
      </c>
      <c r="B5" s="2" t="s">
        <v>6</v>
      </c>
      <c r="C5" s="1">
        <v>1.5</v>
      </c>
      <c r="D5" s="11">
        <v>104.4922</v>
      </c>
      <c r="F5" s="20">
        <v>1.5</v>
      </c>
      <c r="G5" s="21">
        <v>2.4375</v>
      </c>
      <c r="H5" s="21">
        <v>2.4375</v>
      </c>
      <c r="I5" s="21">
        <v>102.4375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2">
        <v>0</v>
      </c>
      <c r="AB5" s="21"/>
    </row>
    <row r="6" spans="1:28">
      <c r="A6" s="10">
        <v>4.75</v>
      </c>
      <c r="B6" s="2" t="s">
        <v>7</v>
      </c>
      <c r="C6" s="1">
        <v>2</v>
      </c>
      <c r="D6" s="11">
        <v>105.5234</v>
      </c>
      <c r="F6" s="20">
        <v>2</v>
      </c>
      <c r="G6" s="21">
        <v>2.375</v>
      </c>
      <c r="H6" s="21">
        <v>2.375</v>
      </c>
      <c r="I6" s="21">
        <v>2.375</v>
      </c>
      <c r="J6" s="21">
        <v>102.375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2">
        <v>0</v>
      </c>
      <c r="AB6" s="21"/>
    </row>
    <row r="7" spans="1:28">
      <c r="A7" s="10">
        <v>4.125</v>
      </c>
      <c r="B7" s="2" t="s">
        <v>8</v>
      </c>
      <c r="C7" s="1">
        <v>2.5</v>
      </c>
      <c r="D7" s="11">
        <v>105.1016</v>
      </c>
      <c r="F7" s="20">
        <v>2.5</v>
      </c>
      <c r="G7" s="21">
        <v>2.0625</v>
      </c>
      <c r="H7" s="21">
        <v>2.0625</v>
      </c>
      <c r="I7" s="21">
        <v>2.0625</v>
      </c>
      <c r="J7" s="21">
        <v>2.0625</v>
      </c>
      <c r="K7" s="21">
        <v>102.0625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2">
        <v>0</v>
      </c>
      <c r="AB7" s="21"/>
    </row>
    <row r="8" spans="1:28">
      <c r="A8" s="10">
        <v>5</v>
      </c>
      <c r="B8" s="2" t="s">
        <v>9</v>
      </c>
      <c r="C8" s="1">
        <v>3</v>
      </c>
      <c r="D8" s="11">
        <v>108.25</v>
      </c>
      <c r="F8" s="20">
        <v>3</v>
      </c>
      <c r="G8" s="21">
        <v>2.5</v>
      </c>
      <c r="H8" s="21">
        <v>2.5</v>
      </c>
      <c r="I8" s="21">
        <v>2.5</v>
      </c>
      <c r="J8" s="21">
        <v>2.5</v>
      </c>
      <c r="K8" s="21">
        <v>2.5</v>
      </c>
      <c r="L8" s="21">
        <v>102.5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2">
        <v>0</v>
      </c>
      <c r="AB8" s="21"/>
    </row>
    <row r="9" spans="1:28">
      <c r="A9" s="10">
        <v>5</v>
      </c>
      <c r="B9" s="2" t="s">
        <v>10</v>
      </c>
      <c r="C9" s="1">
        <v>3.5</v>
      </c>
      <c r="D9" s="11">
        <v>109.01560000000001</v>
      </c>
      <c r="F9" s="20">
        <v>3.5</v>
      </c>
      <c r="G9" s="21">
        <v>2.5</v>
      </c>
      <c r="H9" s="21">
        <v>2.5</v>
      </c>
      <c r="I9" s="21">
        <v>2.5</v>
      </c>
      <c r="J9" s="21">
        <v>2.5</v>
      </c>
      <c r="K9" s="21">
        <v>2.5</v>
      </c>
      <c r="L9" s="21">
        <v>2.5</v>
      </c>
      <c r="M9" s="21">
        <v>102.5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2">
        <v>0</v>
      </c>
      <c r="AB9" s="21"/>
    </row>
    <row r="10" spans="1:28">
      <c r="A10" s="10">
        <v>4.875</v>
      </c>
      <c r="B10" s="2" t="s">
        <v>11</v>
      </c>
      <c r="C10" s="1">
        <v>4</v>
      </c>
      <c r="D10" s="11">
        <v>109.1875</v>
      </c>
      <c r="F10" s="20">
        <v>4</v>
      </c>
      <c r="G10" s="21">
        <v>2.4375</v>
      </c>
      <c r="H10" s="21">
        <v>2.4375</v>
      </c>
      <c r="I10" s="21">
        <v>2.4375</v>
      </c>
      <c r="J10" s="21">
        <v>2.4375</v>
      </c>
      <c r="K10" s="21">
        <v>2.4375</v>
      </c>
      <c r="L10" s="21">
        <v>2.4375</v>
      </c>
      <c r="M10" s="21">
        <v>2.4375</v>
      </c>
      <c r="N10" s="21">
        <v>102.4375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2">
        <v>0</v>
      </c>
      <c r="AB10" s="21"/>
    </row>
    <row r="11" spans="1:28">
      <c r="A11" s="10">
        <v>4.375</v>
      </c>
      <c r="B11" s="2" t="s">
        <v>12</v>
      </c>
      <c r="C11" s="1">
        <v>4.5</v>
      </c>
      <c r="D11" s="11">
        <v>107.3438</v>
      </c>
      <c r="F11" s="20">
        <v>4.5</v>
      </c>
      <c r="G11" s="21">
        <v>2.1875</v>
      </c>
      <c r="H11" s="21">
        <v>2.1875</v>
      </c>
      <c r="I11" s="21">
        <v>2.1875</v>
      </c>
      <c r="J11" s="21">
        <v>2.1875</v>
      </c>
      <c r="K11" s="21">
        <v>2.1875</v>
      </c>
      <c r="L11" s="21">
        <v>2.1875</v>
      </c>
      <c r="M11" s="21">
        <v>2.1875</v>
      </c>
      <c r="N11" s="21">
        <v>2.1875</v>
      </c>
      <c r="O11" s="21">
        <v>102.1875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2">
        <v>0</v>
      </c>
      <c r="AB11" s="21"/>
    </row>
    <row r="12" spans="1:28">
      <c r="A12" s="10">
        <v>3.875</v>
      </c>
      <c r="B12" s="2" t="s">
        <v>13</v>
      </c>
      <c r="C12" s="1">
        <v>5</v>
      </c>
      <c r="D12" s="11">
        <v>105.1563</v>
      </c>
      <c r="F12" s="20">
        <v>5</v>
      </c>
      <c r="G12" s="21">
        <v>1.9375</v>
      </c>
      <c r="H12" s="21">
        <v>1.9375</v>
      </c>
      <c r="I12" s="21">
        <v>1.9375</v>
      </c>
      <c r="J12" s="21">
        <v>1.9375</v>
      </c>
      <c r="K12" s="21">
        <v>1.9375</v>
      </c>
      <c r="L12" s="21">
        <v>1.9375</v>
      </c>
      <c r="M12" s="21">
        <v>1.9375</v>
      </c>
      <c r="N12" s="21">
        <v>1.9375</v>
      </c>
      <c r="O12" s="21">
        <v>1.9375</v>
      </c>
      <c r="P12" s="21">
        <v>101.9375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2">
        <v>0</v>
      </c>
      <c r="AB12" s="21"/>
    </row>
    <row r="13" spans="1:28">
      <c r="A13" s="10">
        <v>4.25</v>
      </c>
      <c r="B13" s="2" t="s">
        <v>14</v>
      </c>
      <c r="C13" s="1">
        <v>5.5</v>
      </c>
      <c r="D13" s="11">
        <v>106.82810000000001</v>
      </c>
      <c r="F13" s="20">
        <v>5.5</v>
      </c>
      <c r="G13" s="21">
        <v>2.125</v>
      </c>
      <c r="H13" s="21">
        <v>2.125</v>
      </c>
      <c r="I13" s="21">
        <v>2.125</v>
      </c>
      <c r="J13" s="21">
        <v>2.125</v>
      </c>
      <c r="K13" s="21">
        <v>2.125</v>
      </c>
      <c r="L13" s="21">
        <v>2.125</v>
      </c>
      <c r="M13" s="21">
        <v>2.125</v>
      </c>
      <c r="N13" s="21">
        <v>2.125</v>
      </c>
      <c r="O13" s="21">
        <v>2.125</v>
      </c>
      <c r="P13" s="21">
        <v>2.125</v>
      </c>
      <c r="Q13" s="21">
        <v>102.125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2">
        <v>0</v>
      </c>
      <c r="AB13" s="21"/>
    </row>
    <row r="14" spans="1:28">
      <c r="A14" s="10">
        <v>4</v>
      </c>
      <c r="B14" s="2" t="s">
        <v>15</v>
      </c>
      <c r="C14" s="1">
        <v>6</v>
      </c>
      <c r="D14" s="11">
        <v>105.25</v>
      </c>
      <c r="F14" s="20">
        <v>6</v>
      </c>
      <c r="G14" s="21">
        <v>2</v>
      </c>
      <c r="H14" s="21">
        <v>2</v>
      </c>
      <c r="I14" s="21">
        <v>2</v>
      </c>
      <c r="J14" s="21">
        <v>2</v>
      </c>
      <c r="K14" s="21">
        <v>2</v>
      </c>
      <c r="L14" s="21">
        <v>2</v>
      </c>
      <c r="M14" s="21">
        <v>2</v>
      </c>
      <c r="N14" s="21">
        <v>2</v>
      </c>
      <c r="O14" s="21">
        <v>2</v>
      </c>
      <c r="P14" s="21">
        <v>2</v>
      </c>
      <c r="Q14" s="21">
        <v>2</v>
      </c>
      <c r="R14" s="21">
        <v>102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2">
        <v>0</v>
      </c>
      <c r="AB14" s="21"/>
    </row>
    <row r="15" spans="1:28">
      <c r="A15" s="10">
        <v>4.25</v>
      </c>
      <c r="B15" s="2" t="s">
        <v>16</v>
      </c>
      <c r="C15" s="1">
        <v>6.5</v>
      </c>
      <c r="D15" s="11">
        <v>106.3438</v>
      </c>
      <c r="F15" s="20">
        <v>6.5</v>
      </c>
      <c r="G15" s="21">
        <v>2.125</v>
      </c>
      <c r="H15" s="21">
        <v>2.125</v>
      </c>
      <c r="I15" s="21">
        <v>2.125</v>
      </c>
      <c r="J15" s="21">
        <v>2.125</v>
      </c>
      <c r="K15" s="21">
        <v>2.125</v>
      </c>
      <c r="L15" s="21">
        <v>2.125</v>
      </c>
      <c r="M15" s="21">
        <v>2.125</v>
      </c>
      <c r="N15" s="21">
        <v>2.125</v>
      </c>
      <c r="O15" s="21">
        <v>2.125</v>
      </c>
      <c r="P15" s="21">
        <v>2.125</v>
      </c>
      <c r="Q15" s="21">
        <v>2.125</v>
      </c>
      <c r="R15" s="21">
        <v>2.125</v>
      </c>
      <c r="S15" s="21">
        <v>102.125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2">
        <v>0</v>
      </c>
      <c r="AB15" s="21"/>
    </row>
    <row r="16" spans="1:28">
      <c r="A16" s="10">
        <v>4</v>
      </c>
      <c r="B16" s="2" t="s">
        <v>17</v>
      </c>
      <c r="C16" s="1">
        <v>7</v>
      </c>
      <c r="D16" s="11">
        <v>104.39060000000001</v>
      </c>
      <c r="F16" s="20">
        <v>7</v>
      </c>
      <c r="G16" s="21">
        <v>2</v>
      </c>
      <c r="H16" s="21">
        <v>2</v>
      </c>
      <c r="I16" s="21">
        <v>2</v>
      </c>
      <c r="J16" s="21">
        <v>2</v>
      </c>
      <c r="K16" s="21">
        <v>2</v>
      </c>
      <c r="L16" s="21">
        <v>2</v>
      </c>
      <c r="M16" s="21">
        <v>2</v>
      </c>
      <c r="N16" s="21">
        <v>2</v>
      </c>
      <c r="O16" s="21">
        <v>2</v>
      </c>
      <c r="P16" s="21">
        <v>2</v>
      </c>
      <c r="Q16" s="21">
        <v>2</v>
      </c>
      <c r="R16" s="21">
        <v>2</v>
      </c>
      <c r="S16" s="21">
        <v>2</v>
      </c>
      <c r="T16" s="21">
        <v>102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2">
        <v>0</v>
      </c>
      <c r="AB16" s="21"/>
    </row>
    <row r="17" spans="1:28">
      <c r="A17" s="10">
        <v>4.25</v>
      </c>
      <c r="B17" s="2" t="s">
        <v>18</v>
      </c>
      <c r="C17" s="1">
        <v>7.5</v>
      </c>
      <c r="D17" s="11">
        <v>105.42189999999999</v>
      </c>
      <c r="F17" s="20">
        <v>7.5</v>
      </c>
      <c r="G17" s="21">
        <v>2.125</v>
      </c>
      <c r="H17" s="21">
        <v>2.125</v>
      </c>
      <c r="I17" s="21">
        <v>2.125</v>
      </c>
      <c r="J17" s="21">
        <v>2.125</v>
      </c>
      <c r="K17" s="21">
        <v>2.125</v>
      </c>
      <c r="L17" s="21">
        <v>2.125</v>
      </c>
      <c r="M17" s="21">
        <v>2.125</v>
      </c>
      <c r="N17" s="21">
        <v>2.125</v>
      </c>
      <c r="O17" s="21">
        <v>2.125</v>
      </c>
      <c r="P17" s="21">
        <v>2.125</v>
      </c>
      <c r="Q17" s="21">
        <v>2.125</v>
      </c>
      <c r="R17" s="21">
        <v>2.125</v>
      </c>
      <c r="S17" s="21">
        <v>2.125</v>
      </c>
      <c r="T17" s="21">
        <v>2.125</v>
      </c>
      <c r="U17" s="21">
        <v>102.125</v>
      </c>
      <c r="V17" s="21">
        <v>0</v>
      </c>
      <c r="W17" s="21">
        <v>0</v>
      </c>
      <c r="X17" s="21">
        <v>0</v>
      </c>
      <c r="Y17" s="21">
        <v>0</v>
      </c>
      <c r="Z17" s="22">
        <v>0</v>
      </c>
      <c r="AB17" s="21"/>
    </row>
    <row r="18" spans="1:28">
      <c r="A18" s="10">
        <v>4.5</v>
      </c>
      <c r="B18" s="2" t="s">
        <v>19</v>
      </c>
      <c r="C18" s="1">
        <v>8</v>
      </c>
      <c r="D18" s="11">
        <v>106.73439999999999</v>
      </c>
      <c r="F18" s="20">
        <v>8</v>
      </c>
      <c r="G18" s="21">
        <v>2.25</v>
      </c>
      <c r="H18" s="21">
        <v>2.25</v>
      </c>
      <c r="I18" s="21">
        <v>2.25</v>
      </c>
      <c r="J18" s="21">
        <v>2.25</v>
      </c>
      <c r="K18" s="21">
        <v>2.25</v>
      </c>
      <c r="L18" s="21">
        <v>2.25</v>
      </c>
      <c r="M18" s="21">
        <v>2.25</v>
      </c>
      <c r="N18" s="21">
        <v>2.25</v>
      </c>
      <c r="O18" s="21">
        <v>2.25</v>
      </c>
      <c r="P18" s="21">
        <v>2.25</v>
      </c>
      <c r="Q18" s="21">
        <v>2.25</v>
      </c>
      <c r="R18" s="21">
        <v>2.25</v>
      </c>
      <c r="S18" s="21">
        <v>2.25</v>
      </c>
      <c r="T18" s="21">
        <v>2.25</v>
      </c>
      <c r="U18" s="21">
        <v>2.25</v>
      </c>
      <c r="V18" s="21">
        <v>102.25</v>
      </c>
      <c r="W18" s="21">
        <v>0</v>
      </c>
      <c r="X18" s="21">
        <v>0</v>
      </c>
      <c r="Y18" s="21">
        <v>0</v>
      </c>
      <c r="Z18" s="22">
        <v>0</v>
      </c>
      <c r="AB18" s="21"/>
    </row>
    <row r="19" spans="1:28">
      <c r="A19" s="10">
        <v>4.875</v>
      </c>
      <c r="B19" s="2" t="s">
        <v>20</v>
      </c>
      <c r="C19" s="1">
        <v>8.5</v>
      </c>
      <c r="D19" s="11">
        <v>109.01560000000001</v>
      </c>
      <c r="F19" s="20">
        <v>8.5</v>
      </c>
      <c r="G19" s="21">
        <v>2.4375</v>
      </c>
      <c r="H19" s="21">
        <v>2.4375</v>
      </c>
      <c r="I19" s="21">
        <v>2.4375</v>
      </c>
      <c r="J19" s="21">
        <v>2.4375</v>
      </c>
      <c r="K19" s="21">
        <v>2.4375</v>
      </c>
      <c r="L19" s="21">
        <v>2.4375</v>
      </c>
      <c r="M19" s="21">
        <v>2.4375</v>
      </c>
      <c r="N19" s="21">
        <v>2.4375</v>
      </c>
      <c r="O19" s="21">
        <v>2.4375</v>
      </c>
      <c r="P19" s="21">
        <v>2.4375</v>
      </c>
      <c r="Q19" s="21">
        <v>2.4375</v>
      </c>
      <c r="R19" s="21">
        <v>2.4375</v>
      </c>
      <c r="S19" s="21">
        <v>2.4375</v>
      </c>
      <c r="T19" s="21">
        <v>2.4375</v>
      </c>
      <c r="U19" s="21">
        <v>2.4375</v>
      </c>
      <c r="V19" s="21">
        <v>2.4375</v>
      </c>
      <c r="W19" s="21">
        <v>102.4375</v>
      </c>
      <c r="X19" s="21">
        <v>0</v>
      </c>
      <c r="Y19" s="21">
        <v>0</v>
      </c>
      <c r="Z19" s="22">
        <v>0</v>
      </c>
      <c r="AB19" s="21"/>
    </row>
    <row r="20" spans="1:28">
      <c r="A20" s="10">
        <v>4.625</v>
      </c>
      <c r="B20" s="2" t="s">
        <v>21</v>
      </c>
      <c r="C20" s="1">
        <v>9</v>
      </c>
      <c r="D20" s="11">
        <v>106.95310000000001</v>
      </c>
      <c r="F20" s="20">
        <v>9</v>
      </c>
      <c r="G20" s="21">
        <v>2.3125</v>
      </c>
      <c r="H20" s="21">
        <v>2.3125</v>
      </c>
      <c r="I20" s="21">
        <v>2.3125</v>
      </c>
      <c r="J20" s="21">
        <v>2.3125</v>
      </c>
      <c r="K20" s="21">
        <v>2.3125</v>
      </c>
      <c r="L20" s="21">
        <v>2.3125</v>
      </c>
      <c r="M20" s="21">
        <v>2.3125</v>
      </c>
      <c r="N20" s="21">
        <v>2.3125</v>
      </c>
      <c r="O20" s="21">
        <v>2.3125</v>
      </c>
      <c r="P20" s="21">
        <v>2.3125</v>
      </c>
      <c r="Q20" s="21">
        <v>2.3125</v>
      </c>
      <c r="R20" s="21">
        <v>2.3125</v>
      </c>
      <c r="S20" s="21">
        <v>2.3125</v>
      </c>
      <c r="T20" s="21">
        <v>2.3125</v>
      </c>
      <c r="U20" s="21">
        <v>2.3125</v>
      </c>
      <c r="V20" s="21">
        <v>2.3125</v>
      </c>
      <c r="W20" s="21">
        <v>2.3125</v>
      </c>
      <c r="X20" s="21">
        <v>102.3125</v>
      </c>
      <c r="Y20" s="21">
        <v>0</v>
      </c>
      <c r="Z20" s="22">
        <v>0</v>
      </c>
      <c r="AB20" s="21"/>
    </row>
    <row r="21" spans="1:28">
      <c r="A21" s="10">
        <v>4.75</v>
      </c>
      <c r="B21" s="2" t="s">
        <v>22</v>
      </c>
      <c r="C21" s="1">
        <v>9.5</v>
      </c>
      <c r="D21" s="11">
        <v>107.89060000000001</v>
      </c>
      <c r="F21" s="20">
        <v>9.5</v>
      </c>
      <c r="G21" s="21">
        <v>2.375</v>
      </c>
      <c r="H21" s="21">
        <v>2.375</v>
      </c>
      <c r="I21" s="21">
        <v>2.375</v>
      </c>
      <c r="J21" s="21">
        <v>2.375</v>
      </c>
      <c r="K21" s="21">
        <v>2.375</v>
      </c>
      <c r="L21" s="21">
        <v>2.375</v>
      </c>
      <c r="M21" s="21">
        <v>2.375</v>
      </c>
      <c r="N21" s="21">
        <v>2.375</v>
      </c>
      <c r="O21" s="21">
        <v>2.375</v>
      </c>
      <c r="P21" s="21">
        <v>2.375</v>
      </c>
      <c r="Q21" s="21">
        <v>2.375</v>
      </c>
      <c r="R21" s="21">
        <v>2.375</v>
      </c>
      <c r="S21" s="21">
        <v>2.375</v>
      </c>
      <c r="T21" s="21">
        <v>2.375</v>
      </c>
      <c r="U21" s="21">
        <v>2.375</v>
      </c>
      <c r="V21" s="21">
        <v>2.375</v>
      </c>
      <c r="W21" s="21">
        <v>2.375</v>
      </c>
      <c r="X21" s="21">
        <v>2.375</v>
      </c>
      <c r="Y21" s="21">
        <v>102.375</v>
      </c>
      <c r="Z21" s="22">
        <v>0</v>
      </c>
      <c r="AB21" s="21"/>
    </row>
    <row r="22" spans="1:28" ht="18" thickBot="1">
      <c r="A22" s="12">
        <v>3.5</v>
      </c>
      <c r="B22" s="13" t="s">
        <v>23</v>
      </c>
      <c r="C22" s="14">
        <v>10</v>
      </c>
      <c r="D22" s="15">
        <v>97.890600000000006</v>
      </c>
      <c r="F22" s="23">
        <v>10</v>
      </c>
      <c r="G22" s="24">
        <v>1.75</v>
      </c>
      <c r="H22" s="24">
        <v>1.75</v>
      </c>
      <c r="I22" s="24">
        <v>1.75</v>
      </c>
      <c r="J22" s="24">
        <v>1.75</v>
      </c>
      <c r="K22" s="24">
        <v>1.75</v>
      </c>
      <c r="L22" s="24">
        <v>1.75</v>
      </c>
      <c r="M22" s="24">
        <v>1.75</v>
      </c>
      <c r="N22" s="24">
        <v>1.75</v>
      </c>
      <c r="O22" s="24">
        <v>1.75</v>
      </c>
      <c r="P22" s="24">
        <v>1.75</v>
      </c>
      <c r="Q22" s="24">
        <v>1.75</v>
      </c>
      <c r="R22" s="24">
        <v>1.75</v>
      </c>
      <c r="S22" s="24">
        <v>1.75</v>
      </c>
      <c r="T22" s="24">
        <v>1.75</v>
      </c>
      <c r="U22" s="24">
        <v>1.75</v>
      </c>
      <c r="V22" s="24">
        <v>1.75</v>
      </c>
      <c r="W22" s="24">
        <v>1.75</v>
      </c>
      <c r="X22" s="24">
        <v>1.75</v>
      </c>
      <c r="Y22" s="24">
        <v>1.75</v>
      </c>
      <c r="Z22" s="25">
        <v>101.75</v>
      </c>
      <c r="AB22" s="21"/>
    </row>
    <row r="23" spans="1:28">
      <c r="D23" t="s">
        <v>29</v>
      </c>
    </row>
    <row r="24" spans="1:28">
      <c r="F24" s="16"/>
    </row>
    <row r="27" spans="1:28" ht="105.5" thickBot="1">
      <c r="A27" s="29" t="s">
        <v>52</v>
      </c>
    </row>
    <row r="28" spans="1:28" ht="18" thickBot="1">
      <c r="A28" s="33" t="s">
        <v>25</v>
      </c>
      <c r="B28" s="33" t="s">
        <v>26</v>
      </c>
      <c r="C28" s="38" t="s">
        <v>27</v>
      </c>
      <c r="D28" s="39" t="s">
        <v>28</v>
      </c>
      <c r="E28" s="33" t="s">
        <v>31</v>
      </c>
    </row>
    <row r="29" spans="1:28">
      <c r="A29">
        <f t="shared" ref="A29:A48" si="0">C3</f>
        <v>0.5</v>
      </c>
      <c r="B29">
        <f>D3</f>
        <v>101</v>
      </c>
      <c r="C29" s="27" cm="1">
        <f t="array" ref="C29:C48">MMULT(MINVERSE(G3:Z22), B29:B48)</f>
        <v>0.98958971218616043</v>
      </c>
      <c r="D29" s="26">
        <f>((1/C29)^(1/A29))-1</f>
        <v>2.1150270194098431E-2</v>
      </c>
      <c r="E29" cm="1">
        <f t="array" ref="E29:E48">MMULT(G3:Z22, C29:C48)</f>
        <v>101</v>
      </c>
    </row>
    <row r="30" spans="1:28">
      <c r="A30">
        <f t="shared" si="0"/>
        <v>1</v>
      </c>
      <c r="B30">
        <f t="shared" ref="B30:B48" si="1">D4</f>
        <v>102.625</v>
      </c>
      <c r="C30" s="27">
        <v>0.98189166892499891</v>
      </c>
      <c r="D30" s="26">
        <f t="shared" ref="D30:D48" si="2">((1/C30)^(1/A30))-1</f>
        <v>1.8442290171202469E-2</v>
      </c>
      <c r="E30">
        <v>102.625</v>
      </c>
    </row>
    <row r="31" spans="1:28">
      <c r="A31">
        <f t="shared" si="0"/>
        <v>1.5</v>
      </c>
      <c r="B31">
        <f t="shared" si="1"/>
        <v>104.4922</v>
      </c>
      <c r="C31" s="27">
        <v>0.97314669074842253</v>
      </c>
      <c r="D31" s="26">
        <f t="shared" si="2"/>
        <v>1.8312621270367702E-2</v>
      </c>
      <c r="E31">
        <v>104.49219999999998</v>
      </c>
    </row>
    <row r="32" spans="1:28">
      <c r="A32">
        <f t="shared" si="0"/>
        <v>2</v>
      </c>
      <c r="B32">
        <f t="shared" si="1"/>
        <v>105.5234</v>
      </c>
      <c r="C32" s="27">
        <v>0.96244110700203644</v>
      </c>
      <c r="D32" s="26">
        <f t="shared" si="2"/>
        <v>1.9325568359375378E-2</v>
      </c>
      <c r="E32">
        <v>105.52339999999998</v>
      </c>
    </row>
    <row r="33" spans="1:5">
      <c r="A33">
        <f t="shared" si="0"/>
        <v>2.5</v>
      </c>
      <c r="B33">
        <f t="shared" si="1"/>
        <v>105.1016</v>
      </c>
      <c r="C33" s="27">
        <v>0.95082199454841809</v>
      </c>
      <c r="D33" s="26">
        <f t="shared" si="2"/>
        <v>2.0376181233360047E-2</v>
      </c>
      <c r="E33">
        <v>105.1016</v>
      </c>
    </row>
    <row r="34" spans="1:5">
      <c r="A34">
        <f t="shared" si="0"/>
        <v>3</v>
      </c>
      <c r="B34">
        <f t="shared" si="1"/>
        <v>108.25</v>
      </c>
      <c r="C34" s="27">
        <v>0.93761241040463328</v>
      </c>
      <c r="D34" s="26">
        <f t="shared" si="2"/>
        <v>2.1705075834624221E-2</v>
      </c>
      <c r="E34">
        <v>108.25</v>
      </c>
    </row>
    <row r="35" spans="1:5">
      <c r="A35">
        <f t="shared" si="0"/>
        <v>3.5</v>
      </c>
      <c r="B35">
        <f t="shared" si="1"/>
        <v>109.01560000000001</v>
      </c>
      <c r="C35" s="27">
        <v>0.92221308332159346</v>
      </c>
      <c r="D35" s="26">
        <f t="shared" si="2"/>
        <v>2.3406582346651605E-2</v>
      </c>
      <c r="E35">
        <v>109.01560000000001</v>
      </c>
    </row>
    <row r="36" spans="1:5">
      <c r="A36">
        <f t="shared" si="0"/>
        <v>4</v>
      </c>
      <c r="B36">
        <f t="shared" si="1"/>
        <v>109.1875</v>
      </c>
      <c r="C36" s="27">
        <v>0.90604579010475017</v>
      </c>
      <c r="D36" s="26">
        <f t="shared" si="2"/>
        <v>2.497308972147172E-2</v>
      </c>
      <c r="E36">
        <v>109.1875</v>
      </c>
    </row>
    <row r="37" spans="1:5">
      <c r="A37">
        <f t="shared" si="0"/>
        <v>4.5</v>
      </c>
      <c r="B37">
        <f t="shared" si="1"/>
        <v>107.3438</v>
      </c>
      <c r="C37" s="27">
        <v>0.88725939693979483</v>
      </c>
      <c r="D37" s="26">
        <f t="shared" si="2"/>
        <v>2.693820091758603E-2</v>
      </c>
      <c r="E37">
        <v>107.3438</v>
      </c>
    </row>
    <row r="38" spans="1:5">
      <c r="A38">
        <f t="shared" si="0"/>
        <v>5</v>
      </c>
      <c r="B38">
        <f t="shared" si="1"/>
        <v>105.1563</v>
      </c>
      <c r="C38" s="27">
        <v>0.8698093945557297</v>
      </c>
      <c r="D38" s="26">
        <f t="shared" si="2"/>
        <v>2.8288979107589096E-2</v>
      </c>
      <c r="E38">
        <v>105.15630000000002</v>
      </c>
    </row>
    <row r="39" spans="1:5">
      <c r="A39">
        <f t="shared" si="0"/>
        <v>5.5</v>
      </c>
      <c r="B39">
        <f t="shared" si="1"/>
        <v>106.82810000000001</v>
      </c>
      <c r="C39" s="27">
        <v>0.85085761171539631</v>
      </c>
      <c r="D39" s="26">
        <f t="shared" si="2"/>
        <v>2.9800961595289222E-2</v>
      </c>
      <c r="E39">
        <v>106.82809999999999</v>
      </c>
    </row>
    <row r="40" spans="1:5">
      <c r="A40">
        <f t="shared" si="0"/>
        <v>6</v>
      </c>
      <c r="B40">
        <f t="shared" si="1"/>
        <v>105.25</v>
      </c>
      <c r="C40" s="27">
        <v>0.83124139489309923</v>
      </c>
      <c r="D40" s="26">
        <f t="shared" si="2"/>
        <v>3.1285249943185489E-2</v>
      </c>
      <c r="E40">
        <v>105.25</v>
      </c>
    </row>
    <row r="41" spans="1:5">
      <c r="A41">
        <f t="shared" si="0"/>
        <v>6.5</v>
      </c>
      <c r="B41">
        <f t="shared" si="1"/>
        <v>106.3438</v>
      </c>
      <c r="C41" s="27">
        <v>0.81111454793039717</v>
      </c>
      <c r="D41" s="26">
        <f t="shared" si="2"/>
        <v>3.2731336723833326E-2</v>
      </c>
      <c r="E41">
        <v>106.34380000000002</v>
      </c>
    </row>
    <row r="42" spans="1:5">
      <c r="A42">
        <f t="shared" si="0"/>
        <v>7</v>
      </c>
      <c r="B42">
        <f t="shared" si="1"/>
        <v>104.39060000000001</v>
      </c>
      <c r="C42" s="27">
        <v>0.79061284699459944</v>
      </c>
      <c r="D42" s="26">
        <f t="shared" si="2"/>
        <v>3.4133460488549705E-2</v>
      </c>
      <c r="E42">
        <v>104.39060000000001</v>
      </c>
    </row>
    <row r="43" spans="1:5">
      <c r="A43">
        <f t="shared" si="0"/>
        <v>7.5</v>
      </c>
      <c r="B43">
        <f t="shared" si="1"/>
        <v>105.42189999999999</v>
      </c>
      <c r="C43" s="27">
        <v>0.76875889834199429</v>
      </c>
      <c r="D43" s="26">
        <f t="shared" si="2"/>
        <v>3.568569849777381E-2</v>
      </c>
      <c r="E43">
        <v>105.42189999999998</v>
      </c>
    </row>
    <row r="44" spans="1:5">
      <c r="A44">
        <f t="shared" si="0"/>
        <v>8</v>
      </c>
      <c r="B44">
        <f t="shared" si="1"/>
        <v>106.73439999999999</v>
      </c>
      <c r="C44" s="27">
        <v>0.74825635956599434</v>
      </c>
      <c r="D44" s="26">
        <f t="shared" si="2"/>
        <v>3.6916291431035697E-2</v>
      </c>
      <c r="E44">
        <v>106.73439999999998</v>
      </c>
    </row>
    <row r="45" spans="1:5">
      <c r="A45">
        <f t="shared" si="0"/>
        <v>8.5</v>
      </c>
      <c r="B45">
        <f t="shared" si="1"/>
        <v>109.01560000000001</v>
      </c>
      <c r="C45" s="27">
        <v>0.72676287771876602</v>
      </c>
      <c r="D45" s="26">
        <f t="shared" si="2"/>
        <v>3.8261468463726578E-2</v>
      </c>
      <c r="E45">
        <v>109.01560000000001</v>
      </c>
    </row>
    <row r="46" spans="1:5">
      <c r="A46">
        <f t="shared" si="0"/>
        <v>9</v>
      </c>
      <c r="B46">
        <f t="shared" si="1"/>
        <v>106.95310000000001</v>
      </c>
      <c r="C46" s="27">
        <v>0.70839186067307225</v>
      </c>
      <c r="D46" s="26">
        <f t="shared" si="2"/>
        <v>3.9049579240399535E-2</v>
      </c>
      <c r="E46">
        <v>106.95310000000002</v>
      </c>
    </row>
    <row r="47" spans="1:5">
      <c r="A47">
        <f t="shared" si="0"/>
        <v>9.5</v>
      </c>
      <c r="B47">
        <f t="shared" si="1"/>
        <v>107.89060000000001</v>
      </c>
      <c r="C47" s="27">
        <v>0.69158128780851369</v>
      </c>
      <c r="D47" s="26">
        <f t="shared" si="2"/>
        <v>3.9581654609686101E-2</v>
      </c>
      <c r="E47">
        <v>107.89060000000001</v>
      </c>
    </row>
    <row r="48" spans="1:5" ht="18" thickBot="1">
      <c r="A48">
        <f t="shared" si="0"/>
        <v>10</v>
      </c>
      <c r="B48">
        <f t="shared" si="1"/>
        <v>97.890600000000006</v>
      </c>
      <c r="C48" s="28">
        <v>0.68158117311879951</v>
      </c>
      <c r="D48" s="26">
        <f t="shared" si="2"/>
        <v>3.9078219308391171E-2</v>
      </c>
      <c r="E48">
        <v>97.890600000000006</v>
      </c>
    </row>
    <row r="52" spans="3:3">
      <c r="C52" s="40"/>
    </row>
    <row r="53" spans="3:3">
      <c r="C53" s="40"/>
    </row>
    <row r="54" spans="3:3">
      <c r="C54" s="40"/>
    </row>
    <row r="55" spans="3:3">
      <c r="C55" s="40"/>
    </row>
    <row r="56" spans="3:3">
      <c r="C56" s="40"/>
    </row>
    <row r="57" spans="3:3">
      <c r="C57" s="40"/>
    </row>
    <row r="58" spans="3:3">
      <c r="C58" s="40"/>
    </row>
    <row r="59" spans="3:3">
      <c r="C59" s="40"/>
    </row>
    <row r="60" spans="3:3">
      <c r="C60" s="40"/>
    </row>
    <row r="61" spans="3:3">
      <c r="C61" s="40"/>
    </row>
    <row r="62" spans="3:3">
      <c r="C62" s="40"/>
    </row>
    <row r="63" spans="3:3">
      <c r="C63" s="40"/>
    </row>
    <row r="64" spans="3:3">
      <c r="C64" s="40"/>
    </row>
    <row r="65" spans="3:3">
      <c r="C65" s="40"/>
    </row>
    <row r="66" spans="3:3">
      <c r="C66" s="40"/>
    </row>
    <row r="67" spans="3:3">
      <c r="C67" s="40"/>
    </row>
    <row r="68" spans="3:3">
      <c r="C68" s="40"/>
    </row>
    <row r="69" spans="3:3">
      <c r="C69" s="40"/>
    </row>
    <row r="70" spans="3:3">
      <c r="C70" s="40"/>
    </row>
    <row r="71" spans="3:3">
      <c r="C71" s="40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DAC9-52E7-6947-BDA1-3E1CD4A9A2F7}">
  <dimension ref="A1:R40"/>
  <sheetViews>
    <sheetView tabSelected="1" topLeftCell="A15" zoomScale="62" zoomScaleNormal="64" workbookViewId="0">
      <selection activeCell="D17" activeCellId="2" sqref="A17:A40 C17:C40 D17:D40"/>
    </sheetView>
  </sheetViews>
  <sheetFormatPr defaultColWidth="11.07421875" defaultRowHeight="17.5"/>
  <cols>
    <col min="1" max="2" width="25.15234375" customWidth="1"/>
    <col min="3" max="3" width="12.69140625" bestFit="1" customWidth="1"/>
    <col min="5" max="5" width="13.53515625" bestFit="1" customWidth="1"/>
    <col min="6" max="6" width="13.15234375" customWidth="1"/>
  </cols>
  <sheetData>
    <row r="1" spans="1:18">
      <c r="A1" s="37" t="s">
        <v>48</v>
      </c>
      <c r="B1" s="37"/>
      <c r="C1" s="37"/>
      <c r="F1" s="30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>
      <c r="A2" s="32" t="s">
        <v>32</v>
      </c>
      <c r="B2" s="47">
        <v>3.78E-2</v>
      </c>
      <c r="C2" s="42" t="s">
        <v>51</v>
      </c>
      <c r="D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1"/>
    </row>
    <row r="3" spans="1:18">
      <c r="A3" s="32" t="s">
        <v>33</v>
      </c>
      <c r="B3" s="48">
        <v>3.7199999999999997E-2</v>
      </c>
    </row>
    <row r="4" spans="1:18">
      <c r="A4" s="32" t="s">
        <v>34</v>
      </c>
      <c r="B4" s="49">
        <v>3.6999999999999998E-2</v>
      </c>
    </row>
    <row r="5" spans="1:18">
      <c r="A5" s="32" t="s">
        <v>35</v>
      </c>
      <c r="B5" s="47">
        <v>3.6700000000000003E-2</v>
      </c>
    </row>
    <row r="6" spans="1:18">
      <c r="A6" s="32" t="s">
        <v>36</v>
      </c>
      <c r="B6" s="47">
        <v>3.61E-2</v>
      </c>
    </row>
    <row r="7" spans="1:18">
      <c r="A7" s="32" t="s">
        <v>37</v>
      </c>
      <c r="B7" s="49">
        <v>3.5299999999999998E-2</v>
      </c>
    </row>
    <row r="8" spans="1:18">
      <c r="A8" s="32" t="s">
        <v>38</v>
      </c>
      <c r="B8" s="49">
        <v>3.5999999999999997E-2</v>
      </c>
    </row>
    <row r="9" spans="1:18">
      <c r="A9" s="32" t="s">
        <v>39</v>
      </c>
      <c r="B9" s="49">
        <v>3.6700000000000003E-2</v>
      </c>
    </row>
    <row r="10" spans="1:18">
      <c r="A10" s="32" t="s">
        <v>40</v>
      </c>
      <c r="B10" s="49">
        <v>3.8399999999999997E-2</v>
      </c>
    </row>
    <row r="11" spans="1:18">
      <c r="A11" s="32" t="s">
        <v>41</v>
      </c>
      <c r="B11" s="49">
        <v>4.0300000000000002E-2</v>
      </c>
    </row>
    <row r="12" spans="1:18">
      <c r="A12" s="32" t="s">
        <v>42</v>
      </c>
      <c r="B12" s="49">
        <v>4.24E-2</v>
      </c>
    </row>
    <row r="14" spans="1:18" ht="1" customHeight="1"/>
    <row r="15" spans="1:18" ht="123" thickBot="1">
      <c r="A15" s="29" t="s">
        <v>50</v>
      </c>
    </row>
    <row r="16" spans="1:18" ht="18" thickBot="1">
      <c r="A16" s="43" t="s">
        <v>43</v>
      </c>
      <c r="B16" s="44" t="s">
        <v>46</v>
      </c>
      <c r="C16" s="45" t="s">
        <v>47</v>
      </c>
      <c r="D16" s="45" t="s">
        <v>44</v>
      </c>
      <c r="E16" s="46" t="s">
        <v>45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0">
      <c r="A17" s="35">
        <v>8.3299999999999999E-2</v>
      </c>
      <c r="B17" s="36">
        <v>3.78E-2</v>
      </c>
      <c r="C17">
        <v>3.774061364727134E-2</v>
      </c>
      <c r="D17">
        <f t="shared" ref="D17:D22" si="0">EXP(-C17 * A17)</f>
        <v>0.99686114342625132</v>
      </c>
      <c r="E17">
        <f>1 - (1 + B17 * A17) * D17</f>
        <v>1.6996626328591447E-11</v>
      </c>
    </row>
    <row r="18" spans="1:10">
      <c r="A18" s="35">
        <v>0.16669999999999999</v>
      </c>
      <c r="B18" s="36">
        <v>3.7199999999999997E-2</v>
      </c>
      <c r="C18">
        <v>3.7085132109000579E-2</v>
      </c>
      <c r="D18">
        <f t="shared" si="0"/>
        <v>0.99383697828788531</v>
      </c>
      <c r="E18">
        <f>1 - (1 + B18 * A18) * D18</f>
        <v>8.8876683790317657E-11</v>
      </c>
    </row>
    <row r="19" spans="1:10">
      <c r="A19" s="35">
        <v>0.25</v>
      </c>
      <c r="B19" s="36">
        <v>3.6999999999999998E-2</v>
      </c>
      <c r="C19">
        <v>3.6829923930565341E-2</v>
      </c>
      <c r="D19">
        <f t="shared" si="0"/>
        <v>0.99083477807111398</v>
      </c>
      <c r="E19">
        <f>1 - (1 + B19 * A19) * D19</f>
        <v>2.3172819219041685E-10</v>
      </c>
    </row>
    <row r="20" spans="1:10">
      <c r="A20" s="35">
        <v>0.33329999999999999</v>
      </c>
      <c r="B20" s="36">
        <v>3.6700000000000003E-2</v>
      </c>
      <c r="C20">
        <v>3.6477355520189082E-2</v>
      </c>
      <c r="D20">
        <f t="shared" si="0"/>
        <v>0.98791570609180412</v>
      </c>
      <c r="E20">
        <f>1 - (1 + B20 * A20) * D20</f>
        <v>3.2055325061008944E-10</v>
      </c>
      <c r="G20" s="41" t="s">
        <v>49</v>
      </c>
      <c r="H20" s="41"/>
      <c r="I20" s="41"/>
      <c r="J20" s="41"/>
    </row>
    <row r="21" spans="1:10">
      <c r="A21" s="35">
        <v>0.5</v>
      </c>
      <c r="B21" s="36">
        <v>3.61E-2</v>
      </c>
      <c r="C21">
        <v>3.5778066132736423E-2</v>
      </c>
      <c r="D21">
        <f t="shared" si="0"/>
        <v>0.98227002580361655</v>
      </c>
      <c r="E21">
        <f>1 - (1 + B21/2) * D21</f>
        <v>2.3062829423992071E-10</v>
      </c>
    </row>
    <row r="22" spans="1:10">
      <c r="A22" s="35">
        <v>1</v>
      </c>
      <c r="B22" s="36">
        <v>3.5299999999999998E-2</v>
      </c>
      <c r="C22">
        <v>3.4985160452125665E-2</v>
      </c>
      <c r="D22">
        <f t="shared" si="0"/>
        <v>0.96561974551168828</v>
      </c>
      <c r="E22">
        <f>1 - ( (B22/2 * D21) + (1 + B22/2) * D22 )</f>
        <v>2.4596658043662956E-11</v>
      </c>
    </row>
    <row r="23" spans="1:10">
      <c r="A23" s="34">
        <v>1.5</v>
      </c>
      <c r="C23">
        <f>2 * ( (1/D23)^(1/(2*A23)) - 1 )</f>
        <v>3.5770363604854971E-2</v>
      </c>
      <c r="D23">
        <f>EXP(LN(D$22) + (LN(D$24)-LN(D$22))/(A$24-A$22)*(A23-A$22))</f>
        <v>0.94820801920050524</v>
      </c>
    </row>
    <row r="24" spans="1:10">
      <c r="A24" s="35">
        <v>2</v>
      </c>
      <c r="B24" s="36">
        <v>3.5999999999999997E-2</v>
      </c>
      <c r="C24">
        <v>3.5688791035793969E-2</v>
      </c>
      <c r="D24">
        <f>EXP(-C24 * A24)</f>
        <v>0.93111025520683355</v>
      </c>
      <c r="E24">
        <f>1 - ( (B24/2 * SUM(D$21:D23)) + (1 + B24/2) * D24 )</f>
        <v>-2.9841018545084808E-11</v>
      </c>
    </row>
    <row r="25" spans="1:10">
      <c r="A25" s="34">
        <v>2.5</v>
      </c>
      <c r="C25">
        <f>2 * ( (1/D25)^(1/(2*A25)) - 1 )</f>
        <v>3.6443098652562345E-2</v>
      </c>
      <c r="D25">
        <f>EXP(LN(D$24)+(LN(D$26)-LN(D$24))/(A$26-A$24)*(A25-A$24))</f>
        <v>0.91366834721368007</v>
      </c>
    </row>
    <row r="26" spans="1:10">
      <c r="A26" s="35">
        <v>3</v>
      </c>
      <c r="B26" s="36">
        <v>3.6700000000000003E-2</v>
      </c>
      <c r="C26">
        <v>3.6399227313115796E-2</v>
      </c>
      <c r="D26">
        <f>EXP(-C26 * A26)</f>
        <v>0.89655316761036064</v>
      </c>
      <c r="E26">
        <f>1 - ( (B26/2 * SUM(D$21:D25)) + (1 + B26/2) * D26 )</f>
        <v>-4.6392445440801566E-11</v>
      </c>
    </row>
    <row r="27" spans="1:10">
      <c r="A27" s="34">
        <v>3.5</v>
      </c>
      <c r="C27">
        <f>2 * ( (1/D27)^(1/(2*A27)) - 1 )</f>
        <v>3.7458143952383782E-2</v>
      </c>
      <c r="D27">
        <f>EXP(LN(D$26) + (LN(D$30)-LN(D$26))/(A$30-A$26)*(A27-A$26))</f>
        <v>0.87819123845238234</v>
      </c>
    </row>
    <row r="28" spans="1:10">
      <c r="A28" s="34">
        <v>4</v>
      </c>
      <c r="C28">
        <f>2 * ( (1/D27)^(1/(2*A27)) - 1 )</f>
        <v>3.7458143952383782E-2</v>
      </c>
      <c r="D28">
        <f>EXP(LN(D$26)+(LN(D$30)-LN(D$26))/(A$30-A$26)*(A27-A$26))</f>
        <v>0.87819123845238234</v>
      </c>
    </row>
    <row r="29" spans="1:10">
      <c r="A29" s="34">
        <v>4.5</v>
      </c>
      <c r="C29">
        <f>2 * ( (1/D27)^(1/(2*A27)) - 1 )</f>
        <v>3.7458143952383782E-2</v>
      </c>
      <c r="D29">
        <f>EXP(LN(D$26)+(LN(D$30)-LN(D$26))/(A$30-A$26)*(A27-A$26))</f>
        <v>0.87819123845238234</v>
      </c>
    </row>
    <row r="30" spans="1:10">
      <c r="A30" s="35">
        <v>5</v>
      </c>
      <c r="B30">
        <v>3.8399999999999997E-2</v>
      </c>
      <c r="C30">
        <v>3.8394108928637607E-2</v>
      </c>
      <c r="D30">
        <f>EXP(-C30 * A30)</f>
        <v>0.82533117855800231</v>
      </c>
      <c r="E30">
        <f>1 - ( (B30/2 * SUM(D$21:D29)) + (1 + B30/2) * D30 )</f>
        <v>-8.3669515760220747E-11</v>
      </c>
    </row>
    <row r="31" spans="1:10">
      <c r="A31" s="34">
        <v>5.5</v>
      </c>
      <c r="C31">
        <f>2 * ( (1/D31)^(1/(2*A31)) - 1 )</f>
        <v>3.947149889807422E-2</v>
      </c>
      <c r="D31">
        <f>EXP(LN(D$30)+(LN(D$34)-LN(D$30))/(A$34-A$30)*(A31-A$30))</f>
        <v>0.80655856306617391</v>
      </c>
    </row>
    <row r="32" spans="1:10">
      <c r="A32" s="34">
        <v>6</v>
      </c>
      <c r="C32">
        <f>2 * ( (1/D31)^(1/(2*A31)) - 1 )</f>
        <v>3.947149889807422E-2</v>
      </c>
      <c r="D32">
        <f>EXP(LN(D$30)+(LN(D$34)-LN(D$30))/(A$34-A$30)*(A31-A$30))</f>
        <v>0.80655856306617391</v>
      </c>
    </row>
    <row r="33" spans="1:5">
      <c r="A33" s="34">
        <v>6.5</v>
      </c>
      <c r="C33">
        <f>2 * ( (1/D31)^(1/(2*A31)) - 1 )</f>
        <v>3.947149889807422E-2</v>
      </c>
      <c r="D33">
        <f>EXP(LN(D$30)+(LN(D$34)-LN(D$30))/(A$34-A$30)*(A31-A$30))</f>
        <v>0.80655856306617391</v>
      </c>
    </row>
    <row r="34" spans="1:5">
      <c r="A34" s="35">
        <v>7</v>
      </c>
      <c r="B34">
        <v>4.0300000000000002E-2</v>
      </c>
      <c r="C34">
        <v>4.057192098600873E-2</v>
      </c>
      <c r="D34">
        <f>EXP(-C34 * A34)</f>
        <v>0.75276404999776891</v>
      </c>
      <c r="E34">
        <f>1 - ( (B34/2 * SUM(D$21:D33)) + (1 + B34/2) * D34 )</f>
        <v>1.9761969838327786E-14</v>
      </c>
    </row>
    <row r="35" spans="1:5">
      <c r="A35" s="34">
        <v>7.5</v>
      </c>
      <c r="C35">
        <f>2 * ( (1/D35)^(1/(2*A35)) - 1 )</f>
        <v>4.1613902372682698E-2</v>
      </c>
      <c r="D35">
        <f>EXP(LN(D$34)+(LN(D$40)-LN(D$34))/(A$40-A$34)*(A35-A$34))</f>
        <v>0.73425298246283621</v>
      </c>
    </row>
    <row r="36" spans="1:5">
      <c r="A36" s="34">
        <v>8</v>
      </c>
      <c r="C36">
        <f>2 * ( (1/D35)^(1/(2*A35)) - 1 )</f>
        <v>4.1613902372682698E-2</v>
      </c>
      <c r="D36">
        <f>EXP(LN(D$34)+(LN(D$40)-LN(D$34))/(A$40-A$34)*(A35-A$34))</f>
        <v>0.73425298246283621</v>
      </c>
    </row>
    <row r="37" spans="1:5">
      <c r="A37" s="34">
        <v>8.5</v>
      </c>
      <c r="C37">
        <f>2 * ( (1/D35)^(1/(2*A35)) - 1 )</f>
        <v>4.1613902372682698E-2</v>
      </c>
      <c r="D37">
        <f>EXP(LN(D$34)+(LN(D$40)-LN(D$34))/(A$40-A$34)*(A35-A$34))</f>
        <v>0.73425298246283621</v>
      </c>
    </row>
    <row r="38" spans="1:5">
      <c r="A38" s="34">
        <v>9</v>
      </c>
      <c r="C38">
        <f>2 * ( (1/D35)^(1/(2*A35)) - 1 )</f>
        <v>4.1613902372682698E-2</v>
      </c>
      <c r="D38">
        <f>EXP(LN(D$34)+(LN(D$40)-LN(D$34))/(A$40-A$34)*(A35-A$34))</f>
        <v>0.73425298246283621</v>
      </c>
    </row>
    <row r="39" spans="1:5">
      <c r="A39" s="34">
        <v>9.5</v>
      </c>
      <c r="C39">
        <f>2 * ( (1/D35)^(1/(2*A35)) - 1 )</f>
        <v>4.1613902372682698E-2</v>
      </c>
      <c r="D39">
        <f>EXP(LN(D$34)+(LN(D$40)-LN(D$34))/(A$40-A$34)*(A35-A$34))</f>
        <v>0.73425298246283621</v>
      </c>
    </row>
    <row r="40" spans="1:5">
      <c r="A40" s="35">
        <v>10</v>
      </c>
      <c r="B40">
        <v>4.24E-2</v>
      </c>
      <c r="C40">
        <v>4.333926474553576E-2</v>
      </c>
      <c r="D40">
        <f>EXP(-C40 * A40)</f>
        <v>0.64830588616662244</v>
      </c>
      <c r="E40">
        <f>1 - ( (B40/2 * SUM(D$21:D39)) + (1 + B40/2) * D40 )</f>
        <v>3.219646771412954E-14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1번시트</vt:lpstr>
      <vt:lpstr>2번시트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신상민</dc:creator>
  <cp:lastModifiedBy>수린 김</cp:lastModifiedBy>
  <dcterms:created xsi:type="dcterms:W3CDTF">2026-01-10T00:32:06Z</dcterms:created>
  <dcterms:modified xsi:type="dcterms:W3CDTF">2026-10-26T04:21:36Z</dcterms:modified>
</cp:coreProperties>
</file>