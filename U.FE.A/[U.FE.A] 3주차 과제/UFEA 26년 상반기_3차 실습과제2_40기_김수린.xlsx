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"/>
    </mc:Choice>
  </mc:AlternateContent>
  <xr:revisionPtr revIDLastSave="1918" documentId="8_{BC22D691-A330-40B0-8B04-F15F25C4CF49}" xr6:coauthVersionLast="47" xr6:coauthVersionMax="47" xr10:uidLastSave="{32166E44-6500-49A3-801E-EC74E5C0A3DD}"/>
  <bookViews>
    <workbookView xWindow="9390" yWindow="680" windowWidth="16290" windowHeight="15250" xr2:uid="{E56DAD12-391F-4889-8A28-4262B4FC67A7}"/>
  </bookViews>
  <sheets>
    <sheet name="26.01.16" sheetId="2" r:id="rId1"/>
  </sheets>
  <definedNames>
    <definedName name="solver_adj" localSheetId="0" hidden="1">'26.01.16'!$E$13:$J$13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'26.01.16'!$E$13</definedName>
    <definedName name="solver_lhs2" localSheetId="0" hidden="1">'26.01.16'!$E$13</definedName>
    <definedName name="solver_lhs3" localSheetId="0" hidden="1">'26.01.16'!$I$13</definedName>
    <definedName name="solver_lhs4" localSheetId="0" hidden="1">'26.01.16'!$I$13</definedName>
    <definedName name="solver_lhs5" localSheetId="0" hidden="1">'26.01.16'!$I$13</definedName>
    <definedName name="solver_lhs6" localSheetId="0" hidden="1">'26.01.16'!$J$13</definedName>
    <definedName name="solver_lhs7" localSheetId="0" hidden="1">'26.01.16'!$J$13</definedName>
    <definedName name="solver_lhs8" localSheetId="0" hidden="1">'26.01.16'!$J$13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'26.01.16'!$J$83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hs1" localSheetId="0" hidden="1">0</definedName>
    <definedName name="solver_rhs2" localSheetId="0" hidden="1">4</definedName>
    <definedName name="solver_rhs3" localSheetId="0" hidden="1">3</definedName>
    <definedName name="solver_rhs4" localSheetId="0" hidden="1">0</definedName>
    <definedName name="solver_rhs5" localSheetId="0" hidden="1">0.01</definedName>
    <definedName name="solver_rhs6" localSheetId="0" hidden="1">'26.01.16'!$I$13+3</definedName>
    <definedName name="solver_rhs7" localSheetId="0" hidden="1">0</definedName>
    <definedName name="solver_rhs8" localSheetId="0" hidden="1">0.01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19" i="2"/>
  <c r="I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19" i="2"/>
  <c r="F19" i="2" s="1"/>
  <c r="B26" i="2"/>
  <c r="B28" i="2"/>
  <c r="B32" i="2"/>
  <c r="B36" i="2"/>
  <c r="B42" i="2"/>
  <c r="B62" i="2"/>
  <c r="B82" i="2"/>
  <c r="C64" i="2"/>
  <c r="B64" i="2" s="1"/>
  <c r="C65" i="2"/>
  <c r="B65" i="2" s="1"/>
  <c r="C66" i="2"/>
  <c r="B66" i="2" s="1"/>
  <c r="C67" i="2"/>
  <c r="B67" i="2" s="1"/>
  <c r="C68" i="2"/>
  <c r="B68" i="2" s="1"/>
  <c r="C69" i="2"/>
  <c r="B69" i="2" s="1"/>
  <c r="C70" i="2"/>
  <c r="B70" i="2" s="1"/>
  <c r="C71" i="2"/>
  <c r="B71" i="2" s="1"/>
  <c r="C72" i="2"/>
  <c r="B72" i="2" s="1"/>
  <c r="C73" i="2"/>
  <c r="B73" i="2" s="1"/>
  <c r="C74" i="2"/>
  <c r="B74" i="2" s="1"/>
  <c r="C75" i="2"/>
  <c r="B75" i="2" s="1"/>
  <c r="C76" i="2"/>
  <c r="B76" i="2" s="1"/>
  <c r="C77" i="2"/>
  <c r="B77" i="2" s="1"/>
  <c r="C78" i="2"/>
  <c r="B78" i="2" s="1"/>
  <c r="C79" i="2"/>
  <c r="B79" i="2" s="1"/>
  <c r="C80" i="2"/>
  <c r="B80" i="2" s="1"/>
  <c r="C81" i="2"/>
  <c r="B81" i="2" s="1"/>
  <c r="C63" i="2"/>
  <c r="B63" i="2" s="1"/>
  <c r="C44" i="2"/>
  <c r="B44" i="2" s="1"/>
  <c r="C45" i="2"/>
  <c r="B45" i="2" s="1"/>
  <c r="C46" i="2"/>
  <c r="B46" i="2" s="1"/>
  <c r="C47" i="2"/>
  <c r="B47" i="2" s="1"/>
  <c r="C48" i="2"/>
  <c r="B48" i="2" s="1"/>
  <c r="C49" i="2"/>
  <c r="B49" i="2" s="1"/>
  <c r="C50" i="2"/>
  <c r="B50" i="2" s="1"/>
  <c r="C51" i="2"/>
  <c r="B51" i="2" s="1"/>
  <c r="C52" i="2"/>
  <c r="B52" i="2" s="1"/>
  <c r="C53" i="2"/>
  <c r="B53" i="2" s="1"/>
  <c r="C54" i="2"/>
  <c r="B54" i="2" s="1"/>
  <c r="C55" i="2"/>
  <c r="B55" i="2" s="1"/>
  <c r="C56" i="2"/>
  <c r="B56" i="2" s="1"/>
  <c r="C57" i="2"/>
  <c r="B57" i="2" s="1"/>
  <c r="C58" i="2"/>
  <c r="B58" i="2" s="1"/>
  <c r="C59" i="2"/>
  <c r="B59" i="2" s="1"/>
  <c r="C60" i="2"/>
  <c r="B60" i="2" s="1"/>
  <c r="C61" i="2"/>
  <c r="B61" i="2" s="1"/>
  <c r="C43" i="2"/>
  <c r="B43" i="2" s="1"/>
  <c r="C38" i="2"/>
  <c r="B38" i="2" s="1"/>
  <c r="C39" i="2"/>
  <c r="B39" i="2" s="1"/>
  <c r="C40" i="2"/>
  <c r="B40" i="2" s="1"/>
  <c r="C41" i="2"/>
  <c r="B41" i="2" s="1"/>
  <c r="C37" i="2"/>
  <c r="B37" i="2" s="1"/>
  <c r="C34" i="2"/>
  <c r="B34" i="2" s="1"/>
  <c r="C35" i="2"/>
  <c r="B35" i="2" s="1"/>
  <c r="C33" i="2"/>
  <c r="B33" i="2" s="1"/>
  <c r="C30" i="2"/>
  <c r="B30" i="2" s="1"/>
  <c r="C31" i="2"/>
  <c r="B31" i="2" s="1"/>
  <c r="C29" i="2"/>
  <c r="B29" i="2" s="1"/>
  <c r="C27" i="2"/>
  <c r="B27" i="2" s="1"/>
  <c r="C20" i="2"/>
  <c r="B20" i="2" s="1"/>
  <c r="C21" i="2"/>
  <c r="B21" i="2" s="1"/>
  <c r="C23" i="2"/>
  <c r="B23" i="2" s="1"/>
  <c r="C24" i="2"/>
  <c r="C19" i="2"/>
  <c r="B19" i="2" s="1"/>
  <c r="A22" i="2"/>
  <c r="C22" i="2" s="1"/>
  <c r="B22" i="2" s="1"/>
  <c r="A21" i="2"/>
  <c r="A20" i="2"/>
  <c r="A19" i="2"/>
  <c r="J62" i="2" l="1"/>
  <c r="J26" i="2"/>
  <c r="J36" i="2"/>
  <c r="J42" i="2"/>
  <c r="J28" i="2"/>
  <c r="J32" i="2"/>
  <c r="J82" i="2"/>
  <c r="G28" i="2"/>
  <c r="G42" i="2"/>
  <c r="G32" i="2"/>
  <c r="G36" i="2"/>
  <c r="G82" i="2"/>
  <c r="G26" i="2"/>
  <c r="G62" i="2"/>
  <c r="D42" i="2"/>
  <c r="D82" i="2"/>
  <c r="D62" i="2"/>
  <c r="D36" i="2"/>
  <c r="D28" i="2"/>
  <c r="B24" i="2"/>
  <c r="C25" i="2"/>
  <c r="D32" i="2"/>
  <c r="J83" i="2" l="1"/>
  <c r="G83" i="2"/>
  <c r="B25" i="2"/>
  <c r="D26" i="2"/>
</calcChain>
</file>

<file path=xl/sharedStrings.xml><?xml version="1.0" encoding="utf-8"?>
<sst xmlns="http://schemas.openxmlformats.org/spreadsheetml/2006/main" count="58" uniqueCount="49">
  <si>
    <t>NS</t>
    <phoneticPr fontId="18" type="noConversion"/>
  </si>
  <si>
    <t>NSS</t>
    <phoneticPr fontId="18" type="noConversion"/>
  </si>
  <si>
    <t>Par Yield rate</t>
    <phoneticPr fontId="21" type="noConversion"/>
  </si>
  <si>
    <t>1M</t>
    <phoneticPr fontId="21" type="noConversion"/>
  </si>
  <si>
    <t>2M</t>
    <phoneticPr fontId="21" type="noConversion"/>
  </si>
  <si>
    <t>3M</t>
    <phoneticPr fontId="21" type="noConversion"/>
  </si>
  <si>
    <t>4M</t>
    <phoneticPr fontId="21" type="noConversion"/>
  </si>
  <si>
    <t>6M</t>
    <phoneticPr fontId="21" type="noConversion"/>
  </si>
  <si>
    <t>1Y</t>
    <phoneticPr fontId="21" type="noConversion"/>
  </si>
  <si>
    <t>2Y</t>
    <phoneticPr fontId="21" type="noConversion"/>
  </si>
  <si>
    <t>3Y</t>
    <phoneticPr fontId="21" type="noConversion"/>
  </si>
  <si>
    <t>5Y</t>
    <phoneticPr fontId="21" type="noConversion"/>
  </si>
  <si>
    <t>7Y</t>
    <phoneticPr fontId="21" type="noConversion"/>
  </si>
  <si>
    <t>Level</t>
    <phoneticPr fontId="21" type="noConversion"/>
  </si>
  <si>
    <t>Slope</t>
    <phoneticPr fontId="21" type="noConversion"/>
  </si>
  <si>
    <t>Curvature</t>
    <phoneticPr fontId="21" type="noConversion"/>
  </si>
  <si>
    <t>10Y</t>
    <phoneticPr fontId="21" type="noConversion"/>
  </si>
  <si>
    <t>b0</t>
    <phoneticPr fontId="21" type="noConversion"/>
  </si>
  <si>
    <t>b1</t>
    <phoneticPr fontId="21" type="noConversion"/>
  </si>
  <si>
    <t>b2</t>
    <phoneticPr fontId="21" type="noConversion"/>
  </si>
  <si>
    <t>20Y</t>
    <phoneticPr fontId="21" type="noConversion"/>
  </si>
  <si>
    <t>30Y</t>
    <phoneticPr fontId="21" type="noConversion"/>
  </si>
  <si>
    <t>Face value</t>
    <phoneticPr fontId="21" type="noConversion"/>
  </si>
  <si>
    <t>llinear curve</t>
    <phoneticPr fontId="21" type="noConversion"/>
  </si>
  <si>
    <t>NS</t>
    <phoneticPr fontId="21" type="noConversion"/>
  </si>
  <si>
    <t>NSS</t>
    <phoneticPr fontId="21" type="noConversion"/>
  </si>
  <si>
    <t>DF</t>
    <phoneticPr fontId="21" type="noConversion"/>
  </si>
  <si>
    <t>diff_linear</t>
    <phoneticPr fontId="18" type="noConversion"/>
  </si>
  <si>
    <t>DF</t>
    <phoneticPr fontId="18" type="noConversion"/>
  </si>
  <si>
    <t>real_price</t>
    <phoneticPr fontId="18" type="noConversion"/>
  </si>
  <si>
    <t>b3</t>
    <phoneticPr fontId="21" type="noConversion"/>
  </si>
  <si>
    <t>l1</t>
    <phoneticPr fontId="21" type="noConversion"/>
  </si>
  <si>
    <t>l2</t>
    <phoneticPr fontId="21" type="noConversion"/>
  </si>
  <si>
    <t>초기값</t>
    <phoneticPr fontId="18" type="noConversion"/>
  </si>
  <si>
    <t>Maturity</t>
    <phoneticPr fontId="21" type="noConversion"/>
  </si>
  <si>
    <t xml:space="preserve"> </t>
    <phoneticPr fontId="18" type="noConversion"/>
  </si>
  <si>
    <t>diff_NS_price</t>
    <phoneticPr fontId="18" type="noConversion"/>
  </si>
  <si>
    <t>diff_NSS_price</t>
    <phoneticPr fontId="18" type="noConversion"/>
  </si>
  <si>
    <t>DF log linear로 bootstrapping</t>
    <phoneticPr fontId="18" type="noConversion"/>
  </si>
  <si>
    <t>hump</t>
    <phoneticPr fontId="18" type="noConversion"/>
  </si>
  <si>
    <t>first hump</t>
    <phoneticPr fontId="18" type="noConversion"/>
  </si>
  <si>
    <t>second hump</t>
    <phoneticPr fontId="18" type="noConversion"/>
  </si>
  <si>
    <t>가격 오차에 대해서 "해 찾기"를 통해 파라미터를 찾아 주세요</t>
    <phoneticPr fontId="18" type="noConversion"/>
  </si>
  <si>
    <t>real_price - NSS_DF price</t>
    <phoneticPr fontId="18" type="noConversion"/>
  </si>
  <si>
    <t>real_price - NS_DF price</t>
    <phoneticPr fontId="18" type="noConversion"/>
  </si>
  <si>
    <t>해 찾기에서 각 파라미터가 의미하는 바를 이해하고 적절한 제약 조건을 통해 "해 찾기"를 수행해주셔야 올바른 값이 나오게 됩니다.</t>
    <phoneticPr fontId="18" type="noConversion"/>
  </si>
  <si>
    <t>Bootstrap(DF log linear), NS, NSS 모델에 
대한 spot curve를 아래에 표시해주세요</t>
    <phoneticPr fontId="18" type="noConversion"/>
  </si>
  <si>
    <t>2026년 1월 23일 기준 par yield로
 정답이 제공됩니다.</t>
    <phoneticPr fontId="18" type="noConversion"/>
  </si>
  <si>
    <t>https://home.treasury.gov/resource-center/data-chart-center/interest-rates/TextView?type=daily_treasury_yield_curve&amp;field_tdr_date_value=2026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</si>
</sst>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_);[Red]\(0.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u/>
      <sz val="9"/>
      <color theme="10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4" fillId="0" borderId="0" applyNumberFormat="0" applyFill="0" applyBorder="0" applyAlignment="0" applyProtection="0"/>
  </cellStyleXfs>
  <cellXfs count="44">
    <xf numFmtId="0" fontId="0" fillId="0" borderId="0" xfId="0">
      <alignment vertical="center"/>
    </xf>
    <xf numFmtId="0" fontId="20" fillId="33" borderId="0" xfId="42" applyFont="1" applyFill="1" applyAlignment="1">
      <alignment horizontal="center"/>
    </xf>
    <xf numFmtId="14" fontId="22" fillId="0" borderId="0" xfId="42" applyNumberFormat="1" applyFont="1" applyAlignment="1">
      <alignment horizontal="center"/>
    </xf>
    <xf numFmtId="0" fontId="23" fillId="0" borderId="0" xfId="42" applyFont="1"/>
    <xf numFmtId="0" fontId="25" fillId="0" borderId="0" xfId="43" applyFont="1"/>
    <xf numFmtId="0" fontId="20" fillId="34" borderId="0" xfId="42" applyFont="1" applyFill="1" applyAlignment="1">
      <alignment vertical="center"/>
    </xf>
    <xf numFmtId="0" fontId="23" fillId="0" borderId="10" xfId="42" applyFont="1" applyBorder="1" applyAlignment="1">
      <alignment horizontal="center"/>
    </xf>
    <xf numFmtId="0" fontId="23" fillId="0" borderId="10" xfId="42" applyFont="1" applyBorder="1"/>
    <xf numFmtId="0" fontId="20" fillId="35" borderId="0" xfId="42" applyFont="1" applyFill="1" applyAlignment="1">
      <alignment vertical="center"/>
    </xf>
    <xf numFmtId="0" fontId="20" fillId="0" borderId="0" xfId="42" applyFont="1" applyAlignment="1">
      <alignment vertical="center"/>
    </xf>
    <xf numFmtId="176" fontId="20" fillId="36" borderId="0" xfId="42" applyNumberFormat="1" applyFont="1" applyFill="1"/>
    <xf numFmtId="177" fontId="20" fillId="36" borderId="0" xfId="42" applyNumberFormat="1" applyFont="1" applyFill="1"/>
    <xf numFmtId="177" fontId="20" fillId="37" borderId="0" xfId="42" applyNumberFormat="1" applyFont="1" applyFill="1"/>
    <xf numFmtId="0" fontId="23" fillId="0" borderId="0" xfId="0" applyFont="1" applyAlignment="1"/>
    <xf numFmtId="0" fontId="23" fillId="3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0" xfId="0" applyFont="1" applyBorder="1" applyAlignment="1"/>
    <xf numFmtId="0" fontId="26" fillId="0" borderId="0" xfId="42" applyFont="1" applyAlignment="1">
      <alignment horizontal="center"/>
    </xf>
    <xf numFmtId="0" fontId="26" fillId="0" borderId="0" xfId="42" applyFont="1"/>
    <xf numFmtId="0" fontId="24" fillId="0" borderId="0" xfId="43"/>
    <xf numFmtId="0" fontId="26" fillId="36" borderId="0" xfId="42" applyFont="1" applyFill="1"/>
    <xf numFmtId="0" fontId="20" fillId="0" borderId="0" xfId="42" applyFont="1" applyAlignment="1">
      <alignment horizontal="center"/>
    </xf>
    <xf numFmtId="0" fontId="20" fillId="36" borderId="0" xfId="42" applyFont="1" applyFill="1"/>
    <xf numFmtId="0" fontId="20" fillId="0" borderId="0" xfId="42" applyFont="1"/>
    <xf numFmtId="0" fontId="20" fillId="0" borderId="0" xfId="0" applyFont="1">
      <alignment vertical="center"/>
    </xf>
    <xf numFmtId="0" fontId="26" fillId="0" borderId="0" xfId="42" quotePrefix="1" applyFont="1"/>
    <xf numFmtId="0" fontId="27" fillId="33" borderId="11" xfId="42" applyFont="1" applyFill="1" applyBorder="1" applyAlignment="1">
      <alignment horizontal="center"/>
    </xf>
    <xf numFmtId="0" fontId="27" fillId="33" borderId="12" xfId="42" applyFont="1" applyFill="1" applyBorder="1" applyAlignment="1">
      <alignment horizontal="center"/>
    </xf>
    <xf numFmtId="0" fontId="27" fillId="33" borderId="13" xfId="42" applyFont="1" applyFill="1" applyBorder="1" applyAlignment="1">
      <alignment horizontal="center"/>
    </xf>
    <xf numFmtId="0" fontId="27" fillId="33" borderId="14" xfId="42" applyFont="1" applyFill="1" applyBorder="1" applyAlignment="1">
      <alignment horizontal="center"/>
    </xf>
    <xf numFmtId="0" fontId="27" fillId="33" borderId="15" xfId="42" applyFont="1" applyFill="1" applyBorder="1" applyAlignment="1">
      <alignment horizontal="center"/>
    </xf>
    <xf numFmtId="0" fontId="27" fillId="33" borderId="16" xfId="42" applyFont="1" applyFill="1" applyBorder="1" applyAlignment="1">
      <alignment horizontal="center"/>
    </xf>
    <xf numFmtId="0" fontId="28" fillId="33" borderId="11" xfId="42" applyFont="1" applyFill="1" applyBorder="1" applyAlignment="1">
      <alignment horizontal="center" vertical="center" wrapText="1"/>
    </xf>
    <xf numFmtId="0" fontId="28" fillId="33" borderId="12" xfId="42" applyFont="1" applyFill="1" applyBorder="1" applyAlignment="1">
      <alignment horizontal="center" vertical="center"/>
    </xf>
    <xf numFmtId="0" fontId="28" fillId="33" borderId="13" xfId="42" applyFont="1" applyFill="1" applyBorder="1" applyAlignment="1">
      <alignment horizontal="center" vertical="center"/>
    </xf>
    <xf numFmtId="0" fontId="28" fillId="33" borderId="17" xfId="42" applyFont="1" applyFill="1" applyBorder="1" applyAlignment="1">
      <alignment horizontal="center" vertical="center"/>
    </xf>
    <xf numFmtId="0" fontId="28" fillId="33" borderId="0" xfId="42" applyFont="1" applyFill="1" applyAlignment="1">
      <alignment horizontal="center" vertical="center"/>
    </xf>
    <xf numFmtId="0" fontId="28" fillId="33" borderId="18" xfId="42" applyFont="1" applyFill="1" applyBorder="1" applyAlignment="1">
      <alignment horizontal="center" vertical="center"/>
    </xf>
    <xf numFmtId="0" fontId="28" fillId="33" borderId="14" xfId="42" applyFont="1" applyFill="1" applyBorder="1" applyAlignment="1">
      <alignment horizontal="center" vertical="center"/>
    </xf>
    <xf numFmtId="0" fontId="28" fillId="33" borderId="15" xfId="42" applyFont="1" applyFill="1" applyBorder="1" applyAlignment="1">
      <alignment horizontal="center" vertical="center"/>
    </xf>
    <xf numFmtId="0" fontId="28" fillId="33" borderId="16" xfId="42" applyFont="1" applyFill="1" applyBorder="1" applyAlignment="1">
      <alignment horizontal="center" vertical="center"/>
    </xf>
    <xf numFmtId="0" fontId="20" fillId="0" borderId="0" xfId="42" applyFont="1" applyAlignment="1">
      <alignment horizontal="center" vertical="center" wrapText="1"/>
    </xf>
    <xf numFmtId="0" fontId="20" fillId="0" borderId="18" xfId="42" applyFont="1" applyBorder="1" applyAlignment="1">
      <alignment horizontal="center" vertical="center"/>
    </xf>
    <xf numFmtId="0" fontId="20" fillId="0" borderId="0" xfId="42" applyFont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60126A41-0D94-42BB-99AE-52F30F835343}"/>
    <cellStyle name="하이퍼링크" xfId="4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'26.01.16'!$A$19:$A$82</c:f>
              <c:numCache>
                <c:formatCode>0.0000_);[Red]\(0.0000\)</c:formatCode>
                <c:ptCount val="6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 formatCode="0.0_);[Red]\(0.0\)">
                  <c:v>0.5</c:v>
                </c:pt>
                <c:pt idx="5" formatCode="0.0_);[Red]\(0.0\)">
                  <c:v>1</c:v>
                </c:pt>
                <c:pt idx="6" formatCode="0.0_);[Red]\(0.0\)">
                  <c:v>1.5</c:v>
                </c:pt>
                <c:pt idx="7" formatCode="0.0_);[Red]\(0.0\)">
                  <c:v>2</c:v>
                </c:pt>
                <c:pt idx="8" formatCode="0.0_);[Red]\(0.0\)">
                  <c:v>2.5</c:v>
                </c:pt>
                <c:pt idx="9" formatCode="0.0_);[Red]\(0.0\)">
                  <c:v>3</c:v>
                </c:pt>
                <c:pt idx="10" formatCode="0.0_);[Red]\(0.0\)">
                  <c:v>3.5</c:v>
                </c:pt>
                <c:pt idx="11" formatCode="0.0_);[Red]\(0.0\)">
                  <c:v>4</c:v>
                </c:pt>
                <c:pt idx="12" formatCode="0.0_);[Red]\(0.0\)">
                  <c:v>4.5</c:v>
                </c:pt>
                <c:pt idx="13" formatCode="0.0_);[Red]\(0.0\)">
                  <c:v>5</c:v>
                </c:pt>
                <c:pt idx="14" formatCode="0.0_);[Red]\(0.0\)">
                  <c:v>5.5</c:v>
                </c:pt>
                <c:pt idx="15" formatCode="0.0_);[Red]\(0.0\)">
                  <c:v>6</c:v>
                </c:pt>
                <c:pt idx="16" formatCode="0.0_);[Red]\(0.0\)">
                  <c:v>6.5</c:v>
                </c:pt>
                <c:pt idx="17" formatCode="0.0_);[Red]\(0.0\)">
                  <c:v>7</c:v>
                </c:pt>
                <c:pt idx="18" formatCode="0.0_);[Red]\(0.0\)">
                  <c:v>7.5</c:v>
                </c:pt>
                <c:pt idx="19" formatCode="0.0_);[Red]\(0.0\)">
                  <c:v>8</c:v>
                </c:pt>
                <c:pt idx="20" formatCode="0.0_);[Red]\(0.0\)">
                  <c:v>8.5</c:v>
                </c:pt>
                <c:pt idx="21" formatCode="0.0_);[Red]\(0.0\)">
                  <c:v>9</c:v>
                </c:pt>
                <c:pt idx="22" formatCode="0.0_);[Red]\(0.0\)">
                  <c:v>9.5</c:v>
                </c:pt>
                <c:pt idx="23" formatCode="0.0_);[Red]\(0.0\)">
                  <c:v>10</c:v>
                </c:pt>
                <c:pt idx="24" formatCode="0.0_);[Red]\(0.0\)">
                  <c:v>10.5</c:v>
                </c:pt>
                <c:pt idx="25" formatCode="0.0_);[Red]\(0.0\)">
                  <c:v>11</c:v>
                </c:pt>
                <c:pt idx="26" formatCode="0.0_);[Red]\(0.0\)">
                  <c:v>11.5</c:v>
                </c:pt>
                <c:pt idx="27" formatCode="0.0_);[Red]\(0.0\)">
                  <c:v>12</c:v>
                </c:pt>
                <c:pt idx="28" formatCode="0.0_);[Red]\(0.0\)">
                  <c:v>12.5</c:v>
                </c:pt>
                <c:pt idx="29" formatCode="0.0_);[Red]\(0.0\)">
                  <c:v>13</c:v>
                </c:pt>
                <c:pt idx="30" formatCode="0.0_);[Red]\(0.0\)">
                  <c:v>13.5</c:v>
                </c:pt>
                <c:pt idx="31" formatCode="0.0_);[Red]\(0.0\)">
                  <c:v>14</c:v>
                </c:pt>
                <c:pt idx="32" formatCode="0.0_);[Red]\(0.0\)">
                  <c:v>14.5</c:v>
                </c:pt>
                <c:pt idx="33" formatCode="0.0_);[Red]\(0.0\)">
                  <c:v>15</c:v>
                </c:pt>
                <c:pt idx="34" formatCode="0.0_);[Red]\(0.0\)">
                  <c:v>15.5</c:v>
                </c:pt>
                <c:pt idx="35" formatCode="0.0_);[Red]\(0.0\)">
                  <c:v>16</c:v>
                </c:pt>
                <c:pt idx="36" formatCode="0.0_);[Red]\(0.0\)">
                  <c:v>16.5</c:v>
                </c:pt>
                <c:pt idx="37" formatCode="0.0_);[Red]\(0.0\)">
                  <c:v>17</c:v>
                </c:pt>
                <c:pt idx="38" formatCode="0.0_);[Red]\(0.0\)">
                  <c:v>17.5</c:v>
                </c:pt>
                <c:pt idx="39" formatCode="0.0_);[Red]\(0.0\)">
                  <c:v>18</c:v>
                </c:pt>
                <c:pt idx="40" formatCode="0.0_);[Red]\(0.0\)">
                  <c:v>18.5</c:v>
                </c:pt>
                <c:pt idx="41" formatCode="0.0_);[Red]\(0.0\)">
                  <c:v>19</c:v>
                </c:pt>
                <c:pt idx="42" formatCode="0.0_);[Red]\(0.0\)">
                  <c:v>19.5</c:v>
                </c:pt>
                <c:pt idx="43" formatCode="0.0_);[Red]\(0.0\)">
                  <c:v>20</c:v>
                </c:pt>
                <c:pt idx="44" formatCode="0.0_);[Red]\(0.0\)">
                  <c:v>20.5</c:v>
                </c:pt>
                <c:pt idx="45" formatCode="0.0_);[Red]\(0.0\)">
                  <c:v>21</c:v>
                </c:pt>
                <c:pt idx="46" formatCode="0.0_);[Red]\(0.0\)">
                  <c:v>21.5</c:v>
                </c:pt>
                <c:pt idx="47" formatCode="0.0_);[Red]\(0.0\)">
                  <c:v>22</c:v>
                </c:pt>
                <c:pt idx="48" formatCode="0.0_);[Red]\(0.0\)">
                  <c:v>22.5</c:v>
                </c:pt>
                <c:pt idx="49" formatCode="0.0_);[Red]\(0.0\)">
                  <c:v>23</c:v>
                </c:pt>
                <c:pt idx="50" formatCode="0.0_);[Red]\(0.0\)">
                  <c:v>23.5</c:v>
                </c:pt>
                <c:pt idx="51" formatCode="0.0_);[Red]\(0.0\)">
                  <c:v>24</c:v>
                </c:pt>
                <c:pt idx="52" formatCode="0.0_);[Red]\(0.0\)">
                  <c:v>24.5</c:v>
                </c:pt>
                <c:pt idx="53" formatCode="0.0_);[Red]\(0.0\)">
                  <c:v>25</c:v>
                </c:pt>
                <c:pt idx="54" formatCode="0.0_);[Red]\(0.0\)">
                  <c:v>25.5</c:v>
                </c:pt>
                <c:pt idx="55" formatCode="0.0_);[Red]\(0.0\)">
                  <c:v>26</c:v>
                </c:pt>
                <c:pt idx="56" formatCode="0.0_);[Red]\(0.0\)">
                  <c:v>26.5</c:v>
                </c:pt>
                <c:pt idx="57" formatCode="0.0_);[Red]\(0.0\)">
                  <c:v>27</c:v>
                </c:pt>
                <c:pt idx="58" formatCode="0.0_);[Red]\(0.0\)">
                  <c:v>27.5</c:v>
                </c:pt>
                <c:pt idx="59" formatCode="0.0_);[Red]\(0.0\)">
                  <c:v>28</c:v>
                </c:pt>
                <c:pt idx="60" formatCode="0.0_);[Red]\(0.0\)">
                  <c:v>28.5</c:v>
                </c:pt>
                <c:pt idx="61" formatCode="0.0_);[Red]\(0.0\)">
                  <c:v>29</c:v>
                </c:pt>
                <c:pt idx="62" formatCode="0.0_);[Red]\(0.0\)">
                  <c:v>29.5</c:v>
                </c:pt>
                <c:pt idx="63" formatCode="0.0_);[Red]\(0.0\)">
                  <c:v>30</c:v>
                </c:pt>
              </c:numCache>
            </c:numRef>
          </c:xVal>
          <c:yVal>
            <c:numRef>
              <c:f>'26.01.16'!$B$19:$B$82</c:f>
              <c:numCache>
                <c:formatCode>General</c:formatCode>
                <c:ptCount val="64"/>
                <c:pt idx="0">
                  <c:v>3.7800000000000084E-2</c:v>
                </c:pt>
                <c:pt idx="1">
                  <c:v>3.7800000000000125E-2</c:v>
                </c:pt>
                <c:pt idx="2">
                  <c:v>3.7800000000000188E-2</c:v>
                </c:pt>
                <c:pt idx="3">
                  <c:v>3.7799999999999931E-2</c:v>
                </c:pt>
                <c:pt idx="4">
                  <c:v>3.7800000000000056E-2</c:v>
                </c:pt>
                <c:pt idx="5">
                  <c:v>3.7800000000000007E-2</c:v>
                </c:pt>
                <c:pt idx="6">
                  <c:v>3.6361518121906307E-2</c:v>
                </c:pt>
                <c:pt idx="7">
                  <c:v>3.5642277182859422E-2</c:v>
                </c:pt>
                <c:pt idx="8">
                  <c:v>3.6077050805909151E-2</c:v>
                </c:pt>
                <c:pt idx="9">
                  <c:v>3.6366899887942283E-2</c:v>
                </c:pt>
                <c:pt idx="10">
                  <c:v>3.6998989846382245E-2</c:v>
                </c:pt>
                <c:pt idx="11">
                  <c:v>3.7473057315212242E-2</c:v>
                </c:pt>
                <c:pt idx="12">
                  <c:v>3.7841776457635548E-2</c:v>
                </c:pt>
                <c:pt idx="13">
                  <c:v>3.8136751771574183E-2</c:v>
                </c:pt>
                <c:pt idx="14">
                  <c:v>3.878612566665423E-2</c:v>
                </c:pt>
                <c:pt idx="15">
                  <c:v>3.9327270579220967E-2</c:v>
                </c:pt>
                <c:pt idx="16">
                  <c:v>3.9785162428315861E-2</c:v>
                </c:pt>
                <c:pt idx="17">
                  <c:v>4.0177641156111506E-2</c:v>
                </c:pt>
                <c:pt idx="18">
                  <c:v>4.0695831728045112E-2</c:v>
                </c:pt>
                <c:pt idx="19">
                  <c:v>4.1149248478487027E-2</c:v>
                </c:pt>
                <c:pt idx="20">
                  <c:v>4.1549322081818107E-2</c:v>
                </c:pt>
                <c:pt idx="21">
                  <c:v>4.1904943062556856E-2</c:v>
                </c:pt>
                <c:pt idx="22">
                  <c:v>4.222313025584943E-2</c:v>
                </c:pt>
                <c:pt idx="23">
                  <c:v>4.2509498729812745E-2</c:v>
                </c:pt>
                <c:pt idx="24">
                  <c:v>4.3149207663450949E-2</c:v>
                </c:pt>
                <c:pt idx="25">
                  <c:v>4.3730761239485674E-2</c:v>
                </c:pt>
                <c:pt idx="26">
                  <c:v>4.4261744939343477E-2</c:v>
                </c:pt>
                <c:pt idx="27">
                  <c:v>4.474847999754647E-2</c:v>
                </c:pt>
                <c:pt idx="28">
                  <c:v>4.5196276251093195E-2</c:v>
                </c:pt>
                <c:pt idx="29">
                  <c:v>4.5609626638982506E-2</c:v>
                </c:pt>
                <c:pt idx="30">
                  <c:v>4.5992358479620736E-2</c:v>
                </c:pt>
                <c:pt idx="31">
                  <c:v>4.6347752331641991E-2</c:v>
                </c:pt>
                <c:pt idx="32">
                  <c:v>4.6678636262834153E-2</c:v>
                </c:pt>
                <c:pt idx="33">
                  <c:v>4.6987461265280188E-2</c:v>
                </c:pt>
                <c:pt idx="34">
                  <c:v>4.7276362074020015E-2</c:v>
                </c:pt>
                <c:pt idx="35">
                  <c:v>4.7547206582213605E-2</c:v>
                </c:pt>
                <c:pt idx="36">
                  <c:v>4.7801636271728815E-2</c:v>
                </c:pt>
                <c:pt idx="37">
                  <c:v>4.8041099508919577E-2</c:v>
                </c:pt>
                <c:pt idx="38">
                  <c:v>4.8266879132556589E-2</c:v>
                </c:pt>
                <c:pt idx="39">
                  <c:v>4.8480115443769324E-2</c:v>
                </c:pt>
                <c:pt idx="40">
                  <c:v>4.8681825467889475E-2</c:v>
                </c:pt>
                <c:pt idx="41">
                  <c:v>4.887291917495068E-2</c:v>
                </c:pt>
                <c:pt idx="42">
                  <c:v>4.9054213204726693E-2</c:v>
                </c:pt>
                <c:pt idx="43">
                  <c:v>4.9226442533013899E-2</c:v>
                </c:pt>
                <c:pt idx="44">
                  <c:v>4.9230315231293328E-2</c:v>
                </c:pt>
                <c:pt idx="45">
                  <c:v>4.9234003515368968E-2</c:v>
                </c:pt>
                <c:pt idx="46">
                  <c:v>4.9237520251348081E-2</c:v>
                </c:pt>
                <c:pt idx="47">
                  <c:v>4.9240877135691766E-2</c:v>
                </c:pt>
                <c:pt idx="48">
                  <c:v>4.9244084825175734E-2</c:v>
                </c:pt>
                <c:pt idx="49">
                  <c:v>4.9247153049899538E-2</c:v>
                </c:pt>
                <c:pt idx="50">
                  <c:v>4.9250090711869129E-2</c:v>
                </c:pt>
                <c:pt idx="51">
                  <c:v>4.9252905971256665E-2</c:v>
                </c:pt>
                <c:pt idx="52">
                  <c:v>4.9255606322097759E-2</c:v>
                </c:pt>
                <c:pt idx="53">
                  <c:v>4.9258198658905218E-2</c:v>
                </c:pt>
                <c:pt idx="54">
                  <c:v>4.9260689335445709E-2</c:v>
                </c:pt>
                <c:pt idx="55">
                  <c:v>4.9263084216734643E-2</c:v>
                </c:pt>
                <c:pt idx="56">
                  <c:v>4.9265388725144757E-2</c:v>
                </c:pt>
                <c:pt idx="57">
                  <c:v>4.9267607881391527E-2</c:v>
                </c:pt>
                <c:pt idx="58">
                  <c:v>4.9269746341047506E-2</c:v>
                </c:pt>
                <c:pt idx="59">
                  <c:v>4.9271808427144348E-2</c:v>
                </c:pt>
                <c:pt idx="60">
                  <c:v>4.9273798159343046E-2</c:v>
                </c:pt>
                <c:pt idx="61">
                  <c:v>4.9275719280086623E-2</c:v>
                </c:pt>
                <c:pt idx="62">
                  <c:v>4.9277575278093129E-2</c:v>
                </c:pt>
                <c:pt idx="63">
                  <c:v>4.9279369409499417E-2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B4-4B83-A210-A4C9C1EF43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'26.01.16'!$A$19:$A$82</c:f>
              <c:numCache>
                <c:formatCode>0.0000_);[Red]\(0.0000\)</c:formatCode>
                <c:ptCount val="6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 formatCode="0.0_);[Red]\(0.0\)">
                  <c:v>0.5</c:v>
                </c:pt>
                <c:pt idx="5" formatCode="0.0_);[Red]\(0.0\)">
                  <c:v>1</c:v>
                </c:pt>
                <c:pt idx="6" formatCode="0.0_);[Red]\(0.0\)">
                  <c:v>1.5</c:v>
                </c:pt>
                <c:pt idx="7" formatCode="0.0_);[Red]\(0.0\)">
                  <c:v>2</c:v>
                </c:pt>
                <c:pt idx="8" formatCode="0.0_);[Red]\(0.0\)">
                  <c:v>2.5</c:v>
                </c:pt>
                <c:pt idx="9" formatCode="0.0_);[Red]\(0.0\)">
                  <c:v>3</c:v>
                </c:pt>
                <c:pt idx="10" formatCode="0.0_);[Red]\(0.0\)">
                  <c:v>3.5</c:v>
                </c:pt>
                <c:pt idx="11" formatCode="0.0_);[Red]\(0.0\)">
                  <c:v>4</c:v>
                </c:pt>
                <c:pt idx="12" formatCode="0.0_);[Red]\(0.0\)">
                  <c:v>4.5</c:v>
                </c:pt>
                <c:pt idx="13" formatCode="0.0_);[Red]\(0.0\)">
                  <c:v>5</c:v>
                </c:pt>
                <c:pt idx="14" formatCode="0.0_);[Red]\(0.0\)">
                  <c:v>5.5</c:v>
                </c:pt>
                <c:pt idx="15" formatCode="0.0_);[Red]\(0.0\)">
                  <c:v>6</c:v>
                </c:pt>
                <c:pt idx="16" formatCode="0.0_);[Red]\(0.0\)">
                  <c:v>6.5</c:v>
                </c:pt>
                <c:pt idx="17" formatCode="0.0_);[Red]\(0.0\)">
                  <c:v>7</c:v>
                </c:pt>
                <c:pt idx="18" formatCode="0.0_);[Red]\(0.0\)">
                  <c:v>7.5</c:v>
                </c:pt>
                <c:pt idx="19" formatCode="0.0_);[Red]\(0.0\)">
                  <c:v>8</c:v>
                </c:pt>
                <c:pt idx="20" formatCode="0.0_);[Red]\(0.0\)">
                  <c:v>8.5</c:v>
                </c:pt>
                <c:pt idx="21" formatCode="0.0_);[Red]\(0.0\)">
                  <c:v>9</c:v>
                </c:pt>
                <c:pt idx="22" formatCode="0.0_);[Red]\(0.0\)">
                  <c:v>9.5</c:v>
                </c:pt>
                <c:pt idx="23" formatCode="0.0_);[Red]\(0.0\)">
                  <c:v>10</c:v>
                </c:pt>
                <c:pt idx="24" formatCode="0.0_);[Red]\(0.0\)">
                  <c:v>10.5</c:v>
                </c:pt>
                <c:pt idx="25" formatCode="0.0_);[Red]\(0.0\)">
                  <c:v>11</c:v>
                </c:pt>
                <c:pt idx="26" formatCode="0.0_);[Red]\(0.0\)">
                  <c:v>11.5</c:v>
                </c:pt>
                <c:pt idx="27" formatCode="0.0_);[Red]\(0.0\)">
                  <c:v>12</c:v>
                </c:pt>
                <c:pt idx="28" formatCode="0.0_);[Red]\(0.0\)">
                  <c:v>12.5</c:v>
                </c:pt>
                <c:pt idx="29" formatCode="0.0_);[Red]\(0.0\)">
                  <c:v>13</c:v>
                </c:pt>
                <c:pt idx="30" formatCode="0.0_);[Red]\(0.0\)">
                  <c:v>13.5</c:v>
                </c:pt>
                <c:pt idx="31" formatCode="0.0_);[Red]\(0.0\)">
                  <c:v>14</c:v>
                </c:pt>
                <c:pt idx="32" formatCode="0.0_);[Red]\(0.0\)">
                  <c:v>14.5</c:v>
                </c:pt>
                <c:pt idx="33" formatCode="0.0_);[Red]\(0.0\)">
                  <c:v>15</c:v>
                </c:pt>
                <c:pt idx="34" formatCode="0.0_);[Red]\(0.0\)">
                  <c:v>15.5</c:v>
                </c:pt>
                <c:pt idx="35" formatCode="0.0_);[Red]\(0.0\)">
                  <c:v>16</c:v>
                </c:pt>
                <c:pt idx="36" formatCode="0.0_);[Red]\(0.0\)">
                  <c:v>16.5</c:v>
                </c:pt>
                <c:pt idx="37" formatCode="0.0_);[Red]\(0.0\)">
                  <c:v>17</c:v>
                </c:pt>
                <c:pt idx="38" formatCode="0.0_);[Red]\(0.0\)">
                  <c:v>17.5</c:v>
                </c:pt>
                <c:pt idx="39" formatCode="0.0_);[Red]\(0.0\)">
                  <c:v>18</c:v>
                </c:pt>
                <c:pt idx="40" formatCode="0.0_);[Red]\(0.0\)">
                  <c:v>18.5</c:v>
                </c:pt>
                <c:pt idx="41" formatCode="0.0_);[Red]\(0.0\)">
                  <c:v>19</c:v>
                </c:pt>
                <c:pt idx="42" formatCode="0.0_);[Red]\(0.0\)">
                  <c:v>19.5</c:v>
                </c:pt>
                <c:pt idx="43" formatCode="0.0_);[Red]\(0.0\)">
                  <c:v>20</c:v>
                </c:pt>
                <c:pt idx="44" formatCode="0.0_);[Red]\(0.0\)">
                  <c:v>20.5</c:v>
                </c:pt>
                <c:pt idx="45" formatCode="0.0_);[Red]\(0.0\)">
                  <c:v>21</c:v>
                </c:pt>
                <c:pt idx="46" formatCode="0.0_);[Red]\(0.0\)">
                  <c:v>21.5</c:v>
                </c:pt>
                <c:pt idx="47" formatCode="0.0_);[Red]\(0.0\)">
                  <c:v>22</c:v>
                </c:pt>
                <c:pt idx="48" formatCode="0.0_);[Red]\(0.0\)">
                  <c:v>22.5</c:v>
                </c:pt>
                <c:pt idx="49" formatCode="0.0_);[Red]\(0.0\)">
                  <c:v>23</c:v>
                </c:pt>
                <c:pt idx="50" formatCode="0.0_);[Red]\(0.0\)">
                  <c:v>23.5</c:v>
                </c:pt>
                <c:pt idx="51" formatCode="0.0_);[Red]\(0.0\)">
                  <c:v>24</c:v>
                </c:pt>
                <c:pt idx="52" formatCode="0.0_);[Red]\(0.0\)">
                  <c:v>24.5</c:v>
                </c:pt>
                <c:pt idx="53" formatCode="0.0_);[Red]\(0.0\)">
                  <c:v>25</c:v>
                </c:pt>
                <c:pt idx="54" formatCode="0.0_);[Red]\(0.0\)">
                  <c:v>25.5</c:v>
                </c:pt>
                <c:pt idx="55" formatCode="0.0_);[Red]\(0.0\)">
                  <c:v>26</c:v>
                </c:pt>
                <c:pt idx="56" formatCode="0.0_);[Red]\(0.0\)">
                  <c:v>26.5</c:v>
                </c:pt>
                <c:pt idx="57" formatCode="0.0_);[Red]\(0.0\)">
                  <c:v>27</c:v>
                </c:pt>
                <c:pt idx="58" formatCode="0.0_);[Red]\(0.0\)">
                  <c:v>27.5</c:v>
                </c:pt>
                <c:pt idx="59" formatCode="0.0_);[Red]\(0.0\)">
                  <c:v>28</c:v>
                </c:pt>
                <c:pt idx="60" formatCode="0.0_);[Red]\(0.0\)">
                  <c:v>28.5</c:v>
                </c:pt>
                <c:pt idx="61" formatCode="0.0_);[Red]\(0.0\)">
                  <c:v>29</c:v>
                </c:pt>
                <c:pt idx="62" formatCode="0.0_);[Red]\(0.0\)">
                  <c:v>29.5</c:v>
                </c:pt>
                <c:pt idx="63" formatCode="0.0_);[Red]\(0.0\)">
                  <c:v>30</c:v>
                </c:pt>
              </c:numCache>
            </c:numRef>
          </c:xVal>
          <c:yVal>
            <c:numRef>
              <c:f>'26.01.16'!$E$19:$E$82</c:f>
              <c:numCache>
                <c:formatCode>General</c:formatCode>
                <c:ptCount val="64"/>
                <c:pt idx="0">
                  <c:v>4.1743561442546685E-2</c:v>
                </c:pt>
                <c:pt idx="1">
                  <c:v>4.1258134716199719E-2</c:v>
                </c:pt>
                <c:pt idx="2">
                  <c:v>4.0802682883269499E-2</c:v>
                </c:pt>
                <c:pt idx="3">
                  <c:v>4.0375860530270098E-2</c:v>
                </c:pt>
                <c:pt idx="4">
                  <c:v>3.9602997668811493E-2</c:v>
                </c:pt>
                <c:pt idx="5">
                  <c:v>3.7847812719770259E-2</c:v>
                </c:pt>
                <c:pt idx="6">
                  <c:v>3.6772347578013176E-2</c:v>
                </c:pt>
                <c:pt idx="7">
                  <c:v>3.6204435887632856E-2</c:v>
                </c:pt>
                <c:pt idx="8">
                  <c:v>3.6011248192121606E-2</c:v>
                </c:pt>
                <c:pt idx="9">
                  <c:v>3.6090674419745353E-2</c:v>
                </c:pt>
                <c:pt idx="10">
                  <c:v>3.6364554164652237E-2</c:v>
                </c:pt>
                <c:pt idx="11">
                  <c:v>3.6773363450802038E-2</c:v>
                </c:pt>
                <c:pt idx="12">
                  <c:v>3.7272048885737354E-2</c:v>
                </c:pt>
                <c:pt idx="13">
                  <c:v>3.7826765146945315E-2</c:v>
                </c:pt>
                <c:pt idx="14">
                  <c:v>3.8412323173228305E-2</c:v>
                </c:pt>
                <c:pt idx="15">
                  <c:v>3.9010197092246415E-2</c:v>
                </c:pt>
                <c:pt idx="16">
                  <c:v>3.9606970049301353E-2</c:v>
                </c:pt>
                <c:pt idx="17">
                  <c:v>4.0193124490659163E-2</c:v>
                </c:pt>
                <c:pt idx="18">
                  <c:v>4.0762102506330444E-2</c:v>
                </c:pt>
                <c:pt idx="19">
                  <c:v>4.1309577668021444E-2</c:v>
                </c:pt>
                <c:pt idx="20">
                  <c:v>4.1832892291310458E-2</c:v>
                </c:pt>
                <c:pt idx="21">
                  <c:v>4.2330623906235813E-2</c:v>
                </c:pt>
                <c:pt idx="22">
                  <c:v>4.2802252490779076E-2</c:v>
                </c:pt>
                <c:pt idx="23">
                  <c:v>4.3247906145036465E-2</c:v>
                </c:pt>
                <c:pt idx="24">
                  <c:v>4.3668167706542756E-2</c:v>
                </c:pt>
                <c:pt idx="25">
                  <c:v>4.4063928603152842E-2</c:v>
                </c:pt>
                <c:pt idx="26">
                  <c:v>4.4436279225655753E-2</c:v>
                </c:pt>
                <c:pt idx="27">
                  <c:v>4.4786427449061403E-2</c:v>
                </c:pt>
                <c:pt idx="28">
                  <c:v>4.5115638774509803E-2</c:v>
                </c:pt>
                <c:pt idx="29">
                  <c:v>4.5425193009838549E-2</c:v>
                </c:pt>
                <c:pt idx="30">
                  <c:v>4.5716353540360695E-2</c:v>
                </c:pt>
                <c:pt idx="31">
                  <c:v>4.5990346128934066E-2</c:v>
                </c:pt>
                <c:pt idx="32">
                  <c:v>4.6248344878475317E-2</c:v>
                </c:pt>
                <c:pt idx="33">
                  <c:v>4.6491463532113829E-2</c:v>
                </c:pt>
                <c:pt idx="34">
                  <c:v>4.6720750708846195E-2</c:v>
                </c:pt>
                <c:pt idx="35">
                  <c:v>4.6937188001565801E-2</c:v>
                </c:pt>
                <c:pt idx="36">
                  <c:v>4.7141690119959133E-2</c:v>
                </c:pt>
                <c:pt idx="37">
                  <c:v>4.7335106458917302E-2</c:v>
                </c:pt>
                <c:pt idx="38">
                  <c:v>4.7518223626341047E-2</c:v>
                </c:pt>
                <c:pt idx="39">
                  <c:v>4.7691768582365443E-2</c:v>
                </c:pt>
                <c:pt idx="40">
                  <c:v>4.7856412132827833E-2</c:v>
                </c:pt>
                <c:pt idx="41">
                  <c:v>4.8012772589311928E-2</c:v>
                </c:pt>
                <c:pt idx="42">
                  <c:v>4.8161419461074009E-2</c:v>
                </c:pt>
                <c:pt idx="43">
                  <c:v>4.8302877084311802E-2</c:v>
                </c:pt>
                <c:pt idx="44">
                  <c:v>4.8437628124480846E-2</c:v>
                </c:pt>
                <c:pt idx="45">
                  <c:v>4.8566116909965394E-2</c:v>
                </c:pt>
                <c:pt idx="46">
                  <c:v>4.868875257214117E-2</c:v>
                </c:pt>
                <c:pt idx="47">
                  <c:v>4.8805911979101363E-2</c:v>
                </c:pt>
                <c:pt idx="48">
                  <c:v>4.8917942459124814E-2</c:v>
                </c:pt>
                <c:pt idx="49">
                  <c:v>4.9025164316174832E-2</c:v>
                </c:pt>
                <c:pt idx="50">
                  <c:v>4.9127873143968506E-2</c:v>
                </c:pt>
                <c:pt idx="51">
                  <c:v>4.9226341947944313E-2</c:v>
                </c:pt>
                <c:pt idx="52">
                  <c:v>4.9320823086159468E-2</c:v>
                </c:pt>
                <c:pt idx="53">
                  <c:v>4.9411550041057177E-2</c:v>
                </c:pt>
                <c:pt idx="54">
                  <c:v>4.9498739034381074E-2</c:v>
                </c:pt>
                <c:pt idx="55">
                  <c:v>4.9582590497445664E-2</c:v>
                </c:pt>
                <c:pt idx="56">
                  <c:v>4.9663290408624751E-2</c:v>
                </c:pt>
                <c:pt idx="57">
                  <c:v>4.9741011509389622E-2</c:v>
                </c:pt>
                <c:pt idx="58">
                  <c:v>4.981591440958414E-2</c:v>
                </c:pt>
                <c:pt idx="59">
                  <c:v>4.9888148591917501E-2</c:v>
                </c:pt>
                <c:pt idx="60">
                  <c:v>4.9957853324923293E-2</c:v>
                </c:pt>
                <c:pt idx="61">
                  <c:v>5.0025158492902434E-2</c:v>
                </c:pt>
                <c:pt idx="62">
                  <c:v>5.0090185350655583E-2</c:v>
                </c:pt>
                <c:pt idx="63">
                  <c:v>5.0153047210129517E-2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B4-4B83-A210-A4C9C1EF43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'26.01.16'!$A$19:$A$82</c:f>
              <c:numCache>
                <c:formatCode>0.0000_);[Red]\(0.0000\)</c:formatCode>
                <c:ptCount val="6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 formatCode="0.0_);[Red]\(0.0\)">
                  <c:v>0.5</c:v>
                </c:pt>
                <c:pt idx="5" formatCode="0.0_);[Red]\(0.0\)">
                  <c:v>1</c:v>
                </c:pt>
                <c:pt idx="6" formatCode="0.0_);[Red]\(0.0\)">
                  <c:v>1.5</c:v>
                </c:pt>
                <c:pt idx="7" formatCode="0.0_);[Red]\(0.0\)">
                  <c:v>2</c:v>
                </c:pt>
                <c:pt idx="8" formatCode="0.0_);[Red]\(0.0\)">
                  <c:v>2.5</c:v>
                </c:pt>
                <c:pt idx="9" formatCode="0.0_);[Red]\(0.0\)">
                  <c:v>3</c:v>
                </c:pt>
                <c:pt idx="10" formatCode="0.0_);[Red]\(0.0\)">
                  <c:v>3.5</c:v>
                </c:pt>
                <c:pt idx="11" formatCode="0.0_);[Red]\(0.0\)">
                  <c:v>4</c:v>
                </c:pt>
                <c:pt idx="12" formatCode="0.0_);[Red]\(0.0\)">
                  <c:v>4.5</c:v>
                </c:pt>
                <c:pt idx="13" formatCode="0.0_);[Red]\(0.0\)">
                  <c:v>5</c:v>
                </c:pt>
                <c:pt idx="14" formatCode="0.0_);[Red]\(0.0\)">
                  <c:v>5.5</c:v>
                </c:pt>
                <c:pt idx="15" formatCode="0.0_);[Red]\(0.0\)">
                  <c:v>6</c:v>
                </c:pt>
                <c:pt idx="16" formatCode="0.0_);[Red]\(0.0\)">
                  <c:v>6.5</c:v>
                </c:pt>
                <c:pt idx="17" formatCode="0.0_);[Red]\(0.0\)">
                  <c:v>7</c:v>
                </c:pt>
                <c:pt idx="18" formatCode="0.0_);[Red]\(0.0\)">
                  <c:v>7.5</c:v>
                </c:pt>
                <c:pt idx="19" formatCode="0.0_);[Red]\(0.0\)">
                  <c:v>8</c:v>
                </c:pt>
                <c:pt idx="20" formatCode="0.0_);[Red]\(0.0\)">
                  <c:v>8.5</c:v>
                </c:pt>
                <c:pt idx="21" formatCode="0.0_);[Red]\(0.0\)">
                  <c:v>9</c:v>
                </c:pt>
                <c:pt idx="22" formatCode="0.0_);[Red]\(0.0\)">
                  <c:v>9.5</c:v>
                </c:pt>
                <c:pt idx="23" formatCode="0.0_);[Red]\(0.0\)">
                  <c:v>10</c:v>
                </c:pt>
                <c:pt idx="24" formatCode="0.0_);[Red]\(0.0\)">
                  <c:v>10.5</c:v>
                </c:pt>
                <c:pt idx="25" formatCode="0.0_);[Red]\(0.0\)">
                  <c:v>11</c:v>
                </c:pt>
                <c:pt idx="26" formatCode="0.0_);[Red]\(0.0\)">
                  <c:v>11.5</c:v>
                </c:pt>
                <c:pt idx="27" formatCode="0.0_);[Red]\(0.0\)">
                  <c:v>12</c:v>
                </c:pt>
                <c:pt idx="28" formatCode="0.0_);[Red]\(0.0\)">
                  <c:v>12.5</c:v>
                </c:pt>
                <c:pt idx="29" formatCode="0.0_);[Red]\(0.0\)">
                  <c:v>13</c:v>
                </c:pt>
                <c:pt idx="30" formatCode="0.0_);[Red]\(0.0\)">
                  <c:v>13.5</c:v>
                </c:pt>
                <c:pt idx="31" formatCode="0.0_);[Red]\(0.0\)">
                  <c:v>14</c:v>
                </c:pt>
                <c:pt idx="32" formatCode="0.0_);[Red]\(0.0\)">
                  <c:v>14.5</c:v>
                </c:pt>
                <c:pt idx="33" formatCode="0.0_);[Red]\(0.0\)">
                  <c:v>15</c:v>
                </c:pt>
                <c:pt idx="34" formatCode="0.0_);[Red]\(0.0\)">
                  <c:v>15.5</c:v>
                </c:pt>
                <c:pt idx="35" formatCode="0.0_);[Red]\(0.0\)">
                  <c:v>16</c:v>
                </c:pt>
                <c:pt idx="36" formatCode="0.0_);[Red]\(0.0\)">
                  <c:v>16.5</c:v>
                </c:pt>
                <c:pt idx="37" formatCode="0.0_);[Red]\(0.0\)">
                  <c:v>17</c:v>
                </c:pt>
                <c:pt idx="38" formatCode="0.0_);[Red]\(0.0\)">
                  <c:v>17.5</c:v>
                </c:pt>
                <c:pt idx="39" formatCode="0.0_);[Red]\(0.0\)">
                  <c:v>18</c:v>
                </c:pt>
                <c:pt idx="40" formatCode="0.0_);[Red]\(0.0\)">
                  <c:v>18.5</c:v>
                </c:pt>
                <c:pt idx="41" formatCode="0.0_);[Red]\(0.0\)">
                  <c:v>19</c:v>
                </c:pt>
                <c:pt idx="42" formatCode="0.0_);[Red]\(0.0\)">
                  <c:v>19.5</c:v>
                </c:pt>
                <c:pt idx="43" formatCode="0.0_);[Red]\(0.0\)">
                  <c:v>20</c:v>
                </c:pt>
                <c:pt idx="44" formatCode="0.0_);[Red]\(0.0\)">
                  <c:v>20.5</c:v>
                </c:pt>
                <c:pt idx="45" formatCode="0.0_);[Red]\(0.0\)">
                  <c:v>21</c:v>
                </c:pt>
                <c:pt idx="46" formatCode="0.0_);[Red]\(0.0\)">
                  <c:v>21.5</c:v>
                </c:pt>
                <c:pt idx="47" formatCode="0.0_);[Red]\(0.0\)">
                  <c:v>22</c:v>
                </c:pt>
                <c:pt idx="48" formatCode="0.0_);[Red]\(0.0\)">
                  <c:v>22.5</c:v>
                </c:pt>
                <c:pt idx="49" formatCode="0.0_);[Red]\(0.0\)">
                  <c:v>23</c:v>
                </c:pt>
                <c:pt idx="50" formatCode="0.0_);[Red]\(0.0\)">
                  <c:v>23.5</c:v>
                </c:pt>
                <c:pt idx="51" formatCode="0.0_);[Red]\(0.0\)">
                  <c:v>24</c:v>
                </c:pt>
                <c:pt idx="52" formatCode="0.0_);[Red]\(0.0\)">
                  <c:v>24.5</c:v>
                </c:pt>
                <c:pt idx="53" formatCode="0.0_);[Red]\(0.0\)">
                  <c:v>25</c:v>
                </c:pt>
                <c:pt idx="54" formatCode="0.0_);[Red]\(0.0\)">
                  <c:v>25.5</c:v>
                </c:pt>
                <c:pt idx="55" formatCode="0.0_);[Red]\(0.0\)">
                  <c:v>26</c:v>
                </c:pt>
                <c:pt idx="56" formatCode="0.0_);[Red]\(0.0\)">
                  <c:v>26.5</c:v>
                </c:pt>
                <c:pt idx="57" formatCode="0.0_);[Red]\(0.0\)">
                  <c:v>27</c:v>
                </c:pt>
                <c:pt idx="58" formatCode="0.0_);[Red]\(0.0\)">
                  <c:v>27.5</c:v>
                </c:pt>
                <c:pt idx="59" formatCode="0.0_);[Red]\(0.0\)">
                  <c:v>28</c:v>
                </c:pt>
                <c:pt idx="60" formatCode="0.0_);[Red]\(0.0\)">
                  <c:v>28.5</c:v>
                </c:pt>
                <c:pt idx="61" formatCode="0.0_);[Red]\(0.0\)">
                  <c:v>29</c:v>
                </c:pt>
                <c:pt idx="62" formatCode="0.0_);[Red]\(0.0\)">
                  <c:v>29.5</c:v>
                </c:pt>
                <c:pt idx="63" formatCode="0.0_);[Red]\(0.0\)">
                  <c:v>30</c:v>
                </c:pt>
              </c:numCache>
            </c:numRef>
          </c:xVal>
          <c:yVal>
            <c:numRef>
              <c:f>'26.01.16'!$H$19:$H$82</c:f>
              <c:numCache>
                <c:formatCode>General</c:formatCode>
                <c:ptCount val="64"/>
                <c:pt idx="0">
                  <c:v>4.5576252740970963E-2</c:v>
                </c:pt>
                <c:pt idx="1">
                  <c:v>1.4012709550404914E-2</c:v>
                </c:pt>
                <c:pt idx="2">
                  <c:v>-7.5783013702707819E-3</c:v>
                </c:pt>
                <c:pt idx="3">
                  <c:v>-2.1747338295491928E-2</c:v>
                </c:pt>
                <c:pt idx="4">
                  <c:v>-3.5108767096718702E-2</c:v>
                </c:pt>
                <c:pt idx="5">
                  <c:v>-2.5175797566760499E-2</c:v>
                </c:pt>
                <c:pt idx="6">
                  <c:v>-2.6092364439736643E-3</c:v>
                </c:pt>
                <c:pt idx="7">
                  <c:v>1.4306245016069544E-2</c:v>
                </c:pt>
                <c:pt idx="8">
                  <c:v>2.548217890903471E-2</c:v>
                </c:pt>
                <c:pt idx="9">
                  <c:v>3.2808161623527961E-2</c:v>
                </c:pt>
                <c:pt idx="10">
                  <c:v>3.7698243098823525E-2</c:v>
                </c:pt>
                <c:pt idx="11">
                  <c:v>4.1023047647298104E-2</c:v>
                </c:pt>
                <c:pt idx="12">
                  <c:v>4.3307525855827575E-2</c:v>
                </c:pt>
                <c:pt idx="13">
                  <c:v>4.4876577525036487E-2</c:v>
                </c:pt>
                <c:pt idx="14">
                  <c:v>4.5939201748731007E-2</c:v>
                </c:pt>
                <c:pt idx="15">
                  <c:v>4.6635147387847256E-2</c:v>
                </c:pt>
                <c:pt idx="16">
                  <c:v>4.706115862760725E-2</c:v>
                </c:pt>
                <c:pt idx="17">
                  <c:v>4.7286243358412E-2</c:v>
                </c:pt>
                <c:pt idx="18">
                  <c:v>4.7360898359780947E-2</c:v>
                </c:pt>
                <c:pt idx="19">
                  <c:v>4.7322890055052066E-2</c:v>
                </c:pt>
                <c:pt idx="20">
                  <c:v>4.7200998479849987E-2</c:v>
                </c:pt>
                <c:pt idx="21">
                  <c:v>4.7017514058689466E-2</c:v>
                </c:pt>
                <c:pt idx="22">
                  <c:v>4.6789946104275393E-2</c:v>
                </c:pt>
                <c:pt idx="23">
                  <c:v>4.6532218803538597E-2</c:v>
                </c:pt>
                <c:pt idx="24">
                  <c:v>4.6255525497713459E-2</c:v>
                </c:pt>
                <c:pt idx="25">
                  <c:v>4.5968949974099546E-2</c:v>
                </c:pt>
                <c:pt idx="26">
                  <c:v>4.5679925677467884E-2</c:v>
                </c:pt>
                <c:pt idx="27">
                  <c:v>4.5394580114222746E-2</c:v>
                </c:pt>
                <c:pt idx="28">
                  <c:v>4.5117996595264692E-2</c:v>
                </c:pt>
                <c:pt idx="29">
                  <c:v>4.4854415572584211E-2</c:v>
                </c:pt>
                <c:pt idx="30">
                  <c:v>4.4607391230446963E-2</c:v>
                </c:pt>
                <c:pt idx="31">
                  <c:v>4.4379914517591587E-2</c:v>
                </c:pt>
                <c:pt idx="32">
                  <c:v>4.4174510720832991E-2</c:v>
                </c:pt>
                <c:pt idx="33">
                  <c:v>4.3993317520578619E-2</c:v>
                </c:pt>
                <c:pt idx="34">
                  <c:v>4.3838147935408717E-2</c:v>
                </c:pt>
                <c:pt idx="35">
                  <c:v>4.3710541461423461E-2</c:v>
                </c:pt>
                <c:pt idx="36">
                  <c:v>4.3611805910428729E-2</c:v>
                </c:pt>
                <c:pt idx="37">
                  <c:v>4.3543051861927161E-2</c:v>
                </c:pt>
                <c:pt idx="38">
                  <c:v>4.3505221206248758E-2</c:v>
                </c:pt>
                <c:pt idx="39">
                  <c:v>4.3499110927690432E-2</c:v>
                </c:pt>
                <c:pt idx="40">
                  <c:v>4.3525393028275926E-2</c:v>
                </c:pt>
                <c:pt idx="41">
                  <c:v>4.3584631303110057E-2</c:v>
                </c:pt>
                <c:pt idx="42">
                  <c:v>4.3677295532371242E-2</c:v>
                </c:pt>
                <c:pt idx="43">
                  <c:v>4.3803773542149926E-2</c:v>
                </c:pt>
                <c:pt idx="44">
                  <c:v>4.3964381497906761E-2</c:v>
                </c:pt>
                <c:pt idx="45">
                  <c:v>4.415937272520061E-2</c:v>
                </c:pt>
                <c:pt idx="46">
                  <c:v>4.4388945297398119E-2</c:v>
                </c:pt>
                <c:pt idx="47">
                  <c:v>4.4653248586601212E-2</c:v>
                </c:pt>
                <c:pt idx="48">
                  <c:v>4.4952388939025867E-2</c:v>
                </c:pt>
                <c:pt idx="49">
                  <c:v>4.528643460810395E-2</c:v>
                </c:pt>
                <c:pt idx="50">
                  <c:v>4.5655420055908107E-2</c:v>
                </c:pt>
                <c:pt idx="51">
                  <c:v>4.6059349714957259E-2</c:v>
                </c:pt>
                <c:pt idx="52">
                  <c:v>4.6498201287603493E-2</c:v>
                </c:pt>
                <c:pt idx="53">
                  <c:v>4.6971928647649763E-2</c:v>
                </c:pt>
                <c:pt idx="54">
                  <c:v>4.7480464398883628E-2</c:v>
                </c:pt>
                <c:pt idx="55">
                  <c:v>4.8023722136704153E-2</c:v>
                </c:pt>
                <c:pt idx="56">
                  <c:v>4.8601598452018349E-2</c:v>
                </c:pt>
                <c:pt idx="57">
                  <c:v>4.9213974710924077E-2</c:v>
                </c:pt>
                <c:pt idx="58">
                  <c:v>4.9860718638635566E-2</c:v>
                </c:pt>
                <c:pt idx="59">
                  <c:v>5.054168573219308E-2</c:v>
                </c:pt>
                <c:pt idx="60">
                  <c:v>5.1256720522943562E-2</c:v>
                </c:pt>
                <c:pt idx="61">
                  <c:v>5.2005657707000212E-2</c:v>
                </c:pt>
                <c:pt idx="62">
                  <c:v>5.2788323159288365E-2</c:v>
                </c:pt>
                <c:pt idx="63">
                  <c:v>5.3604534844798324E-2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B4-4B83-A210-A4C9C1EF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56287"/>
        <c:axId val="1193156767"/>
      </c:scatterChart>
      <c:valAx>
        <c:axId val="119315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3156767"/>
        <c:crosses val="autoZero"/>
        <c:crossBetween val="midCat"/>
      </c:valAx>
      <c:valAx>
        <c:axId val="119315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3156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151036</xdr:colOff>
      <xdr:row>18</xdr:row>
      <xdr:rowOff>111572</xdr:rowOff>
    </xdr:from>
    <xdr:to>
      <xdr:col>21</xdr:col>
      <xdr:colOff>291840</xdr:colOff>
      <xdr:row>20</xdr:row>
      <xdr:rowOff>138228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EA0EA32-C9EE-0A07-D14E-2B221668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2183" y="2935454"/>
          <a:ext cx="3502569" cy="407656"/>
        </a:xfrm>
        <a:prstGeom prst="rect">
          <a:avLst/>
        </a:prstGeom>
      </xdr:spPr>
    </xdr:pic>
    <xdr:clientData/>
  </xdr:twoCellAnchor>
  <xdr:twoCellAnchor editAs="oneCell">
    <xdr:from>
      <xdr:col>16</xdr:col>
      <xdr:colOff>30693</xdr:colOff>
      <xdr:row>13</xdr:row>
      <xdr:rowOff>11003</xdr:rowOff>
    </xdr:from>
    <xdr:to>
      <xdr:col>21</xdr:col>
      <xdr:colOff>287453</xdr:colOff>
      <xdr:row>16</xdr:row>
      <xdr:rowOff>90049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F02CB7D-941A-E50D-33F2-5641BF34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1840" y="2050474"/>
          <a:ext cx="3618525" cy="549693"/>
        </a:xfrm>
        <a:prstGeom prst="rect">
          <a:avLst/>
        </a:prstGeom>
      </xdr:spPr>
    </xdr:pic>
    <xdr:clientData/>
  </xdr:twoCellAnchor>
  <xdr:twoCellAnchor editAs="oneCell">
    <xdr:from>
      <xdr:col>16</xdr:col>
      <xdr:colOff>43850</xdr:colOff>
      <xdr:row>3</xdr:row>
      <xdr:rowOff>71619</xdr:rowOff>
    </xdr:from>
    <xdr:to>
      <xdr:col>22</xdr:col>
      <xdr:colOff>358588</xdr:colOff>
      <xdr:row>7</xdr:row>
      <xdr:rowOff>61394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C336A2B-55AB-A9B1-E386-117D52FF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4997" y="542266"/>
          <a:ext cx="4348856" cy="617305"/>
        </a:xfrm>
        <a:prstGeom prst="rect">
          <a:avLst/>
        </a:prstGeom>
      </xdr:spPr>
    </xdr:pic>
    <xdr:clientData/>
  </xdr:twoCellAnchor>
  <xdr:twoCellAnchor editAs="oneCell">
    <xdr:from>
      <xdr:col>16</xdr:col>
      <xdr:colOff>143436</xdr:colOff>
      <xdr:row>8</xdr:row>
      <xdr:rowOff>141292</xdr:rowOff>
    </xdr:from>
    <xdr:to>
      <xdr:col>20</xdr:col>
      <xdr:colOff>490295</xdr:colOff>
      <xdr:row>11</xdr:row>
      <xdr:rowOff>122716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2D0B7E4-A5AD-D94A-CAAC-128468947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4583" y="1396351"/>
          <a:ext cx="3036271" cy="452071"/>
        </a:xfrm>
        <a:prstGeom prst="rect">
          <a:avLst/>
        </a:prstGeom>
      </xdr:spPr>
    </xdr:pic>
    <xdr:clientData/>
  </xdr:twoCellAnchor>
  <xdr:twoCellAnchor>
    <xdr:from>
      <xdr:col>14</xdr:col>
      <xdr:colOff>33646</xdr:colOff>
      <xdr:row>28</xdr:row>
      <xdr:rowOff>55772</xdr:rowOff>
    </xdr:from>
    <xdr:to>
      <xdr:col>25</xdr:col>
      <xdr:colOff>236279</xdr:colOff>
      <xdr:row>54</xdr:row>
      <xdr:rowOff>118139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A9CABFA-3AAD-72A1-8A65-942D48715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.treasury.gov/resource-center/data-chart-center/interest-rates/TextView?type=daily_treasury_yield_curve&amp;field_tdr_date_value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FB8-7DA6-45AE-9267-B76D63FF087D}">
  <dimension ref="A1:X95"/>
  <sheetViews>
    <sheetView tabSelected="1" topLeftCell="A8" zoomScale="43" zoomScaleNormal="85" workbookViewId="0">
      <selection activeCell="O69" sqref="O69"/>
    </sheetView>
  </sheetViews>
  <sheetFormatPr defaultColWidth="8.83203125" defaultRowHeight="14.5" x14ac:dyDescent="0.4"/>
  <cols>
    <col min="1" max="1" width="11.25" style="3" customWidth="1"/>
    <col min="2" max="2" width="10.33203125" style="3" bestFit="1" customWidth="1"/>
    <col min="3" max="3" width="12.25" style="3" bestFit="1" customWidth="1"/>
    <col min="4" max="4" width="12.08203125" style="3" bestFit="1" customWidth="1"/>
    <col min="5" max="5" width="12.33203125" style="3" customWidth="1"/>
    <col min="6" max="6" width="9.5" style="3" customWidth="1"/>
    <col min="7" max="7" width="10.5" style="3" customWidth="1"/>
    <col min="8" max="13" width="9" style="3" bestFit="1" customWidth="1"/>
    <col min="14" max="16384" width="8.83203125" style="3"/>
  </cols>
  <sheetData>
    <row r="1" spans="1:15" ht="17.5" thickBot="1" x14ac:dyDescent="0.5">
      <c r="A1" s="1" t="s">
        <v>2</v>
      </c>
      <c r="B1" s="2">
        <v>46045</v>
      </c>
      <c r="C1" s="19" t="s">
        <v>48</v>
      </c>
      <c r="D1" s="4"/>
    </row>
    <row r="2" spans="1:15" ht="12" customHeight="1" x14ac:dyDescent="0.4">
      <c r="A2" s="5" t="s">
        <v>3</v>
      </c>
      <c r="B2" s="3">
        <v>3.78E-2</v>
      </c>
      <c r="C2" s="41" t="s">
        <v>47</v>
      </c>
      <c r="D2" s="42"/>
      <c r="E2" s="26" t="s">
        <v>42</v>
      </c>
      <c r="F2" s="27"/>
      <c r="G2" s="27"/>
      <c r="H2" s="27"/>
      <c r="I2" s="27"/>
      <c r="J2" s="27"/>
      <c r="K2" s="27"/>
      <c r="L2" s="27"/>
      <c r="M2" s="28"/>
    </row>
    <row r="3" spans="1:15" ht="12" customHeight="1" thickBot="1" x14ac:dyDescent="0.45">
      <c r="A3" s="5" t="s">
        <v>4</v>
      </c>
      <c r="B3" s="3">
        <v>3.7199999999999997E-2</v>
      </c>
      <c r="C3" s="43"/>
      <c r="D3" s="42"/>
      <c r="E3" s="29"/>
      <c r="F3" s="30"/>
      <c r="G3" s="30"/>
      <c r="H3" s="30"/>
      <c r="I3" s="30"/>
      <c r="J3" s="30"/>
      <c r="K3" s="30"/>
      <c r="L3" s="30"/>
      <c r="M3" s="31"/>
    </row>
    <row r="4" spans="1:15" x14ac:dyDescent="0.4">
      <c r="A4" s="5" t="s">
        <v>5</v>
      </c>
      <c r="B4" s="3">
        <v>3.6999999999999998E-2</v>
      </c>
    </row>
    <row r="5" spans="1:15" x14ac:dyDescent="0.4">
      <c r="A5" s="5" t="s">
        <v>6</v>
      </c>
      <c r="B5" s="3">
        <v>3.6700000000000003E-2</v>
      </c>
      <c r="D5" s="3" t="s">
        <v>33</v>
      </c>
      <c r="F5" s="13"/>
      <c r="G5" s="13"/>
      <c r="H5" s="13"/>
      <c r="I5" s="13"/>
    </row>
    <row r="6" spans="1:15" ht="15" thickBot="1" x14ac:dyDescent="0.45">
      <c r="A6" s="5" t="s">
        <v>7</v>
      </c>
      <c r="B6" s="3">
        <v>3.61E-2</v>
      </c>
      <c r="D6" s="13"/>
      <c r="E6" s="13" t="s">
        <v>0</v>
      </c>
      <c r="F6" s="13"/>
      <c r="G6" s="13"/>
      <c r="H6" s="13"/>
      <c r="I6" s="13"/>
    </row>
    <row r="7" spans="1:15" x14ac:dyDescent="0.4">
      <c r="A7" s="5" t="s">
        <v>8</v>
      </c>
      <c r="B7" s="3">
        <v>3.5299999999999998E-2</v>
      </c>
      <c r="D7" s="13"/>
      <c r="E7" s="14" t="s">
        <v>13</v>
      </c>
      <c r="F7" s="14" t="s">
        <v>14</v>
      </c>
      <c r="G7" s="14" t="s">
        <v>15</v>
      </c>
      <c r="H7" s="14" t="s">
        <v>39</v>
      </c>
      <c r="I7" s="13"/>
      <c r="L7" s="32" t="s">
        <v>45</v>
      </c>
      <c r="M7" s="33"/>
      <c r="N7" s="33"/>
      <c r="O7" s="34"/>
    </row>
    <row r="8" spans="1:15" x14ac:dyDescent="0.4">
      <c r="A8" s="8" t="s">
        <v>9</v>
      </c>
      <c r="B8" s="3">
        <v>3.5999999999999997E-2</v>
      </c>
      <c r="D8" s="13"/>
      <c r="E8" s="15" t="s">
        <v>17</v>
      </c>
      <c r="F8" s="15" t="s">
        <v>18</v>
      </c>
      <c r="G8" s="15" t="s">
        <v>19</v>
      </c>
      <c r="H8" s="15" t="s">
        <v>31</v>
      </c>
      <c r="I8" s="13"/>
      <c r="L8" s="35"/>
      <c r="M8" s="36"/>
      <c r="N8" s="36"/>
      <c r="O8" s="37"/>
    </row>
    <row r="9" spans="1:15" x14ac:dyDescent="0.4">
      <c r="A9" s="8" t="s">
        <v>10</v>
      </c>
      <c r="B9" s="3">
        <v>3.6700000000000003E-2</v>
      </c>
      <c r="D9" s="13"/>
      <c r="E9" s="16">
        <v>5.3862545290227874E-2</v>
      </c>
      <c r="F9" s="16">
        <v>-1.1602179067073838E-2</v>
      </c>
      <c r="G9" s="16">
        <v>-3.947305387336001E-2</v>
      </c>
      <c r="H9" s="16">
        <v>0.45895346414417681</v>
      </c>
      <c r="I9" s="13"/>
      <c r="L9" s="35"/>
      <c r="M9" s="36"/>
      <c r="N9" s="36"/>
      <c r="O9" s="37"/>
    </row>
    <row r="10" spans="1:15" x14ac:dyDescent="0.4">
      <c r="A10" s="8" t="s">
        <v>11</v>
      </c>
      <c r="B10" s="3">
        <v>3.8399999999999997E-2</v>
      </c>
      <c r="D10" s="13"/>
      <c r="E10" s="3" t="s">
        <v>1</v>
      </c>
      <c r="F10" s="13"/>
      <c r="G10" s="13"/>
      <c r="H10" s="13"/>
      <c r="I10" s="13"/>
      <c r="L10" s="35"/>
      <c r="M10" s="36"/>
      <c r="N10" s="36"/>
      <c r="O10" s="37"/>
    </row>
    <row r="11" spans="1:15" x14ac:dyDescent="0.4">
      <c r="A11" s="8" t="s">
        <v>12</v>
      </c>
      <c r="B11" s="3">
        <v>4.0300000000000002E-2</v>
      </c>
      <c r="E11" s="14" t="s">
        <v>13</v>
      </c>
      <c r="F11" s="14" t="s">
        <v>14</v>
      </c>
      <c r="G11" s="14" t="s">
        <v>15</v>
      </c>
      <c r="H11" s="14"/>
      <c r="I11" s="14" t="s">
        <v>40</v>
      </c>
      <c r="J11" s="14" t="s">
        <v>41</v>
      </c>
      <c r="L11" s="35"/>
      <c r="M11" s="36"/>
      <c r="N11" s="36"/>
      <c r="O11" s="37"/>
    </row>
    <row r="12" spans="1:15" x14ac:dyDescent="0.4">
      <c r="A12" s="8" t="s">
        <v>16</v>
      </c>
      <c r="B12" s="3">
        <v>4.24E-2</v>
      </c>
      <c r="E12" s="15" t="s">
        <v>17</v>
      </c>
      <c r="F12" s="15" t="s">
        <v>18</v>
      </c>
      <c r="G12" s="15" t="s">
        <v>19</v>
      </c>
      <c r="H12" s="15" t="s">
        <v>30</v>
      </c>
      <c r="I12" s="15" t="s">
        <v>31</v>
      </c>
      <c r="J12" s="15" t="s">
        <v>32</v>
      </c>
      <c r="L12" s="35"/>
      <c r="M12" s="36"/>
      <c r="N12" s="36"/>
      <c r="O12" s="37"/>
    </row>
    <row r="13" spans="1:15" x14ac:dyDescent="0.4">
      <c r="A13" s="9" t="s">
        <v>20</v>
      </c>
      <c r="B13" s="3">
        <v>4.7800000000000002E-2</v>
      </c>
      <c r="E13" s="16">
        <v>3.9999999999999996</v>
      </c>
      <c r="F13" s="16">
        <v>-3.9095415805279301</v>
      </c>
      <c r="G13" s="16">
        <v>-4.6226420116800107</v>
      </c>
      <c r="H13" s="16">
        <v>-0.41883431283941441</v>
      </c>
      <c r="I13" s="16">
        <v>1.1599447604428043E-2</v>
      </c>
      <c r="J13" s="16">
        <v>3.0115994958924976</v>
      </c>
      <c r="L13" s="35"/>
      <c r="M13" s="36"/>
      <c r="N13" s="36"/>
      <c r="O13" s="37"/>
    </row>
    <row r="14" spans="1:15" ht="15" thickBot="1" x14ac:dyDescent="0.45">
      <c r="A14" s="9" t="s">
        <v>21</v>
      </c>
      <c r="B14" s="3">
        <v>4.82E-2</v>
      </c>
      <c r="D14" s="3" t="s">
        <v>33</v>
      </c>
      <c r="L14" s="38"/>
      <c r="M14" s="39"/>
      <c r="N14" s="39"/>
      <c r="O14" s="40"/>
    </row>
    <row r="15" spans="1:15" ht="12" customHeight="1" x14ac:dyDescent="0.4"/>
    <row r="16" spans="1:15" ht="12" customHeight="1" x14ac:dyDescent="0.4">
      <c r="A16" s="6" t="s">
        <v>22</v>
      </c>
      <c r="B16" s="7">
        <v>100</v>
      </c>
    </row>
    <row r="17" spans="1:24" x14ac:dyDescent="0.4">
      <c r="B17" s="3" t="s">
        <v>38</v>
      </c>
      <c r="G17" s="3" t="s">
        <v>44</v>
      </c>
      <c r="J17" s="3" t="s">
        <v>43</v>
      </c>
    </row>
    <row r="18" spans="1:24" x14ac:dyDescent="0.4">
      <c r="A18" s="1" t="s">
        <v>34</v>
      </c>
      <c r="B18" s="17" t="s">
        <v>23</v>
      </c>
      <c r="C18" s="17" t="s">
        <v>26</v>
      </c>
      <c r="D18" s="17" t="s">
        <v>27</v>
      </c>
      <c r="E18" s="17" t="s">
        <v>24</v>
      </c>
      <c r="F18" s="17" t="s">
        <v>28</v>
      </c>
      <c r="G18" s="17" t="s">
        <v>36</v>
      </c>
      <c r="H18" s="17" t="s">
        <v>25</v>
      </c>
      <c r="I18" s="17" t="s">
        <v>26</v>
      </c>
      <c r="J18" s="17" t="s">
        <v>37</v>
      </c>
      <c r="K18" s="21" t="s">
        <v>29</v>
      </c>
      <c r="L18" s="18"/>
      <c r="M18" s="24"/>
    </row>
    <row r="19" spans="1:24" ht="15" customHeight="1" x14ac:dyDescent="0.4">
      <c r="A19" s="10">
        <f>1/12</f>
        <v>8.3333333333333329E-2</v>
      </c>
      <c r="B19" s="20">
        <f>-LN(C19)/A19</f>
        <v>3.7800000000000084E-2</v>
      </c>
      <c r="C19" s="20">
        <f>EXP(-$B$2 * A19)</f>
        <v>0.99685495604478724</v>
      </c>
      <c r="D19" s="20"/>
      <c r="E19" s="20">
        <f>$E$9 + $F$9*((1-EXP(-$H$9*A19))/($H$9*A19)) + $G$9*((1-EXP(-$H$9*A19))/($H$9*A19)-EXP(-$H$9*A19))</f>
        <v>4.1743561442546685E-2</v>
      </c>
      <c r="F19">
        <f>EXP(-E19*A19)</f>
        <v>0.99652741330390104</v>
      </c>
      <c r="G19" s="20"/>
      <c r="H19" s="20">
        <f>$E$13 + $F$13*((1-EXP(-$I$13*A19))/($I$13*A19)) + $G$13*((1-EXP(-$I$13*A19))/($I$13*A19)-EXP(-$I$13*A19)) + $H$13*((1-EXP(-$J$13*A19))/($J$13*A19)-EXP(-$J$13*A19))</f>
        <v>4.5576252740970963E-2</v>
      </c>
      <c r="I19" s="20">
        <f>EXP(-H19*A19)</f>
        <v>0.99620918229785571</v>
      </c>
      <c r="J19" s="20"/>
      <c r="K19" s="22"/>
      <c r="L19" s="18"/>
      <c r="M19" s="24"/>
    </row>
    <row r="20" spans="1:24" ht="15" customHeight="1" x14ac:dyDescent="0.4">
      <c r="A20" s="10">
        <f>2/12</f>
        <v>0.16666666666666666</v>
      </c>
      <c r="B20" s="20">
        <f t="shared" ref="B20:B82" si="0">-LN(C20)/A20</f>
        <v>3.7800000000000125E-2</v>
      </c>
      <c r="C20" s="20">
        <f t="shared" ref="C20:C24" si="1">EXP(-$B$2 * A20)</f>
        <v>0.9937198033910547</v>
      </c>
      <c r="D20" s="20"/>
      <c r="E20" s="20">
        <f t="shared" ref="E20:E82" si="2">$E$9 + $F$9*((1-EXP(-$H$9*A20))/($H$9*A20)) + $G$9*((1-EXP(-$H$9*A20))/($H$9*A20)-EXP(-$H$9*A20))</f>
        <v>4.1258134716199719E-2</v>
      </c>
      <c r="F20">
        <f t="shared" ref="F20:F82" si="3">EXP(-E20*A20)</f>
        <v>0.99314723225086921</v>
      </c>
      <c r="G20" s="20"/>
      <c r="H20" s="20">
        <f t="shared" ref="H20:H82" si="4">$E$13 + $F$13*((1-EXP(-$I$13*A20))/($I$13*A20)) + $G$13*((1-EXP(-$I$13*A20))/($I$13*A20)-EXP(-$I$13*A20)) + $H$13*((1-EXP(-$J$13*A20))/($J$13*A20)-EXP(-$J$13*A20))</f>
        <v>1.4012709550404914E-2</v>
      </c>
      <c r="I20" s="20">
        <f t="shared" ref="I20:I82" si="5">EXP(-H20*A20)</f>
        <v>0.99766727345351791</v>
      </c>
      <c r="J20" s="20"/>
      <c r="K20" s="22"/>
      <c r="L20" s="18"/>
      <c r="M20" s="24"/>
      <c r="X20" s="3" t="s">
        <v>35</v>
      </c>
    </row>
    <row r="21" spans="1:24" ht="15" customHeight="1" thickBot="1" x14ac:dyDescent="0.45">
      <c r="A21" s="10">
        <f>3/12</f>
        <v>0.25</v>
      </c>
      <c r="B21" s="20">
        <f t="shared" si="0"/>
        <v>3.7800000000000188E-2</v>
      </c>
      <c r="C21" s="20">
        <f t="shared" si="1"/>
        <v>0.99059451093022444</v>
      </c>
      <c r="D21" s="20"/>
      <c r="E21" s="20">
        <f t="shared" si="2"/>
        <v>4.0802682883269499E-2</v>
      </c>
      <c r="F21">
        <f t="shared" si="3"/>
        <v>0.98985117966807989</v>
      </c>
      <c r="G21" s="20"/>
      <c r="H21" s="20">
        <f t="shared" si="4"/>
        <v>-7.5783013702707819E-3</v>
      </c>
      <c r="I21" s="20">
        <f t="shared" si="5"/>
        <v>1.0018963711843722</v>
      </c>
      <c r="J21" s="20"/>
      <c r="K21" s="22"/>
      <c r="L21" s="18"/>
      <c r="M21" s="24"/>
    </row>
    <row r="22" spans="1:24" ht="15" customHeight="1" x14ac:dyDescent="0.4">
      <c r="A22" s="10">
        <f>4/12</f>
        <v>0.33333333333333331</v>
      </c>
      <c r="B22" s="20">
        <f t="shared" si="0"/>
        <v>3.7799999999999931E-2</v>
      </c>
      <c r="C22" s="20">
        <f t="shared" si="1"/>
        <v>0.98747904765155647</v>
      </c>
      <c r="D22" s="20"/>
      <c r="E22" s="20">
        <f t="shared" si="2"/>
        <v>4.0375860530270098E-2</v>
      </c>
      <c r="F22">
        <f t="shared" si="3"/>
        <v>0.98663154211186355</v>
      </c>
      <c r="G22" s="20"/>
      <c r="H22" s="20">
        <f t="shared" si="4"/>
        <v>-2.1747338295491928E-2</v>
      </c>
      <c r="I22" s="20">
        <f t="shared" si="5"/>
        <v>1.0072754511880391</v>
      </c>
      <c r="J22" s="20"/>
      <c r="K22" s="22"/>
      <c r="L22" s="18"/>
      <c r="M22" s="24"/>
      <c r="O22" s="32" t="s">
        <v>46</v>
      </c>
      <c r="P22" s="33"/>
      <c r="Q22" s="33"/>
      <c r="R22" s="33"/>
      <c r="S22" s="34"/>
    </row>
    <row r="23" spans="1:24" ht="15" customHeight="1" x14ac:dyDescent="0.4">
      <c r="A23" s="11">
        <v>0.5</v>
      </c>
      <c r="B23" s="20">
        <f t="shared" si="0"/>
        <v>3.7800000000000056E-2</v>
      </c>
      <c r="C23" s="20">
        <f t="shared" si="1"/>
        <v>0.98127748508509061</v>
      </c>
      <c r="D23" s="20"/>
      <c r="E23" s="20">
        <f t="shared" si="2"/>
        <v>3.9602997668811493E-2</v>
      </c>
      <c r="F23">
        <f t="shared" si="3"/>
        <v>0.98039326319844189</v>
      </c>
      <c r="G23" s="20"/>
      <c r="H23" s="20">
        <f t="shared" si="4"/>
        <v>-3.5108767096718702E-2</v>
      </c>
      <c r="I23" s="20">
        <f t="shared" si="5"/>
        <v>1.0177093672924076</v>
      </c>
      <c r="J23" s="20"/>
      <c r="K23" s="22"/>
      <c r="L23" s="18"/>
      <c r="M23" s="24"/>
      <c r="O23" s="35"/>
      <c r="P23" s="36"/>
      <c r="Q23" s="36"/>
      <c r="R23" s="36"/>
      <c r="S23" s="37"/>
    </row>
    <row r="24" spans="1:24" ht="15" customHeight="1" x14ac:dyDescent="0.4">
      <c r="A24" s="11">
        <v>1</v>
      </c>
      <c r="B24" s="20">
        <f t="shared" si="0"/>
        <v>3.7800000000000007E-2</v>
      </c>
      <c r="C24" s="20">
        <f t="shared" si="1"/>
        <v>0.96290550273492026</v>
      </c>
      <c r="D24" s="20"/>
      <c r="E24" s="20">
        <f t="shared" si="2"/>
        <v>3.7847812719770259E-2</v>
      </c>
      <c r="F24">
        <f t="shared" si="3"/>
        <v>0.96285946470456329</v>
      </c>
      <c r="G24" s="20"/>
      <c r="H24" s="20">
        <f t="shared" si="4"/>
        <v>-2.5175797566760499E-2</v>
      </c>
      <c r="I24" s="20">
        <f t="shared" si="5"/>
        <v>1.0254953842722796</v>
      </c>
      <c r="J24" s="20"/>
      <c r="K24" s="22"/>
      <c r="L24" s="18"/>
      <c r="M24" s="24"/>
      <c r="O24" s="35"/>
      <c r="P24" s="36"/>
      <c r="Q24" s="36"/>
      <c r="R24" s="36"/>
      <c r="S24" s="37"/>
    </row>
    <row r="25" spans="1:24" ht="15" customHeight="1" x14ac:dyDescent="0.4">
      <c r="A25" s="12">
        <v>1.5</v>
      </c>
      <c r="B25" s="20">
        <f t="shared" si="0"/>
        <v>3.6361518121906307E-2</v>
      </c>
      <c r="C25" s="18">
        <f>C24 * (C26/C24)^((A25-A24)/(A26-A24))</f>
        <v>0.94691847496605175</v>
      </c>
      <c r="D25" s="18"/>
      <c r="E25" s="20">
        <f t="shared" si="2"/>
        <v>3.6772347578013176E-2</v>
      </c>
      <c r="F25">
        <f t="shared" si="3"/>
        <v>0.94633512172546197</v>
      </c>
      <c r="G25" s="18"/>
      <c r="H25" s="20">
        <f t="shared" si="4"/>
        <v>-2.6092364439736643E-3</v>
      </c>
      <c r="I25" s="20">
        <f t="shared" si="5"/>
        <v>1.0039215237971577</v>
      </c>
      <c r="J25" s="18"/>
      <c r="K25" s="23"/>
      <c r="L25" s="18"/>
      <c r="M25" s="24"/>
      <c r="O25" s="35"/>
      <c r="P25" s="36"/>
      <c r="Q25" s="36"/>
      <c r="R25" s="36"/>
      <c r="S25" s="37"/>
    </row>
    <row r="26" spans="1:24" ht="15" customHeight="1" thickBot="1" x14ac:dyDescent="0.45">
      <c r="A26" s="11">
        <v>2</v>
      </c>
      <c r="B26" s="20">
        <f t="shared" si="0"/>
        <v>3.5642277182859422E-2</v>
      </c>
      <c r="C26" s="20">
        <v>0.93119687828689734</v>
      </c>
      <c r="D26" s="20">
        <f>K26 - (($B$8*100/2)*(C23+C24+C25+C26) + 100*C26)</f>
        <v>1.7515737893347705E-4</v>
      </c>
      <c r="E26" s="20">
        <f t="shared" si="2"/>
        <v>3.6204435887632856E-2</v>
      </c>
      <c r="F26">
        <f t="shared" si="3"/>
        <v>0.93015050576257241</v>
      </c>
      <c r="G26" s="20">
        <f>K26 - (($B$8*100/2)*SUM($F$23:F26) + 100*F26)</f>
        <v>0.10942038403888432</v>
      </c>
      <c r="H26" s="20">
        <f t="shared" si="4"/>
        <v>1.4306245016069544E-2</v>
      </c>
      <c r="I26" s="20">
        <f t="shared" si="5"/>
        <v>0.97179297097483086</v>
      </c>
      <c r="J26" s="20">
        <f>K26 - (($B$8*100/2)*SUM($I$23:I26) + 100*I26)</f>
        <v>-4.4133517408890981</v>
      </c>
      <c r="K26" s="22">
        <v>100</v>
      </c>
      <c r="L26" s="18"/>
      <c r="M26" s="24"/>
      <c r="O26" s="38"/>
      <c r="P26" s="39"/>
      <c r="Q26" s="39"/>
      <c r="R26" s="39"/>
      <c r="S26" s="40"/>
    </row>
    <row r="27" spans="1:24" ht="15" customHeight="1" x14ac:dyDescent="0.4">
      <c r="A27" s="12">
        <v>2.5</v>
      </c>
      <c r="B27" s="20">
        <f t="shared" si="0"/>
        <v>3.6077050805909151E-2</v>
      </c>
      <c r="C27" s="18">
        <f>C26*(C28/C26)^((A27-A26)/(A28-A26))</f>
        <v>0.91375515438999744</v>
      </c>
      <c r="D27" s="18"/>
      <c r="E27" s="20">
        <f t="shared" si="2"/>
        <v>3.6011248192121606E-2</v>
      </c>
      <c r="F27">
        <f t="shared" si="3"/>
        <v>0.91390548544868089</v>
      </c>
      <c r="G27" s="18"/>
      <c r="H27" s="20">
        <f t="shared" si="4"/>
        <v>2.548217890903471E-2</v>
      </c>
      <c r="I27" s="20">
        <f t="shared" si="5"/>
        <v>0.93828133215693499</v>
      </c>
      <c r="J27" s="18"/>
      <c r="K27" s="23"/>
      <c r="L27" s="18"/>
      <c r="M27" s="23"/>
    </row>
    <row r="28" spans="1:24" ht="15" customHeight="1" x14ac:dyDescent="0.4">
      <c r="A28" s="11">
        <v>3</v>
      </c>
      <c r="B28" s="20">
        <f t="shared" si="0"/>
        <v>3.6366899887942283E-2</v>
      </c>
      <c r="C28" s="20">
        <v>0.89664012159311002</v>
      </c>
      <c r="D28" s="20">
        <f>K28 - (($B$9*100/2)*SUM($C$23:C28) + 100*C28)</f>
        <v>-4.9466088825056431E-6</v>
      </c>
      <c r="E28" s="20">
        <f t="shared" si="2"/>
        <v>3.6090674419745353E-2</v>
      </c>
      <c r="F28">
        <f t="shared" si="3"/>
        <v>0.89738345405378162</v>
      </c>
      <c r="G28" s="20">
        <f>K28 - (($B$9*100/2)*SUM($F$23:F28) + 100*F28)</f>
        <v>-7.1280491507735633E-2</v>
      </c>
      <c r="H28" s="20">
        <f t="shared" si="4"/>
        <v>3.2808161623527961E-2</v>
      </c>
      <c r="I28" s="20">
        <f t="shared" si="5"/>
        <v>0.90626412668314615</v>
      </c>
      <c r="J28" s="20">
        <f>K28 - (($B$9*100/2)*SUM($I$23:I28) + 100*I28)</f>
        <v>-1.3858704023139694</v>
      </c>
      <c r="K28" s="22">
        <v>100</v>
      </c>
      <c r="L28" s="18"/>
      <c r="M28" s="23"/>
    </row>
    <row r="29" spans="1:24" ht="15" customHeight="1" x14ac:dyDescent="0.4">
      <c r="A29" s="12">
        <v>3.5</v>
      </c>
      <c r="B29" s="20">
        <f t="shared" si="0"/>
        <v>3.6998989846382245E-2</v>
      </c>
      <c r="C29" s="18">
        <f>$C$28*($C$32/$C$28)^((A29-$A$28)/($A$32-$A$28))</f>
        <v>0.8785376945138621</v>
      </c>
      <c r="D29" s="18"/>
      <c r="E29" s="20">
        <f t="shared" si="2"/>
        <v>3.6364554164652237E-2</v>
      </c>
      <c r="F29">
        <f t="shared" si="3"/>
        <v>0.88049067684833626</v>
      </c>
      <c r="G29" s="18"/>
      <c r="H29" s="20">
        <f t="shared" si="4"/>
        <v>3.7698243098823525E-2</v>
      </c>
      <c r="I29" s="20">
        <f t="shared" si="5"/>
        <v>0.87639020226642372</v>
      </c>
      <c r="J29" s="18"/>
      <c r="K29" s="24"/>
      <c r="L29" s="18"/>
      <c r="M29" s="23"/>
      <c r="N29"/>
    </row>
    <row r="30" spans="1:24" ht="15" customHeight="1" x14ac:dyDescent="0.4">
      <c r="A30" s="12">
        <v>4</v>
      </c>
      <c r="B30" s="20">
        <f t="shared" si="0"/>
        <v>3.7473057315212242E-2</v>
      </c>
      <c r="C30" s="18">
        <f t="shared" ref="C30:C31" si="6">$C$28*($C$32/$C$28)^((A30-$A$28)/($A$32-$A$28))</f>
        <v>0.86080074055841016</v>
      </c>
      <c r="D30" s="18"/>
      <c r="E30" s="20">
        <f t="shared" si="2"/>
        <v>3.6773363450802038E-2</v>
      </c>
      <c r="F30">
        <f t="shared" si="3"/>
        <v>0.86321330308056365</v>
      </c>
      <c r="G30" s="18"/>
      <c r="H30" s="20">
        <f t="shared" si="4"/>
        <v>4.1023047647298104E-2</v>
      </c>
      <c r="I30" s="20">
        <f t="shared" si="5"/>
        <v>0.84866377945980009</v>
      </c>
      <c r="J30" s="18"/>
      <c r="K30" s="24"/>
      <c r="L30" s="18"/>
      <c r="M30" s="23"/>
      <c r="N30"/>
    </row>
    <row r="31" spans="1:24" ht="15" customHeight="1" x14ac:dyDescent="0.4">
      <c r="A31" s="12">
        <v>4.5</v>
      </c>
      <c r="B31" s="20">
        <f t="shared" si="0"/>
        <v>3.7841776457635548E-2</v>
      </c>
      <c r="C31" s="18">
        <f t="shared" si="6"/>
        <v>0.84342188112477834</v>
      </c>
      <c r="D31" s="18"/>
      <c r="E31" s="20">
        <f t="shared" si="2"/>
        <v>3.7272048885737354E-2</v>
      </c>
      <c r="F31">
        <f t="shared" si="3"/>
        <v>0.84558699852666286</v>
      </c>
      <c r="G31" s="18"/>
      <c r="H31" s="20">
        <f t="shared" si="4"/>
        <v>4.3307525855827575E-2</v>
      </c>
      <c r="I31" s="20">
        <f t="shared" si="5"/>
        <v>0.82293022239620806</v>
      </c>
      <c r="J31" s="18"/>
      <c r="K31" s="24"/>
      <c r="L31" s="18"/>
      <c r="M31" s="23"/>
      <c r="N31"/>
    </row>
    <row r="32" spans="1:24" ht="15" customHeight="1" x14ac:dyDescent="0.4">
      <c r="A32" s="11">
        <v>5</v>
      </c>
      <c r="B32" s="20">
        <f t="shared" si="0"/>
        <v>3.8136751771574183E-2</v>
      </c>
      <c r="C32" s="20">
        <v>0.82639388657889978</v>
      </c>
      <c r="D32" s="20">
        <f>K32 - (($B$10*100/2)*SUM($C$23:C32) + 100*C32)</f>
        <v>2.6352803254781065E-4</v>
      </c>
      <c r="E32" s="20">
        <f t="shared" si="2"/>
        <v>3.7826765146945315E-2</v>
      </c>
      <c r="F32">
        <f t="shared" si="3"/>
        <v>0.82767573496949753</v>
      </c>
      <c r="G32" s="20">
        <f>K32 - (($B$10*100/2)*SUM($F$23:F32) + 100*F32)</f>
        <v>-0.13972199292139464</v>
      </c>
      <c r="H32" s="20">
        <f t="shared" si="4"/>
        <v>4.4876577525036487E-2</v>
      </c>
      <c r="I32" s="20">
        <f t="shared" si="5"/>
        <v>0.79900914507928855</v>
      </c>
      <c r="J32" s="20">
        <f>K32 - (($B$10*100/2)*SUM($I$23:I32) + 100*I32)</f>
        <v>2.4150060276644609</v>
      </c>
      <c r="K32" s="22">
        <v>100</v>
      </c>
      <c r="L32" s="18"/>
      <c r="M32" s="23"/>
      <c r="N32"/>
    </row>
    <row r="33" spans="1:14" ht="15" customHeight="1" x14ac:dyDescent="0.4">
      <c r="A33" s="12">
        <v>5.5</v>
      </c>
      <c r="B33" s="20">
        <f t="shared" si="0"/>
        <v>3.878612566665423E-2</v>
      </c>
      <c r="C33" s="18">
        <f>$C$32*($C$36/$C$32)^((A33-$A$32)/($A$36-$A$32))</f>
        <v>0.80789458654674362</v>
      </c>
      <c r="D33" s="18"/>
      <c r="E33" s="20">
        <f t="shared" si="2"/>
        <v>3.8412323173228305E-2</v>
      </c>
      <c r="F33">
        <f t="shared" si="3"/>
        <v>0.8095572566740773</v>
      </c>
      <c r="G33" s="18"/>
      <c r="H33" s="20">
        <f t="shared" si="4"/>
        <v>4.5939201748731007E-2</v>
      </c>
      <c r="I33" s="20">
        <f t="shared" si="5"/>
        <v>0.77672756863130121</v>
      </c>
      <c r="J33" s="18"/>
      <c r="K33" s="24"/>
      <c r="L33" s="18"/>
      <c r="M33" s="23"/>
      <c r="N33"/>
    </row>
    <row r="34" spans="1:14" ht="15" customHeight="1" x14ac:dyDescent="0.4">
      <c r="A34" s="12">
        <v>6</v>
      </c>
      <c r="B34" s="20">
        <f t="shared" si="0"/>
        <v>3.9327270579220967E-2</v>
      </c>
      <c r="C34" s="18">
        <f t="shared" ref="C34:C35" si="7">$C$32*($C$36/$C$32)^((A34-$A$32)/($A$36-$A$32))</f>
        <v>0.78980940393152088</v>
      </c>
      <c r="D34" s="18"/>
      <c r="E34" s="20">
        <f t="shared" si="2"/>
        <v>3.9010197092246415E-2</v>
      </c>
      <c r="F34">
        <f t="shared" si="3"/>
        <v>0.79131339984008608</v>
      </c>
      <c r="G34" s="18"/>
      <c r="H34" s="20">
        <f t="shared" si="4"/>
        <v>4.6635147387847256E-2</v>
      </c>
      <c r="I34" s="20">
        <f t="shared" si="5"/>
        <v>0.75592668552262587</v>
      </c>
      <c r="J34" s="18"/>
      <c r="K34" s="24"/>
      <c r="L34" s="18"/>
      <c r="M34" s="23"/>
      <c r="N34"/>
    </row>
    <row r="35" spans="1:14" ht="15" customHeight="1" x14ac:dyDescent="0.4">
      <c r="A35" s="12">
        <v>6.5</v>
      </c>
      <c r="B35" s="20">
        <f t="shared" si="0"/>
        <v>3.9785162428315861E-2</v>
      </c>
      <c r="C35" s="18">
        <f t="shared" si="7"/>
        <v>0.77212906847788654</v>
      </c>
      <c r="D35" s="18"/>
      <c r="E35" s="20">
        <f t="shared" si="2"/>
        <v>3.9606970049301353E-2</v>
      </c>
      <c r="F35">
        <f t="shared" si="3"/>
        <v>0.77302390545203714</v>
      </c>
      <c r="G35" s="18"/>
      <c r="H35" s="20">
        <f t="shared" si="4"/>
        <v>4.706115862760725E-2</v>
      </c>
      <c r="I35" s="20">
        <f t="shared" si="5"/>
        <v>0.73646208006422287</v>
      </c>
      <c r="J35" s="18"/>
      <c r="K35" s="24"/>
      <c r="L35" s="18"/>
      <c r="M35" s="24"/>
      <c r="N35"/>
    </row>
    <row r="36" spans="1:14" ht="15" customHeight="1" x14ac:dyDescent="0.4">
      <c r="A36" s="11">
        <v>7</v>
      </c>
      <c r="B36" s="20">
        <f t="shared" si="0"/>
        <v>4.0177641156111506E-2</v>
      </c>
      <c r="C36" s="20">
        <v>0.75484451745046555</v>
      </c>
      <c r="D36" s="20">
        <f>K36 - (($B$11*100/2)*SUM($C$23:C36) + 100*C36)</f>
        <v>-4.18467408280776E-7</v>
      </c>
      <c r="E36" s="20">
        <f t="shared" si="2"/>
        <v>4.0193124490659163E-2</v>
      </c>
      <c r="F36">
        <f t="shared" si="3"/>
        <v>0.75476270931249922</v>
      </c>
      <c r="G36" s="20">
        <f>K36 - (($B$11*100/2)*SUM($F$23:F36) + 100*F36)</f>
        <v>-1.2223259638417971E-2</v>
      </c>
      <c r="H36" s="20">
        <f t="shared" si="4"/>
        <v>4.7286243358412E-2</v>
      </c>
      <c r="I36" s="20">
        <f t="shared" si="5"/>
        <v>0.71820250916627171</v>
      </c>
      <c r="J36" s="20">
        <f>K36 - (($B$11*100/2)*SUM($I$23:I36) + 100*I36)</f>
        <v>3.6012286343805897</v>
      </c>
      <c r="K36" s="22">
        <v>100</v>
      </c>
      <c r="L36" s="18"/>
      <c r="M36" s="24"/>
      <c r="N36"/>
    </row>
    <row r="37" spans="1:14" ht="15" customHeight="1" x14ac:dyDescent="0.4">
      <c r="A37" s="12">
        <v>7.5</v>
      </c>
      <c r="B37" s="20">
        <f t="shared" si="0"/>
        <v>4.0695831728045112E-2</v>
      </c>
      <c r="C37" s="18">
        <f>$C$36*($C$42/$C$36)^((A37-$A$36)/($A$42-$A$36))</f>
        <v>0.73696215516122121</v>
      </c>
      <c r="D37" s="18"/>
      <c r="E37" s="20">
        <f t="shared" si="2"/>
        <v>4.0762102506330444E-2</v>
      </c>
      <c r="F37">
        <f t="shared" si="3"/>
        <v>0.7365959532586589</v>
      </c>
      <c r="G37" s="18"/>
      <c r="H37" s="20">
        <f t="shared" si="4"/>
        <v>4.7360898359780947E-2</v>
      </c>
      <c r="I37" s="20">
        <f t="shared" si="5"/>
        <v>0.70102849920798516</v>
      </c>
      <c r="J37" s="18"/>
      <c r="K37" s="24"/>
      <c r="L37" s="18"/>
      <c r="M37" s="24"/>
      <c r="N37"/>
    </row>
    <row r="38" spans="1:14" ht="15" customHeight="1" x14ac:dyDescent="0.4">
      <c r="A38" s="12">
        <v>8</v>
      </c>
      <c r="B38" s="20">
        <f t="shared" si="0"/>
        <v>4.1149248478487027E-2</v>
      </c>
      <c r="C38" s="18">
        <f t="shared" ref="C38:C41" si="8">$C$36*($C$42/$C$36)^((A38-$A$36)/($A$42-$A$36))</f>
        <v>0.7195034283010634</v>
      </c>
      <c r="D38" s="18"/>
      <c r="E38" s="20">
        <f t="shared" si="2"/>
        <v>4.1309577668021444E-2</v>
      </c>
      <c r="F38">
        <f t="shared" si="3"/>
        <v>0.71858116068096867</v>
      </c>
      <c r="G38" s="18"/>
      <c r="H38" s="20">
        <f t="shared" si="4"/>
        <v>4.7322890055052066E-2</v>
      </c>
      <c r="I38" s="20">
        <f t="shared" si="5"/>
        <v>0.68483104523116856</v>
      </c>
      <c r="J38" s="18"/>
      <c r="K38" s="24"/>
      <c r="L38" s="18"/>
      <c r="M38" s="24"/>
      <c r="N38"/>
    </row>
    <row r="39" spans="1:14" ht="15" customHeight="1" x14ac:dyDescent="0.4">
      <c r="A39" s="12">
        <v>8.5</v>
      </c>
      <c r="B39" s="20">
        <f t="shared" si="0"/>
        <v>4.1549322081818107E-2</v>
      </c>
      <c r="C39" s="18">
        <f t="shared" si="8"/>
        <v>0.70245830089298467</v>
      </c>
      <c r="D39" s="18"/>
      <c r="E39" s="20">
        <f t="shared" si="2"/>
        <v>4.1832892291310458E-2</v>
      </c>
      <c r="F39">
        <f t="shared" si="3"/>
        <v>0.70076717171150704</v>
      </c>
      <c r="G39" s="18"/>
      <c r="H39" s="20">
        <f t="shared" si="4"/>
        <v>4.7200998479849987E-2</v>
      </c>
      <c r="I39" s="20">
        <f t="shared" si="5"/>
        <v>0.66951046220572286</v>
      </c>
      <c r="J39" s="18"/>
      <c r="K39" s="24"/>
      <c r="L39" s="18"/>
      <c r="M39" s="24"/>
      <c r="N39"/>
    </row>
    <row r="40" spans="1:14" ht="15" customHeight="1" x14ac:dyDescent="0.4">
      <c r="A40" s="12">
        <v>9</v>
      </c>
      <c r="B40" s="20">
        <f t="shared" si="0"/>
        <v>4.1904943062556856E-2</v>
      </c>
      <c r="C40" s="18">
        <f t="shared" si="8"/>
        <v>0.68581697471354441</v>
      </c>
      <c r="D40" s="18"/>
      <c r="E40" s="20">
        <f t="shared" si="2"/>
        <v>4.2330623906235813E-2</v>
      </c>
      <c r="F40">
        <f t="shared" si="3"/>
        <v>0.68319454900919618</v>
      </c>
      <c r="G40" s="18"/>
      <c r="H40" s="20">
        <f t="shared" si="4"/>
        <v>4.7017514058689466E-2</v>
      </c>
      <c r="I40" s="20">
        <f t="shared" si="5"/>
        <v>0.65497538347882178</v>
      </c>
      <c r="J40" s="18"/>
      <c r="K40" s="24"/>
      <c r="L40" s="18"/>
      <c r="M40" s="24"/>
      <c r="N40"/>
    </row>
    <row r="41" spans="1:14" ht="15" customHeight="1" x14ac:dyDescent="0.4">
      <c r="A41" s="12">
        <v>9.5</v>
      </c>
      <c r="B41" s="20">
        <f t="shared" si="0"/>
        <v>4.222313025584943E-2</v>
      </c>
      <c r="C41" s="18">
        <f t="shared" si="8"/>
        <v>0.66956988366045755</v>
      </c>
      <c r="D41" s="18"/>
      <c r="E41" s="20">
        <f t="shared" si="2"/>
        <v>4.2802252490779076E-2</v>
      </c>
      <c r="F41">
        <f t="shared" si="3"/>
        <v>0.66589625179473266</v>
      </c>
      <c r="G41" s="18"/>
      <c r="H41" s="20">
        <f t="shared" si="4"/>
        <v>4.6789946104275393E-2</v>
      </c>
      <c r="I41" s="20">
        <f t="shared" si="5"/>
        <v>0.64114189084147488</v>
      </c>
      <c r="J41" s="18"/>
      <c r="K41" s="24"/>
      <c r="L41" s="18"/>
      <c r="M41" s="24"/>
      <c r="N41"/>
    </row>
    <row r="42" spans="1:14" ht="15" customHeight="1" x14ac:dyDescent="0.4">
      <c r="A42" s="11">
        <v>10</v>
      </c>
      <c r="B42" s="20">
        <f t="shared" si="0"/>
        <v>4.2509498729812745E-2</v>
      </c>
      <c r="C42" s="20">
        <v>0.65370768825361436</v>
      </c>
      <c r="D42" s="20">
        <f>K42 - (($B$12*100/2)*SUM($C$23:C42) + 100*C42)</f>
        <v>-1.7390710524978203E-6</v>
      </c>
      <c r="E42" s="20">
        <f t="shared" si="2"/>
        <v>4.3247906145036465E-2</v>
      </c>
      <c r="F42">
        <f t="shared" si="3"/>
        <v>0.64889843998440233</v>
      </c>
      <c r="G42" s="20">
        <f>K42 - (($B$12*100/2)*SUM($F$23:F42) + 100*F42)</f>
        <v>0.4893162127619064</v>
      </c>
      <c r="H42" s="20">
        <f t="shared" si="4"/>
        <v>4.6532218803538597E-2</v>
      </c>
      <c r="I42" s="20">
        <f t="shared" si="5"/>
        <v>0.62793276017246502</v>
      </c>
      <c r="J42" s="20">
        <f>K42 - (($B$12*100/2)*SUM($I$23:I42) + 100*I42)</f>
        <v>2.9110664722843467</v>
      </c>
      <c r="K42" s="22">
        <v>100</v>
      </c>
      <c r="L42" s="18"/>
      <c r="M42" s="24"/>
      <c r="N42"/>
    </row>
    <row r="43" spans="1:14" ht="15" customHeight="1" x14ac:dyDescent="0.4">
      <c r="A43" s="12">
        <v>10.5</v>
      </c>
      <c r="B43" s="20">
        <f t="shared" si="0"/>
        <v>4.3149207663450949E-2</v>
      </c>
      <c r="C43" s="18">
        <f>$C$42*($C$62/$C$42)^((A43-$A$42)/($A$62-$A$42))</f>
        <v>0.63567574505813051</v>
      </c>
      <c r="D43" s="18"/>
      <c r="E43" s="20">
        <f t="shared" si="2"/>
        <v>4.3668167706542756E-2</v>
      </c>
      <c r="F43">
        <f t="shared" si="3"/>
        <v>0.63222131705721551</v>
      </c>
      <c r="G43" s="17"/>
      <c r="H43" s="20">
        <f t="shared" si="4"/>
        <v>4.6255525497713459E-2</v>
      </c>
      <c r="I43" s="20">
        <f t="shared" si="5"/>
        <v>0.61527680824779929</v>
      </c>
      <c r="J43" s="17"/>
      <c r="K43" s="24"/>
      <c r="L43" s="18"/>
      <c r="M43" s="24"/>
      <c r="N43"/>
    </row>
    <row r="44" spans="1:14" ht="15" customHeight="1" x14ac:dyDescent="0.4">
      <c r="A44" s="12">
        <v>11</v>
      </c>
      <c r="B44" s="20">
        <f t="shared" si="0"/>
        <v>4.3730761239485674E-2</v>
      </c>
      <c r="C44" s="18">
        <f t="shared" ref="C44:C61" si="9">$C$42*($C$62/$C$42)^((A44-$A$42)/($A$62-$A$42))</f>
        <v>0.61814119692353975</v>
      </c>
      <c r="D44" s="18"/>
      <c r="E44" s="20">
        <f t="shared" si="2"/>
        <v>4.4063928603152842E-2</v>
      </c>
      <c r="F44">
        <f t="shared" si="3"/>
        <v>0.61587995380021787</v>
      </c>
      <c r="G44" s="18"/>
      <c r="H44" s="20">
        <f t="shared" si="4"/>
        <v>4.5968949974099546E-2</v>
      </c>
      <c r="I44" s="20">
        <f t="shared" si="5"/>
        <v>0.60310832815087267</v>
      </c>
      <c r="J44" s="18"/>
      <c r="K44" s="24"/>
      <c r="L44" s="18"/>
      <c r="M44" s="23"/>
      <c r="N44"/>
    </row>
    <row r="45" spans="1:14" ht="15" customHeight="1" x14ac:dyDescent="0.4">
      <c r="A45" s="12">
        <v>11.5</v>
      </c>
      <c r="B45" s="20">
        <f t="shared" si="0"/>
        <v>4.4261744939343477E-2</v>
      </c>
      <c r="C45" s="18">
        <f t="shared" si="9"/>
        <v>0.60109032365097492</v>
      </c>
      <c r="D45" s="18"/>
      <c r="E45" s="20">
        <f t="shared" si="2"/>
        <v>4.4436279225655753E-2</v>
      </c>
      <c r="F45">
        <f t="shared" si="3"/>
        <v>0.59988505861357788</v>
      </c>
      <c r="G45" s="18"/>
      <c r="H45" s="20">
        <f t="shared" si="4"/>
        <v>4.5679925677467884E-2</v>
      </c>
      <c r="I45" s="20">
        <f t="shared" si="5"/>
        <v>0.59136660238083383</v>
      </c>
      <c r="J45" s="18"/>
      <c r="K45" s="24"/>
      <c r="L45" s="18"/>
      <c r="M45" s="23"/>
      <c r="N45"/>
    </row>
    <row r="46" spans="1:14" ht="15" customHeight="1" x14ac:dyDescent="0.4">
      <c r="A46" s="12">
        <v>12</v>
      </c>
      <c r="B46" s="20">
        <f t="shared" si="0"/>
        <v>4.474847999754647E-2</v>
      </c>
      <c r="C46" s="18">
        <f t="shared" si="9"/>
        <v>0.58450978350101057</v>
      </c>
      <c r="D46" s="18"/>
      <c r="E46" s="20">
        <f t="shared" si="2"/>
        <v>4.4786427449061403E-2</v>
      </c>
      <c r="F46">
        <f t="shared" si="3"/>
        <v>0.58424367621413631</v>
      </c>
      <c r="G46" s="18"/>
      <c r="H46" s="20">
        <f t="shared" si="4"/>
        <v>4.5394580114222746E-2</v>
      </c>
      <c r="I46" s="20">
        <f t="shared" si="5"/>
        <v>0.57999548417875946</v>
      </c>
      <c r="J46" s="18"/>
      <c r="K46" s="24"/>
      <c r="L46" s="18"/>
      <c r="M46" s="23"/>
      <c r="N46"/>
    </row>
    <row r="47" spans="1:14" ht="15" customHeight="1" x14ac:dyDescent="0.4">
      <c r="A47" s="12">
        <v>12.5</v>
      </c>
      <c r="B47" s="20">
        <f t="shared" si="0"/>
        <v>4.5196276251093195E-2</v>
      </c>
      <c r="C47" s="18">
        <f t="shared" si="9"/>
        <v>0.56838660275419695</v>
      </c>
      <c r="D47" s="18"/>
      <c r="E47" s="20">
        <f t="shared" si="2"/>
        <v>4.5115638774509803E-2</v>
      </c>
      <c r="F47">
        <f t="shared" si="3"/>
        <v>0.56895980735886997</v>
      </c>
      <c r="G47" s="18"/>
      <c r="H47" s="20">
        <f t="shared" si="4"/>
        <v>4.5117996595264692E-2</v>
      </c>
      <c r="I47" s="20">
        <f t="shared" si="5"/>
        <v>0.56894303879044816</v>
      </c>
      <c r="J47" s="18"/>
      <c r="K47" s="24"/>
      <c r="L47" s="18"/>
      <c r="M47" s="23"/>
      <c r="N47"/>
    </row>
    <row r="48" spans="1:14" ht="15" customHeight="1" x14ac:dyDescent="0.4">
      <c r="A48" s="12">
        <v>13</v>
      </c>
      <c r="B48" s="20">
        <f t="shared" si="0"/>
        <v>4.5609626638982506E-2</v>
      </c>
      <c r="C48" s="18">
        <f t="shared" si="9"/>
        <v>0.55270816555955671</v>
      </c>
      <c r="D48" s="18"/>
      <c r="E48" s="20">
        <f t="shared" si="2"/>
        <v>4.5425193009838549E-2</v>
      </c>
      <c r="F48">
        <f t="shared" si="3"/>
        <v>0.55403494914359008</v>
      </c>
      <c r="G48" s="18"/>
      <c r="H48" s="20">
        <f t="shared" si="4"/>
        <v>4.4854415572584211E-2</v>
      </c>
      <c r="I48" s="20">
        <f t="shared" si="5"/>
        <v>0.55816123739049595</v>
      </c>
      <c r="J48" s="18"/>
      <c r="K48" s="24"/>
      <c r="L48" s="18"/>
      <c r="M48" s="23"/>
      <c r="N48"/>
    </row>
    <row r="49" spans="1:14" ht="15" customHeight="1" x14ac:dyDescent="0.4">
      <c r="A49" s="12">
        <v>13.5</v>
      </c>
      <c r="B49" s="20">
        <f t="shared" si="0"/>
        <v>4.5992358479620736E-2</v>
      </c>
      <c r="C49" s="18">
        <f t="shared" si="9"/>
        <v>0.53746220406310363</v>
      </c>
      <c r="D49" s="18"/>
      <c r="E49" s="20">
        <f t="shared" si="2"/>
        <v>4.5716353540360695E-2</v>
      </c>
      <c r="F49">
        <f t="shared" si="3"/>
        <v>0.53946855965951479</v>
      </c>
      <c r="G49" s="18"/>
      <c r="H49" s="20">
        <f t="shared" si="4"/>
        <v>4.4607391230446963E-2</v>
      </c>
      <c r="I49" s="20">
        <f t="shared" si="5"/>
        <v>0.54760569723638552</v>
      </c>
      <c r="J49" s="18"/>
      <c r="K49" s="24"/>
      <c r="L49" s="18"/>
      <c r="M49" s="23"/>
      <c r="N49"/>
    </row>
    <row r="50" spans="1:14" ht="15" customHeight="1" x14ac:dyDescent="0.4">
      <c r="A50" s="12">
        <v>14</v>
      </c>
      <c r="B50" s="20">
        <f t="shared" si="0"/>
        <v>4.6347752331641991E-2</v>
      </c>
      <c r="C50" s="18">
        <f t="shared" si="9"/>
        <v>0.52263678880865494</v>
      </c>
      <c r="D50" s="18"/>
      <c r="E50" s="20">
        <f t="shared" si="2"/>
        <v>4.5990346128934066E-2</v>
      </c>
      <c r="F50">
        <f t="shared" si="3"/>
        <v>0.52525845315365693</v>
      </c>
      <c r="G50" s="18"/>
      <c r="H50" s="20">
        <f t="shared" si="4"/>
        <v>4.4379914517591587E-2</v>
      </c>
      <c r="I50" s="20">
        <f t="shared" si="5"/>
        <v>0.53723546232625463</v>
      </c>
      <c r="J50" s="18"/>
      <c r="K50" s="24"/>
      <c r="L50" s="18"/>
      <c r="M50" s="23"/>
      <c r="N50"/>
    </row>
    <row r="51" spans="1:14" ht="15" customHeight="1" x14ac:dyDescent="0.4">
      <c r="A51" s="12">
        <v>14.5</v>
      </c>
      <c r="B51" s="20">
        <f t="shared" si="0"/>
        <v>4.6678636262834153E-2</v>
      </c>
      <c r="C51" s="18">
        <f t="shared" si="9"/>
        <v>0.50822031940343126</v>
      </c>
      <c r="D51" s="18"/>
      <c r="E51" s="20">
        <f t="shared" si="2"/>
        <v>4.6248344878475317E-2</v>
      </c>
      <c r="F51">
        <f t="shared" si="3"/>
        <v>0.51140113295024792</v>
      </c>
      <c r="G51" s="18"/>
      <c r="H51" s="20">
        <f t="shared" si="4"/>
        <v>4.4174510720832991E-2</v>
      </c>
      <c r="I51" s="20">
        <f t="shared" si="5"/>
        <v>0.52701281942495848</v>
      </c>
      <c r="J51" s="18"/>
      <c r="K51" s="24"/>
      <c r="L51" s="18"/>
      <c r="M51" s="23"/>
      <c r="N51"/>
    </row>
    <row r="52" spans="1:14" ht="15" customHeight="1" x14ac:dyDescent="0.4">
      <c r="A52" s="12">
        <v>15</v>
      </c>
      <c r="B52" s="20">
        <f t="shared" si="0"/>
        <v>4.6987461265280188E-2</v>
      </c>
      <c r="C52" s="18">
        <f t="shared" si="9"/>
        <v>0.49420151544113494</v>
      </c>
      <c r="D52" s="18"/>
      <c r="E52" s="20">
        <f t="shared" si="2"/>
        <v>4.6491463532113829E-2</v>
      </c>
      <c r="F52">
        <f t="shared" si="3"/>
        <v>0.49789206968736227</v>
      </c>
      <c r="G52" s="18"/>
      <c r="H52" s="20">
        <f t="shared" si="4"/>
        <v>4.3993317520578619E-2</v>
      </c>
      <c r="I52" s="20">
        <f t="shared" si="5"/>
        <v>0.51690314481441635</v>
      </c>
      <c r="J52" s="18"/>
      <c r="K52" s="24"/>
      <c r="L52" s="18"/>
      <c r="M52" s="24"/>
      <c r="N52"/>
    </row>
    <row r="53" spans="1:14" ht="15" customHeight="1" x14ac:dyDescent="0.4">
      <c r="A53" s="12">
        <v>15.5</v>
      </c>
      <c r="B53" s="20">
        <f t="shared" si="0"/>
        <v>4.7276362074020015E-2</v>
      </c>
      <c r="C53" s="18">
        <f t="shared" si="9"/>
        <v>0.48056940767540945</v>
      </c>
      <c r="D53" s="18"/>
      <c r="E53" s="20">
        <f t="shared" si="2"/>
        <v>4.6720750708846195E-2</v>
      </c>
      <c r="F53">
        <f t="shared" si="3"/>
        <v>0.48472593221332932</v>
      </c>
      <c r="G53" s="18"/>
      <c r="H53" s="20">
        <f t="shared" si="4"/>
        <v>4.3838147935408717E-2</v>
      </c>
      <c r="I53" s="20">
        <f t="shared" si="5"/>
        <v>0.50687477753951726</v>
      </c>
      <c r="J53" s="18"/>
      <c r="K53" s="23"/>
      <c r="L53" s="18"/>
      <c r="M53" s="23"/>
    </row>
    <row r="54" spans="1:14" ht="15" customHeight="1" x14ac:dyDescent="0.4">
      <c r="A54" s="12">
        <v>16</v>
      </c>
      <c r="B54" s="20">
        <f t="shared" si="0"/>
        <v>4.7547206582213605E-2</v>
      </c>
      <c r="C54" s="18">
        <f t="shared" si="9"/>
        <v>0.46731332943676962</v>
      </c>
      <c r="D54" s="18"/>
      <c r="E54" s="20">
        <f t="shared" si="2"/>
        <v>4.6937188001565801E-2</v>
      </c>
      <c r="F54">
        <f t="shared" si="3"/>
        <v>0.47189677798385554</v>
      </c>
      <c r="G54" s="18"/>
      <c r="H54" s="20">
        <f t="shared" si="4"/>
        <v>4.3710541461423461E-2</v>
      </c>
      <c r="I54" s="20">
        <f t="shared" si="5"/>
        <v>0.496898915264055</v>
      </c>
      <c r="J54" s="18"/>
      <c r="K54" s="23"/>
      <c r="L54" s="18"/>
      <c r="M54" s="23"/>
    </row>
    <row r="55" spans="1:14" ht="15" customHeight="1" x14ac:dyDescent="0.4">
      <c r="A55" s="12">
        <v>16.5</v>
      </c>
      <c r="B55" s="20">
        <f t="shared" si="0"/>
        <v>4.7801636271728815E-2</v>
      </c>
      <c r="C55" s="18">
        <f t="shared" si="9"/>
        <v>0.45442290828628878</v>
      </c>
      <c r="D55" s="18"/>
      <c r="E55" s="20">
        <f t="shared" si="2"/>
        <v>4.7141690119959133E-2</v>
      </c>
      <c r="F55">
        <f t="shared" si="3"/>
        <v>0.45939820914643614</v>
      </c>
      <c r="G55" s="18"/>
      <c r="H55" s="20">
        <f t="shared" si="4"/>
        <v>4.3611805910428729E-2</v>
      </c>
      <c r="I55" s="20">
        <f t="shared" si="5"/>
        <v>0.48694952914531531</v>
      </c>
      <c r="J55" s="18"/>
      <c r="K55" s="23"/>
      <c r="L55" s="18"/>
      <c r="M55" s="23"/>
    </row>
    <row r="56" spans="1:14" ht="15" customHeight="1" x14ac:dyDescent="0.4">
      <c r="A56" s="12">
        <v>17</v>
      </c>
      <c r="B56" s="20">
        <f t="shared" si="0"/>
        <v>4.8041099508919577E-2</v>
      </c>
      <c r="C56" s="18">
        <f t="shared" si="9"/>
        <v>0.44188805789951185</v>
      </c>
      <c r="D56" s="18"/>
      <c r="E56" s="20">
        <f t="shared" si="2"/>
        <v>4.7335106458917302E-2</v>
      </c>
      <c r="F56">
        <f t="shared" si="3"/>
        <v>0.44722349978771331</v>
      </c>
      <c r="G56" s="18"/>
      <c r="H56" s="20">
        <f t="shared" si="4"/>
        <v>4.3543051861927161E-2</v>
      </c>
      <c r="I56" s="20">
        <f t="shared" si="5"/>
        <v>0.47700329438374944</v>
      </c>
      <c r="J56" s="18"/>
      <c r="K56" s="23"/>
      <c r="L56" s="18"/>
      <c r="M56" s="23"/>
    </row>
    <row r="57" spans="1:14" ht="15" customHeight="1" x14ac:dyDescent="0.4">
      <c r="A57" s="12">
        <v>17.5</v>
      </c>
      <c r="B57" s="20">
        <f t="shared" si="0"/>
        <v>4.8266879132556589E-2</v>
      </c>
      <c r="C57" s="18">
        <f t="shared" si="9"/>
        <v>0.42969897017424197</v>
      </c>
      <c r="D57" s="18"/>
      <c r="E57" s="20">
        <f t="shared" si="2"/>
        <v>4.7518223626341047E-2</v>
      </c>
      <c r="F57">
        <f t="shared" si="3"/>
        <v>0.43536569911138823</v>
      </c>
      <c r="G57" s="18"/>
      <c r="H57" s="20">
        <f t="shared" si="4"/>
        <v>4.3505221206248758E-2</v>
      </c>
      <c r="I57" s="20">
        <f t="shared" si="5"/>
        <v>0.46703953331844311</v>
      </c>
      <c r="J57" s="18"/>
      <c r="K57" s="23"/>
      <c r="L57" s="18"/>
      <c r="M57" s="23"/>
    </row>
    <row r="58" spans="1:14" ht="15" customHeight="1" x14ac:dyDescent="0.4">
      <c r="A58" s="12">
        <v>18</v>
      </c>
      <c r="B58" s="20">
        <f t="shared" si="0"/>
        <v>4.8480115443769324E-2</v>
      </c>
      <c r="C58" s="18">
        <f t="shared" si="9"/>
        <v>0.41784610755602875</v>
      </c>
      <c r="D58" s="18"/>
      <c r="E58" s="20">
        <f t="shared" si="2"/>
        <v>4.7691768582365443E-2</v>
      </c>
      <c r="F58">
        <f t="shared" si="3"/>
        <v>0.42381771464460138</v>
      </c>
      <c r="G58" s="18"/>
      <c r="H58" s="20">
        <f t="shared" si="4"/>
        <v>4.3499110927690432E-2</v>
      </c>
      <c r="I58" s="20">
        <f t="shared" si="5"/>
        <v>0.4570401681301941</v>
      </c>
      <c r="J58" s="18"/>
      <c r="K58" s="23"/>
      <c r="L58" s="18"/>
      <c r="M58" s="23"/>
    </row>
    <row r="59" spans="1:14" ht="15" customHeight="1" x14ac:dyDescent="0.4">
      <c r="A59" s="12">
        <v>18.5</v>
      </c>
      <c r="B59" s="20">
        <f t="shared" si="0"/>
        <v>4.8681825467889475E-2</v>
      </c>
      <c r="C59" s="18">
        <f t="shared" si="9"/>
        <v>0.40632019557534971</v>
      </c>
      <c r="D59" s="18"/>
      <c r="E59" s="20">
        <f t="shared" si="2"/>
        <v>4.7856412132827833E-2</v>
      </c>
      <c r="F59">
        <f t="shared" si="3"/>
        <v>0.41257237895862392</v>
      </c>
      <c r="G59" s="18"/>
      <c r="H59" s="20">
        <f t="shared" si="4"/>
        <v>4.3525393028275926E-2</v>
      </c>
      <c r="I59" s="20">
        <f t="shared" si="5"/>
        <v>0.4469896803845454</v>
      </c>
      <c r="J59" s="18"/>
      <c r="K59" s="23"/>
      <c r="L59" s="18"/>
      <c r="M59" s="24"/>
    </row>
    <row r="60" spans="1:14" ht="15" customHeight="1" x14ac:dyDescent="0.4">
      <c r="A60" s="12">
        <v>19</v>
      </c>
      <c r="B60" s="20">
        <f t="shared" si="0"/>
        <v>4.887291917495068E-2</v>
      </c>
      <c r="C60" s="18">
        <f t="shared" si="9"/>
        <v>0.3951122155906473</v>
      </c>
      <c r="D60" s="18"/>
      <c r="E60" s="20">
        <f t="shared" si="2"/>
        <v>4.8012772589311928E-2</v>
      </c>
      <c r="F60">
        <f t="shared" si="3"/>
        <v>0.40162250284375584</v>
      </c>
      <c r="G60" s="18"/>
      <c r="H60" s="20">
        <f t="shared" si="4"/>
        <v>4.3584631303110057E-2</v>
      </c>
      <c r="I60" s="20">
        <f t="shared" si="5"/>
        <v>0.43687507480828452</v>
      </c>
      <c r="J60" s="18"/>
      <c r="K60" s="23"/>
      <c r="L60" s="18"/>
      <c r="M60" s="24"/>
    </row>
    <row r="61" spans="1:14" ht="15" customHeight="1" x14ac:dyDescent="0.4">
      <c r="A61" s="12">
        <v>19.5</v>
      </c>
      <c r="B61" s="20">
        <f t="shared" si="0"/>
        <v>4.9054213204726693E-2</v>
      </c>
      <c r="C61" s="18">
        <f t="shared" si="9"/>
        <v>0.38421339773154289</v>
      </c>
      <c r="D61" s="18"/>
      <c r="E61" s="20">
        <f t="shared" si="2"/>
        <v>4.8161419461074009E-2</v>
      </c>
      <c r="F61">
        <f t="shared" si="3"/>
        <v>0.39096091740016936</v>
      </c>
      <c r="G61" s="18"/>
      <c r="H61" s="20">
        <f t="shared" si="4"/>
        <v>4.3677295532371242E-2</v>
      </c>
      <c r="I61" s="20">
        <f t="shared" si="5"/>
        <v>0.42668584484928623</v>
      </c>
      <c r="J61" s="18"/>
      <c r="K61" s="23"/>
      <c r="L61" s="18"/>
      <c r="M61" s="24"/>
    </row>
    <row r="62" spans="1:14" ht="15" customHeight="1" x14ac:dyDescent="0.4">
      <c r="A62" s="11">
        <v>20</v>
      </c>
      <c r="B62" s="20">
        <f t="shared" si="0"/>
        <v>4.9226442533013899E-2</v>
      </c>
      <c r="C62" s="20">
        <v>0.37361521403670594</v>
      </c>
      <c r="D62" s="20">
        <f>K62 - (($B$13*100/2)*SUM($C$23:C62) + 100*C62)</f>
        <v>-1.870414172344681E-5</v>
      </c>
      <c r="E62" s="20">
        <f t="shared" si="2"/>
        <v>4.8302877084311802E-2</v>
      </c>
      <c r="F62">
        <f t="shared" si="3"/>
        <v>0.38058050709351793</v>
      </c>
      <c r="G62" s="20">
        <f>K62 - (($B$13*100/2)*SUM($F$23:F62) + 100*F62)</f>
        <v>-0.83855618498363071</v>
      </c>
      <c r="H62" s="20">
        <f t="shared" si="4"/>
        <v>4.3803773542149926E-2</v>
      </c>
      <c r="I62" s="20">
        <f t="shared" si="5"/>
        <v>0.41641393772351865</v>
      </c>
      <c r="J62" s="20">
        <f>K62 - (($B$13*100/2)*SUM($I$23:I62) + 100*I62)</f>
        <v>-4.8367611709107905</v>
      </c>
      <c r="K62" s="22">
        <v>100</v>
      </c>
      <c r="L62" s="18"/>
      <c r="M62" s="24"/>
    </row>
    <row r="63" spans="1:14" ht="15" customHeight="1" x14ac:dyDescent="0.4">
      <c r="A63" s="12">
        <v>20.5</v>
      </c>
      <c r="B63" s="20">
        <f t="shared" si="0"/>
        <v>4.9230315231293328E-2</v>
      </c>
      <c r="C63" s="18">
        <f>$C$62*($C$82/$C$62)^((A63-$A$62)/($A$82-$A$62))</f>
        <v>0.36450264820852157</v>
      </c>
      <c r="D63" s="18"/>
      <c r="E63" s="20">
        <f t="shared" si="2"/>
        <v>4.8437628124480846E-2</v>
      </c>
      <c r="F63">
        <f t="shared" si="3"/>
        <v>0.37047423547155095</v>
      </c>
      <c r="G63" s="18"/>
      <c r="H63" s="20">
        <f t="shared" si="4"/>
        <v>4.3964381497906761E-2</v>
      </c>
      <c r="I63" s="20">
        <f t="shared" si="5"/>
        <v>0.40605371681461949</v>
      </c>
      <c r="J63" s="18"/>
      <c r="K63" s="23"/>
      <c r="L63" s="18"/>
      <c r="M63" s="24"/>
    </row>
    <row r="64" spans="1:14" ht="15" customHeight="1" x14ac:dyDescent="0.4">
      <c r="A64" s="12">
        <v>21</v>
      </c>
      <c r="B64" s="20">
        <f t="shared" si="0"/>
        <v>4.9234003515368968E-2</v>
      </c>
      <c r="C64" s="18">
        <f t="shared" ref="C64:C81" si="10">$C$62*($C$82/$C$62)^((A64-$A$62)/($A$82-$A$62))</f>
        <v>0.35561234007449211</v>
      </c>
      <c r="D64" s="18"/>
      <c r="E64" s="20">
        <f t="shared" si="2"/>
        <v>4.8566116909965394E-2</v>
      </c>
      <c r="F64">
        <f t="shared" si="3"/>
        <v>0.36063516493966841</v>
      </c>
      <c r="G64" s="18"/>
      <c r="H64" s="20">
        <f t="shared" si="4"/>
        <v>4.415937272520061E-2</v>
      </c>
      <c r="I64" s="20">
        <f t="shared" si="5"/>
        <v>0.39560191945758427</v>
      </c>
      <c r="J64" s="18"/>
      <c r="K64" s="23"/>
      <c r="L64" s="18"/>
      <c r="M64" s="24"/>
    </row>
    <row r="65" spans="1:13" ht="15" customHeight="1" x14ac:dyDescent="0.4">
      <c r="A65" s="12">
        <v>21.5</v>
      </c>
      <c r="B65" s="20">
        <f t="shared" si="0"/>
        <v>4.9237520251348081E-2</v>
      </c>
      <c r="C65" s="18">
        <f t="shared" si="10"/>
        <v>0.34693886871546675</v>
      </c>
      <c r="D65" s="18"/>
      <c r="E65" s="20">
        <f t="shared" si="2"/>
        <v>4.868875257214117E-2</v>
      </c>
      <c r="F65">
        <f t="shared" si="3"/>
        <v>0.35105647174287796</v>
      </c>
      <c r="G65" s="18"/>
      <c r="H65" s="20">
        <f t="shared" si="4"/>
        <v>4.4388945297398119E-2</v>
      </c>
      <c r="I65" s="20">
        <f t="shared" si="5"/>
        <v>0.38505760831770675</v>
      </c>
      <c r="J65" s="18"/>
      <c r="K65" s="23"/>
      <c r="L65" s="18"/>
      <c r="M65" s="24"/>
    </row>
    <row r="66" spans="1:13" ht="15" customHeight="1" x14ac:dyDescent="0.4">
      <c r="A66" s="12">
        <v>22</v>
      </c>
      <c r="B66" s="20">
        <f t="shared" si="0"/>
        <v>4.9240877135691766E-2</v>
      </c>
      <c r="C66" s="18">
        <f t="shared" si="10"/>
        <v>0.33847694542982959</v>
      </c>
      <c r="D66" s="18"/>
      <c r="E66" s="20">
        <f t="shared" si="2"/>
        <v>4.8805911979101363E-2</v>
      </c>
      <c r="F66">
        <f t="shared" si="3"/>
        <v>0.34173145709265973</v>
      </c>
      <c r="G66" s="18"/>
      <c r="H66" s="20">
        <f t="shared" si="4"/>
        <v>4.4653248586601212E-2</v>
      </c>
      <c r="I66" s="20">
        <f t="shared" si="5"/>
        <v>0.37442211476637161</v>
      </c>
      <c r="J66" s="18"/>
      <c r="K66" s="23"/>
      <c r="L66" s="18"/>
      <c r="M66" s="24"/>
    </row>
    <row r="67" spans="1:13" ht="15" customHeight="1" x14ac:dyDescent="0.4">
      <c r="A67" s="12">
        <v>22.5</v>
      </c>
      <c r="B67" s="20">
        <f t="shared" si="0"/>
        <v>4.9244084825175734E-2</v>
      </c>
      <c r="C67" s="18">
        <f t="shared" si="10"/>
        <v>0.33022141050868192</v>
      </c>
      <c r="D67" s="18"/>
      <c r="E67" s="20">
        <f t="shared" si="2"/>
        <v>4.8917942459124814E-2</v>
      </c>
      <c r="F67">
        <f t="shared" si="3"/>
        <v>0.33265355520387507</v>
      </c>
      <c r="G67" s="18"/>
      <c r="H67" s="20">
        <f t="shared" si="4"/>
        <v>4.4952388939025867E-2</v>
      </c>
      <c r="I67" s="20">
        <f t="shared" si="5"/>
        <v>0.36369897286213676</v>
      </c>
      <c r="J67" s="18"/>
      <c r="K67" s="23"/>
      <c r="L67" s="18"/>
      <c r="M67" s="24"/>
    </row>
    <row r="68" spans="1:13" ht="15" customHeight="1" x14ac:dyDescent="0.4">
      <c r="A68" s="12">
        <v>23</v>
      </c>
      <c r="B68" s="20">
        <f t="shared" si="0"/>
        <v>4.9247153049899538E-2</v>
      </c>
      <c r="C68" s="18">
        <f t="shared" si="10"/>
        <v>0.32216723008967835</v>
      </c>
      <c r="D68" s="18"/>
      <c r="E68" s="20">
        <f t="shared" si="2"/>
        <v>4.9025164316174832E-2</v>
      </c>
      <c r="F68">
        <f t="shared" si="3"/>
        <v>0.32381633886369254</v>
      </c>
      <c r="G68" s="18"/>
      <c r="H68" s="20">
        <f t="shared" si="4"/>
        <v>4.528643460810395E-2</v>
      </c>
      <c r="I68" s="20">
        <f t="shared" si="5"/>
        <v>0.35289384276550967</v>
      </c>
      <c r="J68" s="18"/>
      <c r="K68" s="23"/>
      <c r="L68" s="18"/>
      <c r="M68" s="23"/>
    </row>
    <row r="69" spans="1:13" ht="15" customHeight="1" x14ac:dyDescent="0.4">
      <c r="A69" s="12">
        <v>23.5</v>
      </c>
      <c r="B69" s="20">
        <f t="shared" si="0"/>
        <v>4.9250090711869129E-2</v>
      </c>
      <c r="C69" s="18">
        <f t="shared" si="10"/>
        <v>0.31430949308759903</v>
      </c>
      <c r="D69" s="18"/>
      <c r="E69" s="20">
        <f t="shared" si="2"/>
        <v>4.9127873143968506E-2</v>
      </c>
      <c r="F69">
        <f t="shared" si="3"/>
        <v>0.31521352303677758</v>
      </c>
      <c r="G69" s="18"/>
      <c r="H69" s="20">
        <f t="shared" si="4"/>
        <v>4.5655420055908107E-2</v>
      </c>
      <c r="I69" s="20">
        <f t="shared" si="5"/>
        <v>0.34201442265125026</v>
      </c>
      <c r="J69" s="18"/>
      <c r="K69" s="23"/>
      <c r="L69" s="18"/>
      <c r="M69" s="23"/>
    </row>
    <row r="70" spans="1:13" ht="15" customHeight="1" x14ac:dyDescent="0.4">
      <c r="A70" s="12">
        <v>24</v>
      </c>
      <c r="B70" s="20">
        <f t="shared" si="0"/>
        <v>4.9252905971256665E-2</v>
      </c>
      <c r="C70" s="18">
        <f t="shared" si="10"/>
        <v>0.30664340819978547</v>
      </c>
      <c r="D70" s="18"/>
      <c r="E70" s="20">
        <f t="shared" si="2"/>
        <v>4.9226341947944313E-2</v>
      </c>
      <c r="F70">
        <f t="shared" si="3"/>
        <v>0.30683896691453272</v>
      </c>
      <c r="G70" s="18"/>
      <c r="H70" s="20">
        <f t="shared" si="4"/>
        <v>4.6059349714957259E-2</v>
      </c>
      <c r="I70" s="20">
        <f t="shared" si="5"/>
        <v>0.33107034843228267</v>
      </c>
      <c r="J70" s="18"/>
      <c r="K70" s="23"/>
      <c r="L70" s="18"/>
      <c r="M70" s="23"/>
    </row>
    <row r="71" spans="1:13" ht="15" customHeight="1" x14ac:dyDescent="0.4">
      <c r="A71" s="12">
        <v>24.5</v>
      </c>
      <c r="B71" s="20">
        <f t="shared" si="0"/>
        <v>4.9255606322097759E-2</v>
      </c>
      <c r="C71" s="18">
        <f t="shared" si="10"/>
        <v>0.29916430098461511</v>
      </c>
      <c r="D71" s="18"/>
      <c r="E71" s="20">
        <f t="shared" si="2"/>
        <v>4.9320823086159468E-2</v>
      </c>
      <c r="F71">
        <f t="shared" si="3"/>
        <v>0.29868667473739041</v>
      </c>
      <c r="G71" s="18"/>
      <c r="H71" s="20">
        <f t="shared" si="4"/>
        <v>4.6498201287603493E-2</v>
      </c>
      <c r="I71" s="20">
        <f t="shared" si="5"/>
        <v>0.3200730808692161</v>
      </c>
      <c r="J71" s="18"/>
      <c r="K71" s="23"/>
      <c r="L71" s="18"/>
      <c r="M71" s="23"/>
    </row>
    <row r="72" spans="1:13" ht="15" customHeight="1" x14ac:dyDescent="0.4">
      <c r="A72" s="12">
        <v>25</v>
      </c>
      <c r="B72" s="20">
        <f t="shared" si="0"/>
        <v>4.9258198658905218E-2</v>
      </c>
      <c r="C72" s="18">
        <f t="shared" si="10"/>
        <v>0.29186761101123182</v>
      </c>
      <c r="D72" s="18"/>
      <c r="E72" s="20">
        <f t="shared" si="2"/>
        <v>4.9411550041057177E-2</v>
      </c>
      <c r="F72">
        <f t="shared" si="3"/>
        <v>0.29075079565501716</v>
      </c>
      <c r="G72" s="18"/>
      <c r="H72" s="20">
        <f t="shared" si="4"/>
        <v>4.6971928647649763E-2</v>
      </c>
      <c r="I72" s="20">
        <f t="shared" si="5"/>
        <v>0.30903577991234715</v>
      </c>
      <c r="J72" s="18"/>
      <c r="K72" s="23"/>
      <c r="L72" s="18"/>
      <c r="M72" s="23"/>
    </row>
    <row r="73" spans="1:13" ht="15" customHeight="1" x14ac:dyDescent="0.4">
      <c r="A73" s="12">
        <v>25.5</v>
      </c>
      <c r="B73" s="20">
        <f t="shared" si="0"/>
        <v>4.9260689335445709E-2</v>
      </c>
      <c r="C73" s="18">
        <f t="shared" si="10"/>
        <v>0.28474888907879614</v>
      </c>
      <c r="D73" s="18"/>
      <c r="E73" s="20">
        <f t="shared" si="2"/>
        <v>4.9498739034381074E-2</v>
      </c>
      <c r="F73">
        <f t="shared" si="3"/>
        <v>0.28302562283717408</v>
      </c>
      <c r="G73" s="18"/>
      <c r="H73" s="20">
        <f t="shared" si="4"/>
        <v>4.7480464398883628E-2</v>
      </c>
      <c r="I73" s="20">
        <f t="shared" si="5"/>
        <v>0.29797316639914656</v>
      </c>
      <c r="J73" s="18"/>
      <c r="K73" s="23"/>
      <c r="L73" s="18"/>
      <c r="M73" s="23"/>
    </row>
    <row r="74" spans="1:13" ht="15" customHeight="1" x14ac:dyDescent="0.4">
      <c r="A74" s="12">
        <v>26</v>
      </c>
      <c r="B74" s="20">
        <f t="shared" si="0"/>
        <v>4.9263084216734643E-2</v>
      </c>
      <c r="C74" s="18">
        <f t="shared" si="10"/>
        <v>0.27780379450355763</v>
      </c>
      <c r="D74" s="18"/>
      <c r="E74" s="20">
        <f t="shared" si="2"/>
        <v>4.9582590497445664E-2</v>
      </c>
      <c r="F74">
        <f t="shared" si="3"/>
        <v>0.27550559200576402</v>
      </c>
      <c r="G74" s="18"/>
      <c r="H74" s="20">
        <f t="shared" si="4"/>
        <v>4.8023722136704153E-2</v>
      </c>
      <c r="I74" s="20">
        <f t="shared" si="5"/>
        <v>0.28690137151166051</v>
      </c>
      <c r="J74" s="18"/>
      <c r="K74" s="23"/>
      <c r="L74" s="18"/>
      <c r="M74" s="23"/>
    </row>
    <row r="75" spans="1:13" ht="15" customHeight="1" x14ac:dyDescent="0.4">
      <c r="A75" s="12">
        <v>26.5</v>
      </c>
      <c r="B75" s="20">
        <f t="shared" si="0"/>
        <v>4.9265388725144757E-2</v>
      </c>
      <c r="C75" s="18">
        <f t="shared" si="10"/>
        <v>0.27102809247209708</v>
      </c>
      <c r="D75" s="18"/>
      <c r="E75" s="20">
        <f t="shared" si="2"/>
        <v>4.9663290408624751E-2</v>
      </c>
      <c r="F75">
        <f t="shared" si="3"/>
        <v>0.26818527952446014</v>
      </c>
      <c r="G75" s="18"/>
      <c r="H75" s="20">
        <f t="shared" si="4"/>
        <v>4.8601598452018349E-2</v>
      </c>
      <c r="I75" s="20">
        <f t="shared" si="5"/>
        <v>0.27583777467758885</v>
      </c>
      <c r="J75" s="18"/>
      <c r="K75" s="23"/>
      <c r="L75" s="18"/>
      <c r="M75" s="23"/>
    </row>
    <row r="76" spans="1:13" ht="15" customHeight="1" x14ac:dyDescent="0.4">
      <c r="A76" s="12">
        <v>27</v>
      </c>
      <c r="B76" s="20">
        <f t="shared" si="0"/>
        <v>4.9267607881391527E-2</v>
      </c>
      <c r="C76" s="18">
        <f t="shared" si="10"/>
        <v>0.26441765145912327</v>
      </c>
      <c r="D76" s="18"/>
      <c r="E76" s="20">
        <f t="shared" si="2"/>
        <v>4.9741011509389622E-2</v>
      </c>
      <c r="F76">
        <f t="shared" si="3"/>
        <v>0.26105940015476631</v>
      </c>
      <c r="G76" s="18"/>
      <c r="H76" s="20">
        <f t="shared" si="4"/>
        <v>4.9213974710924077E-2</v>
      </c>
      <c r="I76" s="20">
        <f t="shared" si="5"/>
        <v>0.2648008308707071</v>
      </c>
      <c r="J76" s="18"/>
      <c r="K76" s="23"/>
      <c r="L76" s="18"/>
      <c r="M76" s="23"/>
    </row>
    <row r="77" spans="1:13" ht="15" customHeight="1" x14ac:dyDescent="0.4">
      <c r="A77" s="12">
        <v>27.5</v>
      </c>
      <c r="B77" s="20">
        <f t="shared" si="0"/>
        <v>4.9269746341047506E-2</v>
      </c>
      <c r="C77" s="18">
        <f t="shared" si="10"/>
        <v>0.25796844070825048</v>
      </c>
      <c r="D77" s="18"/>
      <c r="E77" s="20">
        <f t="shared" si="2"/>
        <v>4.981591440958414E-2</v>
      </c>
      <c r="F77">
        <f t="shared" si="3"/>
        <v>0.25412280456517555</v>
      </c>
      <c r="G77" s="18"/>
      <c r="H77" s="20">
        <f t="shared" si="4"/>
        <v>4.9860718638635566E-2</v>
      </c>
      <c r="I77" s="20">
        <f t="shared" si="5"/>
        <v>0.25380988852980546</v>
      </c>
      <c r="J77" s="18"/>
      <c r="K77" s="23"/>
      <c r="L77" s="18"/>
      <c r="M77" s="23"/>
    </row>
    <row r="78" spans="1:13" ht="15" customHeight="1" x14ac:dyDescent="0.4">
      <c r="A78" s="12">
        <v>28</v>
      </c>
      <c r="B78" s="20">
        <f t="shared" si="0"/>
        <v>4.9271808427144348E-2</v>
      </c>
      <c r="C78" s="18">
        <f t="shared" si="10"/>
        <v>0.25167652777422023</v>
      </c>
      <c r="D78" s="18"/>
      <c r="E78" s="20">
        <f t="shared" si="2"/>
        <v>4.9888148591917501E-2</v>
      </c>
      <c r="F78">
        <f t="shared" si="3"/>
        <v>0.24737047666226017</v>
      </c>
      <c r="G78" s="18"/>
      <c r="H78" s="20">
        <f t="shared" si="4"/>
        <v>5.054168573219308E-2</v>
      </c>
      <c r="I78" s="20">
        <f t="shared" si="5"/>
        <v>0.24288499955979534</v>
      </c>
      <c r="J78" s="18"/>
      <c r="K78" s="23"/>
      <c r="L78" s="18"/>
      <c r="M78" s="23"/>
    </row>
    <row r="79" spans="1:13" ht="15" customHeight="1" x14ac:dyDescent="0.4">
      <c r="A79" s="12">
        <v>28.5</v>
      </c>
      <c r="B79" s="20">
        <f t="shared" si="0"/>
        <v>4.9273798159343046E-2</v>
      </c>
      <c r="C79" s="18">
        <f t="shared" si="10"/>
        <v>0.24553807612506942</v>
      </c>
      <c r="D79" s="18"/>
      <c r="E79" s="20">
        <f t="shared" si="2"/>
        <v>4.9957853324923293E-2</v>
      </c>
      <c r="F79">
        <f t="shared" si="3"/>
        <v>0.24079753079820737</v>
      </c>
      <c r="G79" s="18"/>
      <c r="H79" s="20">
        <f t="shared" si="4"/>
        <v>5.1256720522943562E-2</v>
      </c>
      <c r="I79" s="20">
        <f t="shared" si="5"/>
        <v>0.23204672310378321</v>
      </c>
      <c r="J79" s="18"/>
      <c r="K79" s="23"/>
      <c r="L79" s="18"/>
      <c r="M79" s="24"/>
    </row>
    <row r="80" spans="1:13" ht="15" customHeight="1" x14ac:dyDescent="0.4">
      <c r="A80" s="12">
        <v>29</v>
      </c>
      <c r="B80" s="20">
        <f t="shared" si="0"/>
        <v>4.9275719280086623E-2</v>
      </c>
      <c r="C80" s="18">
        <f t="shared" si="10"/>
        <v>0.23954934280278128</v>
      </c>
      <c r="D80" s="18"/>
      <c r="E80" s="20">
        <f t="shared" si="2"/>
        <v>5.0025158492902434E-2</v>
      </c>
      <c r="F80">
        <f t="shared" si="3"/>
        <v>0.23439920889784452</v>
      </c>
      <c r="G80" s="18"/>
      <c r="H80" s="20">
        <f t="shared" si="4"/>
        <v>5.2005657707000212E-2</v>
      </c>
      <c r="I80" s="20">
        <f t="shared" si="5"/>
        <v>0.22131592497177774</v>
      </c>
      <c r="J80" s="18"/>
      <c r="K80" s="23"/>
      <c r="L80" s="18"/>
      <c r="M80" s="24"/>
    </row>
    <row r="81" spans="1:13" ht="15" customHeight="1" x14ac:dyDescent="0.4">
      <c r="A81" s="12">
        <v>29.5</v>
      </c>
      <c r="B81" s="20">
        <f t="shared" si="0"/>
        <v>4.9277575278093129E-2</v>
      </c>
      <c r="C81" s="18">
        <f t="shared" si="10"/>
        <v>0.23370667614099436</v>
      </c>
      <c r="D81" s="18"/>
      <c r="E81" s="20">
        <f t="shared" si="2"/>
        <v>5.0090185350655583E-2</v>
      </c>
      <c r="F81">
        <f t="shared" si="3"/>
        <v>0.22817087753901677</v>
      </c>
      <c r="G81" s="18"/>
      <c r="H81" s="20">
        <f t="shared" si="4"/>
        <v>5.2788323159288365E-2</v>
      </c>
      <c r="I81" s="20">
        <f t="shared" si="5"/>
        <v>0.21071357477908104</v>
      </c>
      <c r="J81" s="18"/>
      <c r="K81" s="23"/>
      <c r="L81" s="18"/>
      <c r="M81" s="24"/>
    </row>
    <row r="82" spans="1:13" ht="15" customHeight="1" x14ac:dyDescent="0.4">
      <c r="A82" s="11">
        <v>30</v>
      </c>
      <c r="B82" s="20">
        <f t="shared" si="0"/>
        <v>4.9279369409499417E-2</v>
      </c>
      <c r="C82" s="20">
        <v>0.22800651353837681</v>
      </c>
      <c r="D82" s="20">
        <f>K82 - (($B$14*100/2)*SUM($C$23:C82) + 100*C82)</f>
        <v>5.1136350975866662E-7</v>
      </c>
      <c r="E82" s="20">
        <f t="shared" si="2"/>
        <v>5.0153047210129517E-2</v>
      </c>
      <c r="F82">
        <f t="shared" si="3"/>
        <v>0.22210802501284296</v>
      </c>
      <c r="G82" s="20">
        <f>K82 - (($B$14*100/2)*SUM($F$23:F82) + 100*F82)</f>
        <v>0.48942132063679367</v>
      </c>
      <c r="H82" s="20">
        <f t="shared" si="4"/>
        <v>5.3604534844798324E-2</v>
      </c>
      <c r="I82" s="20">
        <f t="shared" si="5"/>
        <v>0.20026054297739546</v>
      </c>
      <c r="J82" s="20">
        <f>K82 - (($B$14*100/2)*SUM($I$23:I82) + 100*I82)</f>
        <v>1.629562261160018</v>
      </c>
      <c r="K82" s="22">
        <v>100</v>
      </c>
      <c r="L82" s="18"/>
      <c r="M82" s="24"/>
    </row>
    <row r="83" spans="1:13" x14ac:dyDescent="0.4">
      <c r="A83" s="18"/>
      <c r="B83" s="18"/>
      <c r="C83" s="18"/>
      <c r="D83" s="18"/>
      <c r="E83" s="18"/>
      <c r="F83" s="18"/>
      <c r="G83" s="25">
        <f>SUMSQ(G26, G28, G32, G36, G42, G62, G82)</f>
        <v>1.2188654328347353</v>
      </c>
      <c r="H83" s="18"/>
      <c r="I83" s="18"/>
      <c r="J83" s="25">
        <f>SUMSQ(J26, J28, J32, J36, J42, J62, J82)</f>
        <v>74.723451945042385</v>
      </c>
      <c r="K83" s="25"/>
      <c r="L83" s="18"/>
      <c r="M83" s="24"/>
    </row>
    <row r="84" spans="1:13" x14ac:dyDescent="0.4">
      <c r="L84" s="18"/>
      <c r="M84" s="24"/>
    </row>
    <row r="85" spans="1:13" x14ac:dyDescent="0.4">
      <c r="L85" s="18"/>
      <c r="M85" s="24"/>
    </row>
    <row r="86" spans="1:13" x14ac:dyDescent="0.4">
      <c r="L86" s="18"/>
      <c r="M86" s="24"/>
    </row>
    <row r="87" spans="1:13" x14ac:dyDescent="0.4">
      <c r="L87" s="18"/>
      <c r="M87" s="24"/>
    </row>
    <row r="88" spans="1:13" x14ac:dyDescent="0.4">
      <c r="L88" s="18"/>
      <c r="M88" s="23"/>
    </row>
    <row r="89" spans="1:13" x14ac:dyDescent="0.4">
      <c r="L89" s="18"/>
      <c r="M89" s="23"/>
    </row>
    <row r="90" spans="1:13" x14ac:dyDescent="0.4">
      <c r="L90" s="18"/>
      <c r="M90" s="23"/>
    </row>
    <row r="91" spans="1:13" x14ac:dyDescent="0.4">
      <c r="L91" s="18"/>
      <c r="M91" s="23"/>
    </row>
    <row r="92" spans="1:13" x14ac:dyDescent="0.4">
      <c r="L92" s="18"/>
      <c r="M92" s="23"/>
    </row>
    <row r="93" spans="1:13" x14ac:dyDescent="0.4">
      <c r="L93" s="18"/>
      <c r="M93" s="23"/>
    </row>
    <row r="94" spans="1:13" x14ac:dyDescent="0.4">
      <c r="L94" s="18"/>
      <c r="M94" s="23"/>
    </row>
    <row r="95" spans="1:13" x14ac:dyDescent="0.4">
      <c r="L95" s="18"/>
      <c r="M95" s="23"/>
    </row>
  </sheetData>
  <mergeCells count="4">
    <mergeCell ref="E2:M3"/>
    <mergeCell ref="O22:S26"/>
    <mergeCell ref="L7:O14"/>
    <mergeCell ref="C2:D3"/>
  </mergeCells>
  <phoneticPr fontId="18" type="noConversion"/>
  <hyperlinks>
    <hyperlink ref="C1" r:id="rId1" xr:uid="{C5EA8F14-4658-454C-B07D-3FE87DBCBF0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26.01.16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박석진</dc:creator>
  <cp:lastModifiedBy>수린 김</cp:lastModifiedBy>
  <dcterms:created xsi:type="dcterms:W3CDTF">2026-01-18T06:33:39Z</dcterms:created>
  <dcterms:modified xsi:type="dcterms:W3CDTF">2026-02-13T18:39:18Z</dcterms:modified>
</cp:coreProperties>
</file>