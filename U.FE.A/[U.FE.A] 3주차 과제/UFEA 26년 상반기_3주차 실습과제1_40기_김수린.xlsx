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0261bea96bfc57/문서/중앙대학교/U.FE.A/[유피아] 41기 준회원/[유피아 41기] 실습과제/"/>
    </mc:Choice>
  </mc:AlternateContent>
  <xr:revisionPtr revIDLastSave="301" documentId="8_{F319A693-A39F-4E22-8C24-A70E8F0E070D}" xr6:coauthVersionLast="47" xr6:coauthVersionMax="47" xr10:uidLastSave="{EE4F8AA4-E3A8-4CA9-BDAC-E106ED75C41C}"/>
  <bookViews>
    <workbookView xWindow="480" yWindow="910" windowWidth="17110" windowHeight="15250" xr2:uid="{CC9CFB1B-F5EA-D44E-9DF5-89E3DE5F0118}"/>
  </bookViews>
  <sheets>
    <sheet name="OIS vs Treasury" sheetId="6" r:id="rId1"/>
    <sheet name="SOFR Swap Bootstrap ( &lt;1Y)" sheetId="1" r:id="rId2"/>
    <sheet name="OIS DF Log Linear" sheetId="3" r:id="rId3"/>
    <sheet name="Market Data" sheetId="2" r:id="rId4"/>
    <sheet name="Treasury DF Log Linear" sheetId="5" r:id="rId5"/>
  </sheets>
  <definedNames>
    <definedName name="_xlnm._FilterDatabase" localSheetId="3" hidden="1">'Market Data'!$A$2:$C$2</definedName>
    <definedName name="solver_adj" localSheetId="2" hidden="1">'OIS DF Log Linear'!$G$57</definedName>
    <definedName name="solver_adj" localSheetId="4" hidden="1">'Treasury DF Log Linear'!$G$42</definedName>
    <definedName name="solver_cvg" localSheetId="2" hidden="1">0.0001</definedName>
    <definedName name="solver_cvg" localSheetId="4" hidden="1">0.0001</definedName>
    <definedName name="solver_drv" localSheetId="2" hidden="1">1</definedName>
    <definedName name="solver_drv" localSheetId="4" hidden="1">1</definedName>
    <definedName name="solver_eng" localSheetId="2" hidden="1">1</definedName>
    <definedName name="solver_eng" localSheetId="4" hidden="1">1</definedName>
    <definedName name="solver_itr" localSheetId="2" hidden="1">2147483647</definedName>
    <definedName name="solver_itr" localSheetId="4" hidden="1">2147483647</definedName>
    <definedName name="solver_lin" localSheetId="2" hidden="1">2</definedName>
    <definedName name="solver_lin" localSheetId="4" hidden="1">2</definedName>
    <definedName name="solver_mip" localSheetId="2" hidden="1">2147483647</definedName>
    <definedName name="solver_mip" localSheetId="4" hidden="1">2147483647</definedName>
    <definedName name="solver_mni" localSheetId="2" hidden="1">30</definedName>
    <definedName name="solver_mni" localSheetId="4" hidden="1">30</definedName>
    <definedName name="solver_mrt" localSheetId="2" hidden="1">0.075</definedName>
    <definedName name="solver_mrt" localSheetId="4" hidden="1">0.075</definedName>
    <definedName name="solver_msl" localSheetId="2" hidden="1">2</definedName>
    <definedName name="solver_msl" localSheetId="4" hidden="1">2</definedName>
    <definedName name="solver_neg" localSheetId="2" hidden="1">1</definedName>
    <definedName name="solver_neg" localSheetId="4" hidden="1">1</definedName>
    <definedName name="solver_nod" localSheetId="2" hidden="1">2147483647</definedName>
    <definedName name="solver_nod" localSheetId="4" hidden="1">2147483647</definedName>
    <definedName name="solver_num" localSheetId="2" hidden="1">0</definedName>
    <definedName name="solver_num" localSheetId="4" hidden="1">0</definedName>
    <definedName name="solver_opt" localSheetId="2" hidden="1">'OIS DF Log Linear'!$K$57</definedName>
    <definedName name="solver_opt" localSheetId="4" hidden="1">'Treasury DF Log Linear'!$M$42</definedName>
    <definedName name="solver_pre" localSheetId="2" hidden="1">0.000001</definedName>
    <definedName name="solver_pre" localSheetId="4" hidden="1">0.000001</definedName>
    <definedName name="solver_rbv" localSheetId="2" hidden="1">1</definedName>
    <definedName name="solver_rbv" localSheetId="4" hidden="1">1</definedName>
    <definedName name="solver_rlx" localSheetId="2" hidden="1">2</definedName>
    <definedName name="solver_rlx" localSheetId="4" hidden="1">2</definedName>
    <definedName name="solver_rsd" localSheetId="2" hidden="1">0</definedName>
    <definedName name="solver_rsd" localSheetId="4" hidden="1">0</definedName>
    <definedName name="solver_scl" localSheetId="2" hidden="1">1</definedName>
    <definedName name="solver_scl" localSheetId="4" hidden="1">1</definedName>
    <definedName name="solver_sho" localSheetId="2" hidden="1">2</definedName>
    <definedName name="solver_sho" localSheetId="4" hidden="1">2</definedName>
    <definedName name="solver_ssz" localSheetId="2" hidden="1">100</definedName>
    <definedName name="solver_ssz" localSheetId="4" hidden="1">100</definedName>
    <definedName name="solver_tim" localSheetId="2" hidden="1">2147483647</definedName>
    <definedName name="solver_tim" localSheetId="4" hidden="1">2147483647</definedName>
    <definedName name="solver_tol" localSheetId="2" hidden="1">0.01</definedName>
    <definedName name="solver_tol" localSheetId="4" hidden="1">0.01</definedName>
    <definedName name="solver_typ" localSheetId="2" hidden="1">3</definedName>
    <definedName name="solver_typ" localSheetId="4" hidden="1">3</definedName>
    <definedName name="solver_val" localSheetId="2" hidden="1">0</definedName>
    <definedName name="solver_val" localSheetId="4" hidden="1">0</definedName>
    <definedName name="solver_ver" localSheetId="2" hidden="1">2</definedName>
    <definedName name="solver_ver" localSheetId="4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6" l="1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B3" i="6" a="1"/>
  <c r="B3" i="6" s="1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64" i="3"/>
  <c r="J63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63" i="3"/>
  <c r="G68" i="3" a="1"/>
  <c r="G68" i="3"/>
  <c r="G69" i="3" a="1"/>
  <c r="G69" i="3" s="1"/>
  <c r="G70" i="3" a="1"/>
  <c r="G70" i="3"/>
  <c r="G71" i="3" a="1"/>
  <c r="G71" i="3" s="1"/>
  <c r="G72" i="3" a="1"/>
  <c r="G72" i="3"/>
  <c r="G73" i="3" a="1"/>
  <c r="G73" i="3" s="1"/>
  <c r="G74" i="3" a="1"/>
  <c r="G74" i="3"/>
  <c r="G75" i="3" a="1"/>
  <c r="G75" i="3" s="1"/>
  <c r="G76" i="3" a="1"/>
  <c r="G76" i="3"/>
  <c r="G77" i="3" a="1"/>
  <c r="G77" i="3" s="1"/>
  <c r="G78" i="3" a="1"/>
  <c r="G78" i="3"/>
  <c r="G79" i="3" a="1"/>
  <c r="G79" i="3" s="1"/>
  <c r="G80" i="3" a="1"/>
  <c r="G80" i="3"/>
  <c r="G81" i="3" a="1"/>
  <c r="G81" i="3" s="1"/>
  <c r="G82" i="3" a="1"/>
  <c r="G82" i="3"/>
  <c r="G83" i="3" a="1"/>
  <c r="G83" i="3" s="1"/>
  <c r="G84" i="3" a="1"/>
  <c r="G84" i="3"/>
  <c r="G85" i="3" a="1"/>
  <c r="G85" i="3" s="1"/>
  <c r="G86" i="3" a="1"/>
  <c r="G86" i="3"/>
  <c r="G87" i="3" a="1"/>
  <c r="G87" i="3" s="1"/>
  <c r="G88" i="3" a="1"/>
  <c r="G88" i="3"/>
  <c r="G89" i="3" a="1"/>
  <c r="G89" i="3" s="1"/>
  <c r="G90" i="3" a="1"/>
  <c r="G90" i="3"/>
  <c r="G91" i="3" a="1"/>
  <c r="G91" i="3" s="1"/>
  <c r="G92" i="3" a="1"/>
  <c r="G92" i="3" s="1"/>
  <c r="G93" i="3" a="1"/>
  <c r="G93" i="3" s="1"/>
  <c r="G94" i="3" a="1"/>
  <c r="G94" i="3"/>
  <c r="G95" i="3" a="1"/>
  <c r="G95" i="3" s="1"/>
  <c r="G96" i="3" a="1"/>
  <c r="G96" i="3"/>
  <c r="G97" i="3" a="1"/>
  <c r="G97" i="3" s="1"/>
  <c r="G98" i="3" a="1"/>
  <c r="G98" i="3"/>
  <c r="G99" i="3" a="1"/>
  <c r="G99" i="3" s="1"/>
  <c r="G100" i="3" a="1"/>
  <c r="G100" i="3"/>
  <c r="G101" i="3" a="1"/>
  <c r="G101" i="3" s="1"/>
  <c r="G102" i="3" a="1"/>
  <c r="G102" i="3"/>
  <c r="G103" i="3" a="1"/>
  <c r="G103" i="3" s="1"/>
  <c r="G104" i="3" a="1"/>
  <c r="G104" i="3"/>
  <c r="G105" i="3" a="1"/>
  <c r="G105" i="3" s="1"/>
  <c r="G106" i="3" a="1"/>
  <c r="G106" i="3"/>
  <c r="G107" i="3" a="1"/>
  <c r="G107" i="3" s="1"/>
  <c r="G108" i="3" a="1"/>
  <c r="G108" i="3" s="1"/>
  <c r="G109" i="3" a="1"/>
  <c r="G109" i="3" s="1"/>
  <c r="G110" i="3" a="1"/>
  <c r="G110" i="3"/>
  <c r="G111" i="3" a="1"/>
  <c r="G111" i="3" s="1"/>
  <c r="G112" i="3" a="1"/>
  <c r="G112" i="3" s="1"/>
  <c r="G113" i="3" a="1"/>
  <c r="G113" i="3" s="1"/>
  <c r="G114" i="3" a="1"/>
  <c r="G114" i="3"/>
  <c r="G115" i="3" a="1"/>
  <c r="G115" i="3" s="1"/>
  <c r="G116" i="3" a="1"/>
  <c r="G116" i="3" s="1"/>
  <c r="G117" i="3" a="1"/>
  <c r="G117" i="3" s="1"/>
  <c r="G118" i="3" a="1"/>
  <c r="G118" i="3" s="1"/>
  <c r="G119" i="3" a="1"/>
  <c r="G119" i="3" s="1"/>
  <c r="G120" i="3" a="1"/>
  <c r="G120" i="3" s="1"/>
  <c r="G121" i="3" a="1"/>
  <c r="G121" i="3" s="1"/>
  <c r="G122" i="3" a="1"/>
  <c r="G122" i="3" s="1"/>
  <c r="G123" i="3" a="1"/>
  <c r="G123" i="3" s="1"/>
  <c r="G124" i="3" a="1"/>
  <c r="G124" i="3" s="1"/>
  <c r="G125" i="3" a="1"/>
  <c r="G125" i="3" s="1"/>
  <c r="G126" i="3" a="1"/>
  <c r="G126" i="3" s="1"/>
  <c r="G127" i="3" a="1"/>
  <c r="G127" i="3" s="1"/>
  <c r="G128" i="3" a="1"/>
  <c r="G128" i="3" s="1"/>
  <c r="G129" i="3" a="1"/>
  <c r="G129" i="3" s="1"/>
  <c r="G130" i="3" a="1"/>
  <c r="G130" i="3" s="1"/>
  <c r="G131" i="3" a="1"/>
  <c r="G131" i="3" s="1"/>
  <c r="G132" i="3" a="1"/>
  <c r="G132" i="3" s="1"/>
  <c r="G133" i="3" a="1"/>
  <c r="G133" i="3" s="1"/>
  <c r="G134" i="3" a="1"/>
  <c r="G134" i="3" s="1"/>
  <c r="G135" i="3" a="1"/>
  <c r="G135" i="3" s="1"/>
  <c r="G136" i="3" a="1"/>
  <c r="G136" i="3" s="1"/>
  <c r="G137" i="3" a="1"/>
  <c r="G137" i="3" s="1"/>
  <c r="G138" i="3" a="1"/>
  <c r="G138" i="3" s="1"/>
  <c r="G139" i="3" a="1"/>
  <c r="G139" i="3" s="1"/>
  <c r="G140" i="3" a="1"/>
  <c r="G140" i="3" s="1"/>
  <c r="G141" i="3" a="1"/>
  <c r="G141" i="3" s="1"/>
  <c r="G142" i="3" a="1"/>
  <c r="G142" i="3" s="1"/>
  <c r="G143" i="3" a="1"/>
  <c r="G143" i="3" s="1"/>
  <c r="G144" i="3" a="1"/>
  <c r="G144" i="3" s="1"/>
  <c r="G145" i="3" a="1"/>
  <c r="G145" i="3" s="1"/>
  <c r="G146" i="3" a="1"/>
  <c r="G146" i="3" s="1"/>
  <c r="G147" i="3" a="1"/>
  <c r="G147" i="3" s="1"/>
  <c r="G148" i="3" a="1"/>
  <c r="G148" i="3" s="1"/>
  <c r="G149" i="3" a="1"/>
  <c r="G149" i="3" s="1"/>
  <c r="G150" i="3" a="1"/>
  <c r="G150" i="3" s="1"/>
  <c r="G151" i="3" a="1"/>
  <c r="G151" i="3" s="1"/>
  <c r="G152" i="3" a="1"/>
  <c r="G152" i="3" s="1"/>
  <c r="G153" i="3" a="1"/>
  <c r="G153" i="3" s="1"/>
  <c r="G154" i="3" a="1"/>
  <c r="G154" i="3" s="1"/>
  <c r="G155" i="3" a="1"/>
  <c r="G155" i="3" s="1"/>
  <c r="G156" i="3" a="1"/>
  <c r="G156" i="3" s="1"/>
  <c r="G157" i="3" a="1"/>
  <c r="G157" i="3" s="1"/>
  <c r="G158" i="3" a="1"/>
  <c r="G158" i="3" s="1"/>
  <c r="G159" i="3" a="1"/>
  <c r="G159" i="3" s="1"/>
  <c r="G160" i="3" a="1"/>
  <c r="G160" i="3" s="1"/>
  <c r="G161" i="3" a="1"/>
  <c r="G161" i="3" s="1"/>
  <c r="G162" i="3" a="1"/>
  <c r="G162" i="3" s="1"/>
  <c r="G163" i="3" a="1"/>
  <c r="G163" i="3" s="1"/>
  <c r="G164" i="3" a="1"/>
  <c r="G164" i="3" s="1"/>
  <c r="G165" i="3" a="1"/>
  <c r="G165" i="3" s="1"/>
  <c r="G166" i="3" a="1"/>
  <c r="G166" i="3" s="1"/>
  <c r="G167" i="3" a="1"/>
  <c r="G167" i="3" s="1"/>
  <c r="G168" i="3" a="1"/>
  <c r="G168" i="3" s="1"/>
  <c r="G169" i="3" a="1"/>
  <c r="G169" i="3" s="1"/>
  <c r="G170" i="3" a="1"/>
  <c r="G170" i="3" s="1"/>
  <c r="G171" i="3" a="1"/>
  <c r="G171" i="3" s="1"/>
  <c r="G172" i="3" a="1"/>
  <c r="G172" i="3" s="1"/>
  <c r="G173" i="3" a="1"/>
  <c r="G173" i="3" s="1"/>
  <c r="G174" i="3" a="1"/>
  <c r="G174" i="3" s="1"/>
  <c r="G175" i="3" a="1"/>
  <c r="G175" i="3" s="1"/>
  <c r="G176" i="3" a="1"/>
  <c r="G176" i="3" s="1"/>
  <c r="G177" i="3" a="1"/>
  <c r="G177" i="3" s="1"/>
  <c r="G178" i="3" a="1"/>
  <c r="G178" i="3" s="1"/>
  <c r="G179" i="3" a="1"/>
  <c r="G179" i="3" s="1"/>
  <c r="G180" i="3" a="1"/>
  <c r="G180" i="3" s="1"/>
  <c r="G181" i="3" a="1"/>
  <c r="G181" i="3" s="1"/>
  <c r="G182" i="3" a="1"/>
  <c r="G182" i="3" s="1"/>
  <c r="G67" i="3" a="1"/>
  <c r="G67" i="3" s="1"/>
  <c r="G63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29" i="3"/>
  <c r="M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28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43" i="3"/>
  <c r="G39" i="3"/>
  <c r="G40" i="3"/>
  <c r="G41" i="3"/>
  <c r="G38" i="3"/>
  <c r="G36" i="3"/>
  <c r="G35" i="3"/>
  <c r="G33" i="3"/>
  <c r="G31" i="3"/>
  <c r="C39" i="6" l="1"/>
  <c r="C40" i="6"/>
  <c r="C21" i="6"/>
  <c r="C33" i="6"/>
  <c r="C41" i="6"/>
  <c r="C19" i="6"/>
  <c r="C34" i="6"/>
  <c r="C18" i="6"/>
  <c r="C28" i="6"/>
  <c r="C36" i="6"/>
  <c r="C9" i="6"/>
  <c r="C32" i="6"/>
  <c r="C35" i="6"/>
  <c r="C26" i="6"/>
  <c r="C37" i="6"/>
  <c r="C8" i="6"/>
  <c r="C25" i="6"/>
  <c r="C38" i="6"/>
  <c r="C11" i="6"/>
  <c r="C17" i="6"/>
  <c r="C24" i="6"/>
  <c r="C13" i="6"/>
  <c r="C16" i="6"/>
  <c r="C31" i="6"/>
  <c r="C12" i="6"/>
  <c r="C23" i="6"/>
  <c r="C15" i="6"/>
  <c r="C29" i="6"/>
  <c r="C7" i="6"/>
  <c r="C20" i="6"/>
  <c r="C27" i="6"/>
  <c r="I57" i="3"/>
  <c r="I32" i="3"/>
  <c r="I34" i="3"/>
  <c r="I42" i="3"/>
  <c r="I37" i="3"/>
  <c r="J32" i="3" l="1"/>
  <c r="G30" i="3"/>
  <c r="G29" i="3"/>
  <c r="G23" i="3"/>
  <c r="H95" i="1"/>
  <c r="H94" i="1"/>
  <c r="H93" i="1"/>
  <c r="I88" i="1"/>
  <c r="F85" i="1"/>
  <c r="I83" i="1"/>
  <c r="I84" i="1"/>
  <c r="I85" i="1"/>
  <c r="I86" i="1"/>
  <c r="I87" i="1"/>
  <c r="G66" i="1"/>
  <c r="G64" i="1"/>
  <c r="G60" i="1"/>
  <c r="G58" i="1"/>
  <c r="G54" i="1"/>
  <c r="G52" i="1"/>
  <c r="G40" i="1"/>
  <c r="G38" i="1"/>
  <c r="G32" i="1"/>
  <c r="G30" i="1"/>
  <c r="G20" i="1"/>
  <c r="G19" i="1"/>
  <c r="G18" i="1"/>
  <c r="G17" i="1"/>
  <c r="G11" i="6"/>
  <c r="J11" i="6"/>
  <c r="G7" i="6"/>
  <c r="J7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3" i="6"/>
  <c r="J4" i="6"/>
  <c r="J5" i="6"/>
  <c r="J6" i="6"/>
  <c r="J8" i="6"/>
  <c r="J9" i="6"/>
  <c r="J10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3" i="6"/>
  <c r="G4" i="6"/>
  <c r="G5" i="6"/>
  <c r="G6" i="6"/>
  <c r="G8" i="6"/>
  <c r="G9" i="6"/>
  <c r="G10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3" i="6"/>
  <c r="F46" i="5" a="1"/>
  <c r="J42" i="5"/>
  <c r="I42" i="5"/>
  <c r="G41" i="5"/>
  <c r="I41" i="5" s="1"/>
  <c r="G40" i="5"/>
  <c r="I40" i="5" s="1"/>
  <c r="G39" i="5"/>
  <c r="J39" i="5" s="1"/>
  <c r="G38" i="5"/>
  <c r="J38" i="5" s="1"/>
  <c r="G37" i="5"/>
  <c r="I37" i="5" s="1"/>
  <c r="J36" i="5"/>
  <c r="I36" i="5"/>
  <c r="G35" i="5"/>
  <c r="J35" i="5" s="1"/>
  <c r="G34" i="5"/>
  <c r="J34" i="5" s="1"/>
  <c r="G33" i="5"/>
  <c r="J33" i="5" s="1"/>
  <c r="J32" i="5"/>
  <c r="I32" i="5"/>
  <c r="G31" i="5"/>
  <c r="J31" i="5" s="1"/>
  <c r="G30" i="5"/>
  <c r="J30" i="5" s="1"/>
  <c r="G29" i="5"/>
  <c r="J29" i="5" s="1"/>
  <c r="J28" i="5"/>
  <c r="I28" i="5"/>
  <c r="G27" i="5"/>
  <c r="J27" i="5" s="1"/>
  <c r="J26" i="5"/>
  <c r="I26" i="5"/>
  <c r="G25" i="5"/>
  <c r="J25" i="5" s="1"/>
  <c r="J24" i="5"/>
  <c r="I24" i="5"/>
  <c r="G10" i="5"/>
  <c r="G9" i="5"/>
  <c r="G8" i="5"/>
  <c r="G7" i="5"/>
  <c r="G6" i="5"/>
  <c r="G5" i="5"/>
  <c r="D3" i="6" l="1"/>
  <c r="D4" i="6"/>
  <c r="D6" i="6"/>
  <c r="D10" i="6"/>
  <c r="D14" i="6"/>
  <c r="D22" i="6"/>
  <c r="D42" i="6"/>
  <c r="E42" i="6" s="1"/>
  <c r="D30" i="6"/>
  <c r="H42" i="5"/>
  <c r="I27" i="5"/>
  <c r="K28" i="5" s="1"/>
  <c r="I30" i="5"/>
  <c r="I34" i="5"/>
  <c r="J40" i="5"/>
  <c r="I31" i="5"/>
  <c r="I25" i="5"/>
  <c r="K25" i="5" s="1"/>
  <c r="G23" i="5"/>
  <c r="J23" i="5" s="1"/>
  <c r="H36" i="5"/>
  <c r="H23" i="5"/>
  <c r="J41" i="5"/>
  <c r="H32" i="5"/>
  <c r="H24" i="5"/>
  <c r="I33" i="5"/>
  <c r="K33" i="5" s="1"/>
  <c r="K37" i="5"/>
  <c r="H26" i="5"/>
  <c r="K41" i="5"/>
  <c r="K42" i="5"/>
  <c r="I35" i="5"/>
  <c r="I38" i="5"/>
  <c r="K38" i="5" s="1"/>
  <c r="H28" i="5"/>
  <c r="I29" i="5"/>
  <c r="K29" i="5" s="1"/>
  <c r="H49" i="5"/>
  <c r="H57" i="5"/>
  <c r="H65" i="5"/>
  <c r="H73" i="5"/>
  <c r="G51" i="5"/>
  <c r="G59" i="5"/>
  <c r="G67" i="5"/>
  <c r="G75" i="5"/>
  <c r="G83" i="5"/>
  <c r="J37" i="5"/>
  <c r="I39" i="5"/>
  <c r="G53" i="5"/>
  <c r="G61" i="5"/>
  <c r="G69" i="5"/>
  <c r="G77" i="5"/>
  <c r="G85" i="5"/>
  <c r="H53" i="5"/>
  <c r="H85" i="5"/>
  <c r="G55" i="5"/>
  <c r="G63" i="5"/>
  <c r="G71" i="5"/>
  <c r="G79" i="5"/>
  <c r="H47" i="5"/>
  <c r="F46" i="5"/>
  <c r="H46" i="5" s="1"/>
  <c r="G46" i="5" s="1"/>
  <c r="G49" i="5"/>
  <c r="G57" i="5"/>
  <c r="G65" i="5"/>
  <c r="G73" i="5"/>
  <c r="G81" i="5"/>
  <c r="D15" i="6" l="1" a="1"/>
  <c r="D15" i="6" s="1"/>
  <c r="D7" i="6" a="1"/>
  <c r="D7" i="6" s="1"/>
  <c r="E22" i="6"/>
  <c r="E30" i="6"/>
  <c r="E6" i="6"/>
  <c r="E10" i="6"/>
  <c r="E14" i="6"/>
  <c r="D11" i="6" a="1"/>
  <c r="D11" i="6" s="1"/>
  <c r="D5" i="6"/>
  <c r="D31" i="6" a="1"/>
  <c r="D31" i="6" s="1"/>
  <c r="D23" i="6" a="1"/>
  <c r="D23" i="6" s="1"/>
  <c r="H39" i="5"/>
  <c r="K31" i="5"/>
  <c r="K27" i="5"/>
  <c r="H25" i="5"/>
  <c r="L24" i="5"/>
  <c r="M24" i="5" s="1"/>
  <c r="L26" i="5"/>
  <c r="M26" i="5" s="1"/>
  <c r="L42" i="5"/>
  <c r="M42" i="5" s="1"/>
  <c r="H38" i="5"/>
  <c r="K39" i="5"/>
  <c r="H37" i="5"/>
  <c r="H40" i="5"/>
  <c r="G47" i="5"/>
  <c r="G48" i="5" s="1"/>
  <c r="J48" i="5" s="1"/>
  <c r="H33" i="5"/>
  <c r="K34" i="5"/>
  <c r="L36" i="5"/>
  <c r="M36" i="5" s="1"/>
  <c r="I23" i="5"/>
  <c r="K23" i="5" s="1"/>
  <c r="K32" i="5"/>
  <c r="K26" i="5"/>
  <c r="H35" i="5"/>
  <c r="H34" i="5"/>
  <c r="G68" i="5"/>
  <c r="J68" i="5" s="1"/>
  <c r="L32" i="5"/>
  <c r="M32" i="5" s="1"/>
  <c r="H41" i="5"/>
  <c r="H81" i="5"/>
  <c r="G84" i="5"/>
  <c r="I84" i="5" s="1"/>
  <c r="H61" i="5"/>
  <c r="H60" i="5"/>
  <c r="H68" i="5"/>
  <c r="H59" i="5"/>
  <c r="G60" i="5"/>
  <c r="J60" i="5" s="1"/>
  <c r="G52" i="5"/>
  <c r="J52" i="5" s="1"/>
  <c r="H58" i="5"/>
  <c r="G72" i="5"/>
  <c r="I72" i="5" s="1"/>
  <c r="H63" i="5"/>
  <c r="G56" i="5"/>
  <c r="J56" i="5" s="1"/>
  <c r="G76" i="5"/>
  <c r="I76" i="5" s="1"/>
  <c r="G70" i="5"/>
  <c r="J70" i="5" s="1"/>
  <c r="G62" i="5"/>
  <c r="J62" i="5" s="1"/>
  <c r="H80" i="5"/>
  <c r="G78" i="5"/>
  <c r="J78" i="5" s="1"/>
  <c r="H69" i="5"/>
  <c r="H71" i="5"/>
  <c r="G54" i="5"/>
  <c r="J54" i="5" s="1"/>
  <c r="H48" i="5"/>
  <c r="H82" i="5"/>
  <c r="H52" i="5"/>
  <c r="H56" i="5"/>
  <c r="H64" i="5"/>
  <c r="H75" i="5"/>
  <c r="J59" i="5"/>
  <c r="I59" i="5"/>
  <c r="H30" i="5"/>
  <c r="L28" i="5"/>
  <c r="M28" i="5" s="1"/>
  <c r="H27" i="5"/>
  <c r="H31" i="5"/>
  <c r="H29" i="5"/>
  <c r="K30" i="5"/>
  <c r="H54" i="5"/>
  <c r="I79" i="5"/>
  <c r="J79" i="5"/>
  <c r="J77" i="5"/>
  <c r="I77" i="5"/>
  <c r="J57" i="5"/>
  <c r="I57" i="5"/>
  <c r="H74" i="5"/>
  <c r="H72" i="5"/>
  <c r="H83" i="5"/>
  <c r="H51" i="5"/>
  <c r="I71" i="5"/>
  <c r="J71" i="5"/>
  <c r="J69" i="5"/>
  <c r="I69" i="5"/>
  <c r="H62" i="5"/>
  <c r="J81" i="5"/>
  <c r="I81" i="5"/>
  <c r="J49" i="5"/>
  <c r="I49" i="5"/>
  <c r="H66" i="5"/>
  <c r="J46" i="5"/>
  <c r="I46" i="5"/>
  <c r="K46" i="5" s="1"/>
  <c r="H55" i="5"/>
  <c r="J61" i="5"/>
  <c r="I61" i="5"/>
  <c r="J73" i="5"/>
  <c r="I73" i="5"/>
  <c r="H77" i="5"/>
  <c r="H67" i="5"/>
  <c r="J83" i="5"/>
  <c r="I83" i="5"/>
  <c r="J51" i="5"/>
  <c r="I51" i="5"/>
  <c r="K36" i="5"/>
  <c r="K35" i="5"/>
  <c r="J65" i="5"/>
  <c r="I65" i="5"/>
  <c r="H50" i="5"/>
  <c r="J75" i="5"/>
  <c r="I75" i="5"/>
  <c r="G66" i="5"/>
  <c r="H70" i="5"/>
  <c r="J67" i="5"/>
  <c r="I67" i="5"/>
  <c r="H84" i="5"/>
  <c r="G58" i="5"/>
  <c r="G80" i="5"/>
  <c r="H76" i="5"/>
  <c r="I63" i="5"/>
  <c r="J63" i="5"/>
  <c r="G82" i="5"/>
  <c r="G50" i="5"/>
  <c r="H79" i="5"/>
  <c r="I55" i="5"/>
  <c r="J55" i="5"/>
  <c r="G74" i="5"/>
  <c r="J85" i="5"/>
  <c r="I85" i="5"/>
  <c r="J53" i="5"/>
  <c r="I53" i="5"/>
  <c r="G64" i="5"/>
  <c r="H78" i="5"/>
  <c r="K40" i="5"/>
  <c r="E15" i="6" l="1"/>
  <c r="E21" i="6"/>
  <c r="E16" i="6"/>
  <c r="E18" i="6"/>
  <c r="E19" i="6"/>
  <c r="E20" i="6"/>
  <c r="E17" i="6"/>
  <c r="E23" i="6"/>
  <c r="E29" i="6"/>
  <c r="E24" i="6"/>
  <c r="E25" i="6"/>
  <c r="E27" i="6"/>
  <c r="E28" i="6"/>
  <c r="E26" i="6"/>
  <c r="E11" i="6"/>
  <c r="E13" i="6"/>
  <c r="E12" i="6"/>
  <c r="E31" i="6"/>
  <c r="E37" i="6"/>
  <c r="E40" i="6"/>
  <c r="E33" i="6"/>
  <c r="E41" i="6"/>
  <c r="E38" i="6"/>
  <c r="E39" i="6"/>
  <c r="E34" i="6"/>
  <c r="E35" i="6"/>
  <c r="E36" i="6"/>
  <c r="E32" i="6"/>
  <c r="J47" i="5"/>
  <c r="I47" i="5"/>
  <c r="K47" i="5" s="1"/>
  <c r="I68" i="5"/>
  <c r="K69" i="5" s="1"/>
  <c r="J84" i="5"/>
  <c r="K24" i="5"/>
  <c r="I60" i="5"/>
  <c r="K60" i="5" s="1"/>
  <c r="J72" i="5"/>
  <c r="I52" i="5"/>
  <c r="K52" i="5" s="1"/>
  <c r="I48" i="5"/>
  <c r="K49" i="5" s="1"/>
  <c r="I56" i="5"/>
  <c r="K56" i="5" s="1"/>
  <c r="I70" i="5"/>
  <c r="K71" i="5" s="1"/>
  <c r="K73" i="5"/>
  <c r="J76" i="5"/>
  <c r="I78" i="5"/>
  <c r="K78" i="5" s="1"/>
  <c r="K84" i="5"/>
  <c r="I62" i="5"/>
  <c r="K62" i="5" s="1"/>
  <c r="K77" i="5"/>
  <c r="I54" i="5"/>
  <c r="K55" i="5" s="1"/>
  <c r="J66" i="5"/>
  <c r="I66" i="5"/>
  <c r="K66" i="5" s="1"/>
  <c r="J74" i="5"/>
  <c r="I74" i="5"/>
  <c r="K74" i="5" s="1"/>
  <c r="J64" i="5"/>
  <c r="I64" i="5"/>
  <c r="K64" i="5" s="1"/>
  <c r="J80" i="5"/>
  <c r="I80" i="5"/>
  <c r="K80" i="5" s="1"/>
  <c r="J50" i="5"/>
  <c r="I50" i="5"/>
  <c r="K50" i="5" s="1"/>
  <c r="J58" i="5"/>
  <c r="I58" i="5"/>
  <c r="K58" i="5" s="1"/>
  <c r="J82" i="5"/>
  <c r="I82" i="5"/>
  <c r="K82" i="5" s="1"/>
  <c r="K72" i="5"/>
  <c r="K76" i="5"/>
  <c r="K85" i="5"/>
  <c r="K68" i="5" l="1"/>
  <c r="K61" i="5"/>
  <c r="K53" i="5"/>
  <c r="K48" i="5"/>
  <c r="K57" i="5"/>
  <c r="K70" i="5"/>
  <c r="K59" i="5"/>
  <c r="K79" i="5"/>
  <c r="K65" i="5"/>
  <c r="K54" i="5"/>
  <c r="K63" i="5"/>
  <c r="K75" i="5"/>
  <c r="K81" i="5"/>
  <c r="K67" i="5"/>
  <c r="K51" i="5"/>
  <c r="K83" i="5"/>
  <c r="F63" i="3" l="1" a="1"/>
  <c r="F63" i="3" s="1"/>
  <c r="F28" i="3" a="1"/>
  <c r="F28" i="3" s="1"/>
  <c r="G28" i="3"/>
  <c r="G5" i="3"/>
  <c r="F84" i="1"/>
  <c r="F86" i="1"/>
  <c r="F87" i="1"/>
  <c r="F88" i="1"/>
  <c r="F83" i="1"/>
  <c r="G69" i="1"/>
  <c r="G92" i="1" s="1"/>
  <c r="G93" i="1" s="1"/>
  <c r="G94" i="1" s="1"/>
  <c r="G95" i="1" s="1"/>
  <c r="G65" i="1"/>
  <c r="G59" i="1"/>
  <c r="G53" i="1"/>
  <c r="G39" i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3" i="2"/>
  <c r="G14" i="1"/>
  <c r="G13" i="1"/>
  <c r="G15" i="1" l="1"/>
  <c r="G66" i="3"/>
  <c r="K28" i="3"/>
  <c r="K30" i="3"/>
  <c r="K42" i="6" l="1"/>
  <c r="F42" i="6"/>
  <c r="H42" i="6" s="1"/>
  <c r="F6" i="6"/>
  <c r="H6" i="6" s="1"/>
  <c r="K18" i="6"/>
  <c r="F18" i="6"/>
  <c r="H18" i="6" s="1"/>
  <c r="F10" i="6"/>
  <c r="H10" i="6" s="1"/>
  <c r="F30" i="6"/>
  <c r="H30" i="6" s="1"/>
  <c r="K14" i="6"/>
  <c r="F14" i="6"/>
  <c r="H14" i="6" s="1"/>
  <c r="K22" i="6"/>
  <c r="F22" i="6"/>
  <c r="H22" i="6" s="1"/>
  <c r="K38" i="6"/>
  <c r="F38" i="6"/>
  <c r="H38" i="6" s="1"/>
  <c r="K34" i="6"/>
  <c r="F34" i="6"/>
  <c r="H34" i="6" s="1"/>
  <c r="K29" i="3"/>
  <c r="G71" i="1"/>
  <c r="H83" i="1" s="1"/>
  <c r="F39" i="6" l="1"/>
  <c r="H39" i="6" s="1"/>
  <c r="K33" i="6"/>
  <c r="F33" i="6"/>
  <c r="H33" i="6" s="1"/>
  <c r="L33" i="6"/>
  <c r="N33" i="6" s="1"/>
  <c r="K10" i="6"/>
  <c r="K6" i="6"/>
  <c r="K15" i="6"/>
  <c r="F15" i="6"/>
  <c r="H15" i="6" s="1"/>
  <c r="L15" i="6"/>
  <c r="N15" i="6" s="1"/>
  <c r="L14" i="6"/>
  <c r="N14" i="6" s="1"/>
  <c r="K16" i="6"/>
  <c r="F16" i="6"/>
  <c r="H16" i="6" s="1"/>
  <c r="L16" i="6"/>
  <c r="N16" i="6" s="1"/>
  <c r="K17" i="6"/>
  <c r="F17" i="6"/>
  <c r="H17" i="6" s="1"/>
  <c r="L17" i="6"/>
  <c r="N17" i="6" s="1"/>
  <c r="K9" i="6"/>
  <c r="F9" i="6"/>
  <c r="H9" i="6" s="1"/>
  <c r="L9" i="6"/>
  <c r="N9" i="6" s="1"/>
  <c r="K39" i="6"/>
  <c r="L39" i="6"/>
  <c r="N39" i="6" s="1"/>
  <c r="K30" i="6"/>
  <c r="L38" i="6"/>
  <c r="N38" i="6" s="1"/>
  <c r="F26" i="6"/>
  <c r="H26" i="6" s="1"/>
  <c r="G72" i="1"/>
  <c r="H84" i="1" s="1"/>
  <c r="L22" i="6" l="1"/>
  <c r="N22" i="6" s="1"/>
  <c r="K35" i="6"/>
  <c r="F35" i="6"/>
  <c r="H35" i="6" s="1"/>
  <c r="L35" i="6"/>
  <c r="N35" i="6" s="1"/>
  <c r="L34" i="6"/>
  <c r="N34" i="6" s="1"/>
  <c r="F7" i="6"/>
  <c r="H7" i="6" s="1"/>
  <c r="L7" i="6"/>
  <c r="N7" i="6" s="1"/>
  <c r="K7" i="6"/>
  <c r="L6" i="6"/>
  <c r="N6" i="6" s="1"/>
  <c r="K37" i="6"/>
  <c r="F37" i="6"/>
  <c r="H37" i="6" s="1"/>
  <c r="L37" i="6"/>
  <c r="N37" i="6" s="1"/>
  <c r="K8" i="6"/>
  <c r="F8" i="6"/>
  <c r="H8" i="6" s="1"/>
  <c r="L8" i="6"/>
  <c r="N8" i="6" s="1"/>
  <c r="K23" i="6"/>
  <c r="F23" i="6"/>
  <c r="H23" i="6" s="1"/>
  <c r="K25" i="6"/>
  <c r="F25" i="6"/>
  <c r="H25" i="6" s="1"/>
  <c r="L25" i="6"/>
  <c r="N25" i="6" s="1"/>
  <c r="K26" i="6"/>
  <c r="K21" i="6"/>
  <c r="F21" i="6"/>
  <c r="H21" i="6" s="1"/>
  <c r="L21" i="6"/>
  <c r="N21" i="6" s="1"/>
  <c r="K12" i="6"/>
  <c r="F12" i="6"/>
  <c r="H12" i="6" s="1"/>
  <c r="L12" i="6"/>
  <c r="N12" i="6" s="1"/>
  <c r="K20" i="6"/>
  <c r="F20" i="6"/>
  <c r="H20" i="6" s="1"/>
  <c r="L20" i="6"/>
  <c r="N20" i="6" s="1"/>
  <c r="K32" i="6"/>
  <c r="F32" i="6"/>
  <c r="H32" i="6" s="1"/>
  <c r="L32" i="6"/>
  <c r="N32" i="6" s="1"/>
  <c r="L42" i="6"/>
  <c r="N42" i="6" s="1"/>
  <c r="K41" i="6"/>
  <c r="F41" i="6"/>
  <c r="H41" i="6" s="1"/>
  <c r="L41" i="6"/>
  <c r="N41" i="6" s="1"/>
  <c r="K36" i="6"/>
  <c r="F36" i="6"/>
  <c r="H36" i="6" s="1"/>
  <c r="L36" i="6"/>
  <c r="N36" i="6" s="1"/>
  <c r="K13" i="6"/>
  <c r="F13" i="6"/>
  <c r="H13" i="6" s="1"/>
  <c r="L13" i="6"/>
  <c r="N13" i="6" s="1"/>
  <c r="K19" i="6"/>
  <c r="F19" i="6"/>
  <c r="H19" i="6" s="1"/>
  <c r="L19" i="6"/>
  <c r="N19" i="6" s="1"/>
  <c r="L18" i="6"/>
  <c r="N18" i="6" s="1"/>
  <c r="K31" i="6"/>
  <c r="F31" i="6"/>
  <c r="H31" i="6" s="1"/>
  <c r="L31" i="6"/>
  <c r="N31" i="6" s="1"/>
  <c r="L30" i="6"/>
  <c r="N30" i="6" s="1"/>
  <c r="K40" i="6"/>
  <c r="F40" i="6"/>
  <c r="H40" i="6" s="1"/>
  <c r="L40" i="6"/>
  <c r="N40" i="6" s="1"/>
  <c r="K11" i="6"/>
  <c r="F11" i="6"/>
  <c r="H11" i="6" s="1"/>
  <c r="L11" i="6"/>
  <c r="N11" i="6" s="1"/>
  <c r="L10" i="6"/>
  <c r="N10" i="6" s="1"/>
  <c r="G73" i="1"/>
  <c r="H85" i="1" s="1"/>
  <c r="K24" i="6" l="1"/>
  <c r="F24" i="6"/>
  <c r="H24" i="6" s="1"/>
  <c r="L24" i="6"/>
  <c r="N24" i="6" s="1"/>
  <c r="K28" i="6"/>
  <c r="F28" i="6"/>
  <c r="H28" i="6" s="1"/>
  <c r="L28" i="6"/>
  <c r="N28" i="6" s="1"/>
  <c r="K27" i="6"/>
  <c r="F27" i="6"/>
  <c r="H27" i="6" s="1"/>
  <c r="L27" i="6"/>
  <c r="N27" i="6" s="1"/>
  <c r="L26" i="6"/>
  <c r="N26" i="6" s="1"/>
  <c r="L23" i="6"/>
  <c r="N23" i="6" s="1"/>
  <c r="K29" i="6"/>
  <c r="F29" i="6"/>
  <c r="H29" i="6" s="1"/>
  <c r="L29" i="6"/>
  <c r="N29" i="6" s="1"/>
  <c r="G74" i="1"/>
  <c r="H86" i="1" s="1"/>
  <c r="G76" i="1" l="1"/>
  <c r="H88" i="1" s="1"/>
  <c r="G75" i="1"/>
  <c r="H87" i="1" s="1"/>
  <c r="K34" i="3"/>
  <c r="K32" i="3"/>
  <c r="G22" i="3" l="1"/>
  <c r="G65" i="3" s="1"/>
  <c r="F5" i="6" s="1"/>
  <c r="K5" i="6"/>
  <c r="L5" i="6"/>
  <c r="N5" i="6" s="1"/>
  <c r="K3" i="6"/>
  <c r="K37" i="3"/>
  <c r="K42" i="3"/>
  <c r="K57" i="3"/>
  <c r="H5" i="6" l="1"/>
  <c r="C5" i="6"/>
  <c r="E5" i="6" s="1"/>
  <c r="K4" i="6"/>
  <c r="L4" i="6"/>
  <c r="N4" i="6" s="1"/>
  <c r="L3" i="6" l="1"/>
  <c r="N3" i="6" s="1"/>
  <c r="G21" i="3" l="1"/>
  <c r="G64" i="3" s="1"/>
  <c r="F4" i="6" s="1"/>
  <c r="C4" i="6" l="1"/>
  <c r="E4" i="6" s="1"/>
  <c r="H4" i="6"/>
  <c r="G20" i="3"/>
  <c r="F3" i="6" s="1"/>
  <c r="H3" i="6" l="1"/>
  <c r="C3" i="6"/>
  <c r="E3" i="6" s="1"/>
  <c r="E7" i="6" l="1"/>
  <c r="E8" i="6"/>
  <c r="E9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<sst xmlns="http://schemas.openxmlformats.org/spreadsheetml/2006/main" count="197" uniqueCount="156">
  <si>
    <t>Date</t>
    <phoneticPr fontId="1" type="noConversion"/>
  </si>
  <si>
    <t>Year Fraction</t>
    <phoneticPr fontId="1" type="noConversion"/>
  </si>
  <si>
    <t>SOFR(%)</t>
    <phoneticPr fontId="1" type="noConversion"/>
  </si>
  <si>
    <t>1. Fixed SOFR Rates</t>
    <phoneticPr fontId="1" type="noConversion"/>
  </si>
  <si>
    <t>Refer Historical Data Sheet</t>
    <phoneticPr fontId="1" type="noConversion"/>
  </si>
  <si>
    <t>2. SR1 Jan: Stub Rates</t>
    <phoneticPr fontId="1" type="noConversion"/>
  </si>
  <si>
    <t>Value Date</t>
    <phoneticPr fontId="1" type="noConversion"/>
  </si>
  <si>
    <t>SR1 JAN Price</t>
    <phoneticPr fontId="1" type="noConversion"/>
  </si>
  <si>
    <t>Start of Month</t>
    <phoneticPr fontId="1" type="noConversion"/>
  </si>
  <si>
    <t>End of Month</t>
    <phoneticPr fontId="1" type="noConversion"/>
  </si>
  <si>
    <t>Whole Working Days</t>
    <phoneticPr fontId="1" type="noConversion"/>
  </si>
  <si>
    <t>Passed Working Days</t>
    <phoneticPr fontId="1" type="noConversion"/>
  </si>
  <si>
    <t>Remained Working Days</t>
    <phoneticPr fontId="1" type="noConversion"/>
  </si>
  <si>
    <t>SR1 Implied Rate</t>
    <phoneticPr fontId="1" type="noConversion"/>
  </si>
  <si>
    <t>Realized Avg</t>
    <phoneticPr fontId="1" type="noConversion"/>
  </si>
  <si>
    <t>Days</t>
    <phoneticPr fontId="1" type="noConversion"/>
  </si>
  <si>
    <t>01/23/2026</t>
    <phoneticPr fontId="1" type="noConversion"/>
  </si>
  <si>
    <t>Forward Rate</t>
    <phoneticPr fontId="1" type="noConversion"/>
  </si>
  <si>
    <t>Stub DF(to Jan 31)</t>
    <phoneticPr fontId="1" type="noConversion"/>
  </si>
  <si>
    <t>3. SR1 FEB&amp;MAR</t>
    <phoneticPr fontId="1" type="noConversion"/>
  </si>
  <si>
    <t>SR1 FEB Price</t>
    <phoneticPr fontId="1" type="noConversion"/>
  </si>
  <si>
    <t>SR1 MAR Pice</t>
    <phoneticPr fontId="1" type="noConversion"/>
  </si>
  <si>
    <t>Mar IMM Date</t>
    <phoneticPr fontId="1" type="noConversion"/>
  </si>
  <si>
    <t>Feb Rate</t>
    <phoneticPr fontId="1" type="noConversion"/>
  </si>
  <si>
    <t>Feb Days</t>
    <phoneticPr fontId="1" type="noConversion"/>
  </si>
  <si>
    <t>Feb End DF</t>
    <phoneticPr fontId="1" type="noConversion"/>
  </si>
  <si>
    <t>Mar Rate</t>
    <phoneticPr fontId="1" type="noConversion"/>
  </si>
  <si>
    <t>Bridge Days</t>
    <phoneticPr fontId="1" type="noConversion"/>
  </si>
  <si>
    <t>Mar IMM DF</t>
    <phoneticPr fontId="1" type="noConversion"/>
  </si>
  <si>
    <r>
      <t xml:space="preserve">&gt;&gt; </t>
    </r>
    <r>
      <rPr>
        <sz val="12"/>
        <color theme="1"/>
        <rFont val="Malgun Gothic"/>
        <family val="2"/>
        <charset val="129"/>
      </rPr>
      <t>월초와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월말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금리가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다를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수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있지만</t>
    </r>
    <r>
      <rPr>
        <sz val="12"/>
        <color theme="1"/>
        <rFont val="Calibri"/>
        <family val="2"/>
      </rPr>
      <t xml:space="preserve">, </t>
    </r>
    <r>
      <rPr>
        <sz val="12"/>
        <color theme="1"/>
        <rFont val="Malgun Gothic"/>
        <family val="2"/>
        <charset val="129"/>
      </rPr>
      <t>선물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가격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하나만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가지고는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알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방법이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없음</t>
    </r>
    <phoneticPr fontId="1" type="noConversion"/>
  </si>
  <si>
    <r>
      <t xml:space="preserve">&gt;&gt; </t>
    </r>
    <r>
      <rPr>
        <sz val="12"/>
        <color theme="1"/>
        <rFont val="Malgun Gothic"/>
        <family val="2"/>
        <charset val="129"/>
      </rPr>
      <t>금리가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한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달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내내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균등하다</t>
    </r>
    <r>
      <rPr>
        <sz val="12"/>
        <color theme="1"/>
        <rFont val="Calibri"/>
        <family val="2"/>
      </rPr>
      <t>(Uniform)</t>
    </r>
    <r>
      <rPr>
        <sz val="12"/>
        <color theme="1"/>
        <rFont val="Malgun Gothic"/>
        <family val="2"/>
        <charset val="129"/>
      </rPr>
      <t>고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가정하고</t>
    </r>
    <r>
      <rPr>
        <sz val="12"/>
        <color theme="1"/>
        <rFont val="Calibri"/>
        <family val="2"/>
      </rPr>
      <t xml:space="preserve"> 18</t>
    </r>
    <r>
      <rPr>
        <sz val="12"/>
        <color theme="1"/>
        <rFont val="Malgun Gothic"/>
        <family val="2"/>
        <charset val="129"/>
      </rPr>
      <t>일치만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뚝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떼어서적용</t>
    </r>
    <phoneticPr fontId="1" type="noConversion"/>
  </si>
  <si>
    <t>4. SR3</t>
    <phoneticPr fontId="1" type="noConversion"/>
  </si>
  <si>
    <t>SR3 Mar Price</t>
    <phoneticPr fontId="1" type="noConversion"/>
  </si>
  <si>
    <t>SR3 Jun Price</t>
    <phoneticPr fontId="1" type="noConversion"/>
  </si>
  <si>
    <t>SR3 Sep Price</t>
    <phoneticPr fontId="1" type="noConversion"/>
  </si>
  <si>
    <t>Jun IMM Date</t>
    <phoneticPr fontId="1" type="noConversion"/>
  </si>
  <si>
    <t>Sep IMM Date</t>
    <phoneticPr fontId="1" type="noConversion"/>
  </si>
  <si>
    <t>Dec IMM Date</t>
    <phoneticPr fontId="1" type="noConversion"/>
  </si>
  <si>
    <t>Mar-Jun Rate</t>
    <phoneticPr fontId="1" type="noConversion"/>
  </si>
  <si>
    <t>Jun IMM DF</t>
    <phoneticPr fontId="1" type="noConversion"/>
  </si>
  <si>
    <t>Jun-Sep Rate</t>
    <phoneticPr fontId="1" type="noConversion"/>
  </si>
  <si>
    <t>Sep IMM DF</t>
    <phoneticPr fontId="1" type="noConversion"/>
  </si>
  <si>
    <t>Sep-Dec Rate</t>
    <phoneticPr fontId="1" type="noConversion"/>
  </si>
  <si>
    <t>5. Pilars</t>
    <phoneticPr fontId="1" type="noConversion"/>
  </si>
  <si>
    <t>V/D</t>
    <phoneticPr fontId="1" type="noConversion"/>
  </si>
  <si>
    <t>- 1/31</t>
    <phoneticPr fontId="1" type="noConversion"/>
  </si>
  <si>
    <t>- 2/28</t>
    <phoneticPr fontId="1" type="noConversion"/>
  </si>
  <si>
    <t>- 9/16 (Sep IMM)</t>
    <phoneticPr fontId="1" type="noConversion"/>
  </si>
  <si>
    <t>- 6/17 (Jun IMM)</t>
    <phoneticPr fontId="1" type="noConversion"/>
  </si>
  <si>
    <t>- 12/16 (Dec IMM)</t>
    <phoneticPr fontId="1" type="noConversion"/>
  </si>
  <si>
    <t>- 3/18 (Mar IMM)</t>
    <phoneticPr fontId="1" type="noConversion"/>
  </si>
  <si>
    <t>6. DF on Year Fraction</t>
    <phoneticPr fontId="1" type="noConversion"/>
  </si>
  <si>
    <t>x</t>
    <phoneticPr fontId="1" type="noConversion"/>
  </si>
  <si>
    <t>DF</t>
    <phoneticPr fontId="1" type="noConversion"/>
  </si>
  <si>
    <t>LN(DF)</t>
    <phoneticPr fontId="1" type="noConversion"/>
  </si>
  <si>
    <t>6.1. LN(DF)</t>
    <phoneticPr fontId="1" type="noConversion"/>
  </si>
  <si>
    <t>6.2. Target Date</t>
    <phoneticPr fontId="1" type="noConversion"/>
  </si>
  <si>
    <t>Start Date (V/D)</t>
    <phoneticPr fontId="1" type="noConversion"/>
  </si>
  <si>
    <t>0.25y</t>
    <phoneticPr fontId="1" type="noConversion"/>
  </si>
  <si>
    <t>0.50y</t>
    <phoneticPr fontId="1" type="noConversion"/>
  </si>
  <si>
    <t>0.75y</t>
    <phoneticPr fontId="1" type="noConversion"/>
  </si>
  <si>
    <r>
      <t xml:space="preserve">4.1. SR3 Mar </t>
    </r>
    <r>
      <rPr>
        <b/>
        <sz val="12"/>
        <color theme="1"/>
        <rFont val="Malgun Gothic"/>
        <family val="2"/>
        <charset val="129"/>
      </rPr>
      <t>구간</t>
    </r>
    <r>
      <rPr>
        <b/>
        <sz val="12"/>
        <color theme="1"/>
        <rFont val="Calibri"/>
        <family val="2"/>
      </rPr>
      <t>(3/18-6/17)</t>
    </r>
    <phoneticPr fontId="1" type="noConversion"/>
  </si>
  <si>
    <r>
      <t xml:space="preserve">4.2. SR3 Jun </t>
    </r>
    <r>
      <rPr>
        <b/>
        <sz val="12"/>
        <color theme="1"/>
        <rFont val="Malgun Gothic"/>
        <family val="2"/>
        <charset val="129"/>
      </rPr>
      <t>구간</t>
    </r>
    <r>
      <rPr>
        <b/>
        <sz val="12"/>
        <color theme="1"/>
        <rFont val="Calibri"/>
        <family val="2"/>
      </rPr>
      <t>(6/17-9/16)</t>
    </r>
    <phoneticPr fontId="1" type="noConversion"/>
  </si>
  <si>
    <r>
      <t>4.3. SR3 Sep</t>
    </r>
    <r>
      <rPr>
        <b/>
        <sz val="12"/>
        <color theme="1"/>
        <rFont val="Malgun Gothic"/>
        <family val="2"/>
        <charset val="129"/>
      </rPr>
      <t>구간(9/16-12/16)</t>
    </r>
    <phoneticPr fontId="1" type="noConversion"/>
  </si>
  <si>
    <r>
      <t>3.2. 3</t>
    </r>
    <r>
      <rPr>
        <b/>
        <sz val="12"/>
        <color theme="1"/>
        <rFont val="Malgun Gothic"/>
        <family val="2"/>
        <charset val="129"/>
      </rPr>
      <t>월</t>
    </r>
    <r>
      <rPr>
        <b/>
        <sz val="12"/>
        <color theme="1"/>
        <rFont val="Calibri"/>
        <family val="2"/>
      </rPr>
      <t xml:space="preserve"> IMM DF </t>
    </r>
    <r>
      <rPr>
        <b/>
        <sz val="12"/>
        <color theme="1"/>
        <rFont val="Malgun Gothic"/>
        <family val="2"/>
        <charset val="129"/>
      </rPr>
      <t>구하기</t>
    </r>
    <phoneticPr fontId="1" type="noConversion"/>
  </si>
  <si>
    <r>
      <t>3.1. 2</t>
    </r>
    <r>
      <rPr>
        <b/>
        <sz val="12"/>
        <color theme="1"/>
        <rFont val="Malgun Gothic"/>
        <family val="2"/>
        <charset val="129"/>
      </rPr>
      <t>월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Malgun Gothic"/>
        <family val="2"/>
        <charset val="129"/>
      </rPr>
      <t>말일</t>
    </r>
    <r>
      <rPr>
        <b/>
        <sz val="12"/>
        <color theme="1"/>
        <rFont val="Calibri"/>
        <family val="2"/>
      </rPr>
      <t xml:space="preserve"> DF </t>
    </r>
    <r>
      <rPr>
        <b/>
        <sz val="12"/>
        <color theme="1"/>
        <rFont val="Malgun Gothic"/>
        <family val="2"/>
        <charset val="129"/>
      </rPr>
      <t>구하기</t>
    </r>
    <phoneticPr fontId="1" type="noConversion"/>
  </si>
  <si>
    <t>1. Swap Rates on VD</t>
    <phoneticPr fontId="1" type="noConversion"/>
  </si>
  <si>
    <t>Year</t>
    <phoneticPr fontId="1" type="noConversion"/>
  </si>
  <si>
    <t>2. Calculate 1Y DF</t>
    <phoneticPr fontId="1" type="noConversion"/>
  </si>
  <si>
    <t>&gt;&gt; Annual Payment OIS</t>
    <phoneticPr fontId="1" type="noConversion"/>
  </si>
  <si>
    <t>Swap Rates</t>
    <phoneticPr fontId="1" type="noConversion"/>
  </si>
  <si>
    <t>3. Construct Annual DF Curve</t>
    <phoneticPr fontId="1" type="noConversion"/>
  </si>
  <si>
    <t>Market Swap Rate</t>
    <phoneticPr fontId="1" type="noConversion"/>
  </si>
  <si>
    <t>Thoeritic Swap Rate</t>
    <phoneticPr fontId="1" type="noConversion"/>
  </si>
  <si>
    <t>Error</t>
    <phoneticPr fontId="1" type="noConversion"/>
  </si>
  <si>
    <t>4. Construct Quately DF Curve</t>
    <phoneticPr fontId="1" type="noConversion"/>
  </si>
  <si>
    <t>ln(DF)</t>
    <phoneticPr fontId="1" type="noConversion"/>
  </si>
  <si>
    <t>Spot Curve</t>
    <phoneticPr fontId="1" type="noConversion"/>
  </si>
  <si>
    <t>Forward Curve(F(t,t+0.25))</t>
    <phoneticPr fontId="1" type="noConversion"/>
  </si>
  <si>
    <t>Forward Curve(F(t,t+1))</t>
    <phoneticPr fontId="1" type="noConversion"/>
  </si>
  <si>
    <t>1. Input</t>
    <phoneticPr fontId="1" type="noConversion"/>
  </si>
  <si>
    <t>Treasury Par Yield Curve Rates</t>
    <phoneticPr fontId="1" type="noConversion"/>
  </si>
  <si>
    <t>Tenor</t>
    <phoneticPr fontId="1" type="noConversion"/>
  </si>
  <si>
    <t>Value</t>
    <phoneticPr fontId="1" type="noConversion"/>
  </si>
  <si>
    <t>Effective Date</t>
    <phoneticPr fontId="1" type="noConversion"/>
  </si>
  <si>
    <t>1 Mo</t>
    <phoneticPr fontId="1" type="noConversion"/>
  </si>
  <si>
    <t>1.5 Mo</t>
    <phoneticPr fontId="1" type="noConversion"/>
  </si>
  <si>
    <t>2 Mo</t>
    <phoneticPr fontId="1" type="noConversion"/>
  </si>
  <si>
    <t>3 Mo</t>
    <phoneticPr fontId="1" type="noConversion"/>
  </si>
  <si>
    <t>4 Mo</t>
    <phoneticPr fontId="1" type="noConversion"/>
  </si>
  <si>
    <t>6 Mo</t>
    <phoneticPr fontId="1" type="noConversion"/>
  </si>
  <si>
    <t>1 Yr</t>
    <phoneticPr fontId="1" type="noConversion"/>
  </si>
  <si>
    <t>2 Yr</t>
    <phoneticPr fontId="1" type="noConversion"/>
  </si>
  <si>
    <t>3 Yr</t>
    <phoneticPr fontId="1" type="noConversion"/>
  </si>
  <si>
    <t>5 Yr</t>
    <phoneticPr fontId="1" type="noConversion"/>
  </si>
  <si>
    <t>7 Yr</t>
    <phoneticPr fontId="1" type="noConversion"/>
  </si>
  <si>
    <t>10 Yr</t>
    <phoneticPr fontId="1" type="noConversion"/>
  </si>
  <si>
    <t>20 Yr</t>
    <phoneticPr fontId="1" type="noConversion"/>
  </si>
  <si>
    <t>30 Yr</t>
    <phoneticPr fontId="1" type="noConversion"/>
  </si>
  <si>
    <r>
      <t xml:space="preserve">* </t>
    </r>
    <r>
      <rPr>
        <sz val="12"/>
        <color theme="1"/>
        <rFont val="Malgun Gothic"/>
        <family val="2"/>
        <charset val="129"/>
      </rPr>
      <t>계단식</t>
    </r>
    <r>
      <rPr>
        <sz val="12"/>
        <color theme="1"/>
        <rFont val="Calibri"/>
        <family val="2"/>
      </rPr>
      <t xml:space="preserve"> Forward Rate</t>
    </r>
    <phoneticPr fontId="1" type="noConversion"/>
  </si>
  <si>
    <r>
      <t xml:space="preserve">&gt; </t>
    </r>
    <r>
      <rPr>
        <sz val="12"/>
        <color theme="1"/>
        <rFont val="Malgun Gothic"/>
        <family val="2"/>
        <charset val="129"/>
      </rPr>
      <t>해당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구간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수준의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선도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금리가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다음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만기까지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쭉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 xml:space="preserve">유지된다고 봄 </t>
    </r>
    <phoneticPr fontId="1" type="noConversion"/>
  </si>
  <si>
    <t>2. (primary) Discount Factor (6m)</t>
    <phoneticPr fontId="1" type="noConversion"/>
  </si>
  <si>
    <t>T</t>
    <phoneticPr fontId="1" type="noConversion"/>
  </si>
  <si>
    <t>Discount Factor</t>
    <phoneticPr fontId="1" type="noConversion"/>
  </si>
  <si>
    <t>Par</t>
    <phoneticPr fontId="1" type="noConversion"/>
  </si>
  <si>
    <t>Spot(Continuously Compounded)</t>
    <phoneticPr fontId="1" type="noConversion"/>
  </si>
  <si>
    <t>Spot(Semi Annually  Compounded)</t>
    <phoneticPr fontId="1" type="noConversion"/>
  </si>
  <si>
    <t>Price</t>
    <phoneticPr fontId="1" type="noConversion"/>
  </si>
  <si>
    <t>3. Discount Factor (3m)</t>
    <phoneticPr fontId="1" type="noConversion"/>
  </si>
  <si>
    <t>OIS_DF</t>
    <phoneticPr fontId="1" type="noConversion"/>
  </si>
  <si>
    <t>OIS_Spot</t>
    <phoneticPr fontId="1" type="noConversion"/>
  </si>
  <si>
    <t>OIS_Forward</t>
    <phoneticPr fontId="1" type="noConversion"/>
  </si>
  <si>
    <t>Treasury_DF</t>
    <phoneticPr fontId="1" type="noConversion"/>
  </si>
  <si>
    <t>Treasury_Spot</t>
    <phoneticPr fontId="1" type="noConversion"/>
  </si>
  <si>
    <t>Treasury_Forward</t>
    <phoneticPr fontId="1" type="noConversion"/>
  </si>
  <si>
    <t>Diff</t>
    <phoneticPr fontId="1" type="noConversion"/>
  </si>
  <si>
    <t>OIS_Par</t>
    <phoneticPr fontId="1" type="noConversion"/>
  </si>
  <si>
    <t>Treasury_Par</t>
    <phoneticPr fontId="1" type="noConversion"/>
  </si>
  <si>
    <t>Diff(Bond-Swap Spread)</t>
    <phoneticPr fontId="1" type="noConversion"/>
  </si>
  <si>
    <r>
      <t xml:space="preserve">&lt;&lt; </t>
    </r>
    <r>
      <rPr>
        <sz val="12"/>
        <color theme="1"/>
        <rFont val="Malgun Gothic"/>
        <family val="2"/>
        <charset val="129"/>
      </rPr>
      <t>커브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산출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기준일의</t>
    </r>
    <r>
      <rPr>
        <sz val="12"/>
        <color theme="1"/>
        <rFont val="Calibri"/>
        <family val="2"/>
      </rPr>
      <t xml:space="preserve"> SR1 Jan Price </t>
    </r>
    <r>
      <rPr>
        <sz val="12"/>
        <color theme="1"/>
        <rFont val="Malgun Gothic"/>
        <family val="2"/>
        <charset val="129"/>
      </rPr>
      <t>입력</t>
    </r>
    <r>
      <rPr>
        <sz val="12"/>
        <color theme="1"/>
        <rFont val="Calibri"/>
        <family val="2"/>
      </rPr>
      <t xml:space="preserve"> (</t>
    </r>
    <r>
      <rPr>
        <sz val="12"/>
        <color theme="1"/>
        <rFont val="Malgun Gothic"/>
        <family val="2"/>
        <charset val="129"/>
      </rPr>
      <t>종가</t>
    </r>
    <r>
      <rPr>
        <sz val="12"/>
        <color theme="1"/>
        <rFont val="Calibri"/>
        <family val="2"/>
      </rPr>
      <t xml:space="preserve">, CME </t>
    </r>
    <r>
      <rPr>
        <sz val="12"/>
        <color theme="1"/>
        <rFont val="Malgun Gothic"/>
        <family val="2"/>
        <charset val="129"/>
      </rPr>
      <t>참고</t>
    </r>
    <r>
      <rPr>
        <sz val="12"/>
        <color theme="1"/>
        <rFont val="Calibri"/>
        <family val="2"/>
      </rPr>
      <t>)</t>
    </r>
    <phoneticPr fontId="1" type="noConversion"/>
  </si>
  <si>
    <r>
      <t xml:space="preserve">&lt;&lt; </t>
    </r>
    <r>
      <rPr>
        <sz val="12"/>
        <color theme="1"/>
        <rFont val="Malgun Gothic"/>
        <family val="2"/>
        <charset val="129"/>
      </rPr>
      <t>커브 산출 기준일이 포함된 월의 시작일</t>
    </r>
    <phoneticPr fontId="1" type="noConversion"/>
  </si>
  <si>
    <r>
      <t xml:space="preserve">&lt;&lt; </t>
    </r>
    <r>
      <rPr>
        <sz val="12"/>
        <color theme="1"/>
        <rFont val="Malgun Gothic"/>
        <family val="2"/>
        <charset val="129"/>
      </rPr>
      <t>커브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산출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기준일이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포함된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월의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마지막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날</t>
    </r>
    <phoneticPr fontId="1" type="noConversion"/>
  </si>
  <si>
    <r>
      <t xml:space="preserve">&lt;&lt; </t>
    </r>
    <r>
      <rPr>
        <sz val="12"/>
        <color theme="1"/>
        <rFont val="Malgun Gothic"/>
        <family val="2"/>
        <charset val="129"/>
      </rPr>
      <t>해당월의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영업일</t>
    </r>
    <phoneticPr fontId="1" type="noConversion"/>
  </si>
  <si>
    <r>
      <t xml:space="preserve">&lt;&lt; </t>
    </r>
    <r>
      <rPr>
        <sz val="12"/>
        <color theme="1"/>
        <rFont val="Malgun Gothic"/>
        <family val="2"/>
        <charset val="129"/>
      </rPr>
      <t>평가일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기준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경과영업일</t>
    </r>
    <r>
      <rPr>
        <sz val="12"/>
        <color theme="1"/>
        <rFont val="Calibri"/>
        <family val="2"/>
      </rPr>
      <t>: SR1</t>
    </r>
    <r>
      <rPr>
        <sz val="12"/>
        <color theme="1"/>
        <rFont val="Malgun Gothic"/>
        <family val="2"/>
        <charset val="129"/>
      </rPr>
      <t>은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해당월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실현되는 SOFR의 기간별 가중합으로 주어지기 때문</t>
    </r>
    <phoneticPr fontId="1" type="noConversion"/>
  </si>
  <si>
    <r>
      <t xml:space="preserve">&lt;&lt; </t>
    </r>
    <r>
      <rPr>
        <sz val="12"/>
        <color theme="1"/>
        <rFont val="Malgun Gothic"/>
        <family val="2"/>
        <charset val="129"/>
      </rPr>
      <t>잔여</t>
    </r>
    <r>
      <rPr>
        <sz val="12"/>
        <color theme="1"/>
        <rFont val="Calibri"/>
        <family val="2"/>
      </rPr>
      <t xml:space="preserve"> SOFR </t>
    </r>
    <r>
      <rPr>
        <sz val="12"/>
        <color theme="1"/>
        <rFont val="Malgun Gothic"/>
        <family val="2"/>
        <charset val="129"/>
      </rPr>
      <t>산출일수</t>
    </r>
    <phoneticPr fontId="1" type="noConversion"/>
  </si>
  <si>
    <r>
      <t>&lt;&lt; SR1</t>
    </r>
    <r>
      <rPr>
        <sz val="12"/>
        <color theme="1"/>
        <rFont val="Malgun Gothic"/>
        <family val="2"/>
        <charset val="129"/>
      </rPr>
      <t>의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호가법에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따른</t>
    </r>
    <r>
      <rPr>
        <sz val="12"/>
        <color theme="1"/>
        <rFont val="Calibri"/>
        <family val="2"/>
      </rPr>
      <t xml:space="preserve"> Spot </t>
    </r>
    <r>
      <rPr>
        <sz val="12"/>
        <color theme="1"/>
        <rFont val="Malgun Gothic"/>
        <family val="2"/>
        <charset val="129"/>
      </rPr>
      <t>금리</t>
    </r>
    <phoneticPr fontId="1" type="noConversion"/>
  </si>
  <si>
    <r>
      <t xml:space="preserve">&lt;&lt; </t>
    </r>
    <r>
      <rPr>
        <sz val="12"/>
        <color theme="1"/>
        <rFont val="Malgun Gothic"/>
        <family val="2"/>
        <charset val="129"/>
      </rPr>
      <t>기간별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가중합을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위함</t>
    </r>
    <phoneticPr fontId="1" type="noConversion"/>
  </si>
  <si>
    <r>
      <t xml:space="preserve">&lt;&lt; </t>
    </r>
    <r>
      <rPr>
        <sz val="12"/>
        <color theme="1"/>
        <rFont val="Malgun Gothic"/>
        <family val="2"/>
        <charset val="129"/>
      </rPr>
      <t>그럼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평가기준일</t>
    </r>
    <r>
      <rPr>
        <sz val="12"/>
        <color theme="1"/>
        <rFont val="Calibri"/>
        <family val="2"/>
      </rPr>
      <t xml:space="preserve"> - </t>
    </r>
    <r>
      <rPr>
        <sz val="12"/>
        <color theme="1"/>
        <rFont val="Malgun Gothic"/>
        <family val="2"/>
        <charset val="129"/>
      </rPr>
      <t>월말까지의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금리를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산출할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수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있음</t>
    </r>
    <phoneticPr fontId="1" type="noConversion"/>
  </si>
  <si>
    <r>
      <t xml:space="preserve">&lt;&lt; </t>
    </r>
    <r>
      <rPr>
        <sz val="12"/>
        <color theme="1"/>
        <rFont val="Malgun Gothic"/>
        <family val="2"/>
        <charset val="129"/>
      </rPr>
      <t>위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논리에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기초하여 월말까지의 DF를 산출</t>
    </r>
    <phoneticPr fontId="1" type="noConversion"/>
  </si>
  <si>
    <r>
      <t xml:space="preserve">&lt;&lt; </t>
    </r>
    <r>
      <rPr>
        <sz val="12"/>
        <color theme="1"/>
        <rFont val="Malgun Gothic"/>
        <family val="2"/>
        <charset val="129"/>
      </rPr>
      <t>기준일을</t>
    </r>
    <r>
      <rPr>
        <sz val="12"/>
        <color theme="1"/>
        <rFont val="Calibri"/>
        <family val="2"/>
      </rPr>
      <t xml:space="preserve"> 2</t>
    </r>
    <r>
      <rPr>
        <sz val="12"/>
        <color theme="1"/>
        <rFont val="Malgun Gothic"/>
        <family val="2"/>
        <charset val="129"/>
      </rPr>
      <t>월로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설정하면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지워도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무방</t>
    </r>
    <phoneticPr fontId="1" type="noConversion"/>
  </si>
  <si>
    <r>
      <t xml:space="preserve">&lt;&lt; </t>
    </r>
    <r>
      <rPr>
        <sz val="12"/>
        <color theme="1"/>
        <rFont val="Malgun Gothic"/>
        <family val="2"/>
        <charset val="129"/>
      </rPr>
      <t>커브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산출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기준일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입력</t>
    </r>
    <r>
      <rPr>
        <sz val="12"/>
        <color theme="1"/>
        <rFont val="Calibri"/>
        <family val="2"/>
      </rPr>
      <t xml:space="preserve"> (</t>
    </r>
    <r>
      <rPr>
        <sz val="12"/>
        <color theme="1"/>
        <rFont val="Malgun Gothic"/>
        <family val="2"/>
        <charset val="129"/>
      </rPr>
      <t>답안은</t>
    </r>
    <r>
      <rPr>
        <sz val="12"/>
        <color theme="1"/>
        <rFont val="Calibri"/>
        <family val="2"/>
      </rPr>
      <t xml:space="preserve"> 1</t>
    </r>
    <r>
      <rPr>
        <sz val="12"/>
        <color theme="1"/>
        <rFont val="Malgun Gothic"/>
        <family val="2"/>
        <charset val="129"/>
      </rPr>
      <t>월</t>
    </r>
    <r>
      <rPr>
        <sz val="12"/>
        <color theme="1"/>
        <rFont val="Calibri"/>
        <family val="2"/>
      </rPr>
      <t xml:space="preserve"> 23</t>
    </r>
    <r>
      <rPr>
        <sz val="12"/>
        <color theme="1"/>
        <rFont val="Malgun Gothic"/>
        <family val="2"/>
        <charset val="129"/>
      </rPr>
      <t>일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algun Gothic"/>
        <family val="2"/>
        <charset val="129"/>
      </rPr>
      <t>기준으로 제시될 예정입니다.)</t>
    </r>
    <phoneticPr fontId="1" type="noConversion"/>
  </si>
  <si>
    <r>
      <t xml:space="preserve">&lt;&lt; Year Fraction </t>
    </r>
    <r>
      <rPr>
        <b/>
        <sz val="12"/>
        <color theme="1"/>
        <rFont val="Malgun Gothic"/>
        <family val="2"/>
        <charset val="129"/>
      </rPr>
      <t>기준으로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Malgun Gothic"/>
        <family val="2"/>
        <charset val="129"/>
      </rPr>
      <t>환산해주기 위함 (Log Linear 방식을 DF에 적용)</t>
    </r>
    <phoneticPr fontId="1" type="noConversion"/>
  </si>
  <si>
    <r>
      <t>&lt;&lt; Chartham</t>
    </r>
    <r>
      <rPr>
        <b/>
        <sz val="12"/>
        <color theme="1"/>
        <rFont val="Malgun Gothic"/>
        <family val="2"/>
        <charset val="129"/>
      </rPr>
      <t>에서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Malgun Gothic"/>
        <family val="2"/>
        <charset val="129"/>
      </rPr>
      <t>가져온</t>
    </r>
    <r>
      <rPr>
        <b/>
        <sz val="12"/>
        <color theme="1"/>
        <rFont val="Calibri"/>
        <family val="2"/>
      </rPr>
      <t xml:space="preserve"> OIS Data </t>
    </r>
    <r>
      <rPr>
        <b/>
        <sz val="12"/>
        <color theme="1"/>
        <rFont val="Malgun Gothic"/>
        <family val="2"/>
        <charset val="129"/>
      </rPr>
      <t>기준</t>
    </r>
    <phoneticPr fontId="1" type="noConversion"/>
  </si>
  <si>
    <t>Historical SOFR</t>
    <phoneticPr fontId="1" type="noConversion"/>
  </si>
  <si>
    <t>SOFR OIS Swap Rate (Chatham / VD: 2026.1.23)</t>
    <phoneticPr fontId="1" type="noConversion"/>
  </si>
  <si>
    <t>SR3 (CME / VD: 2026.1.23)</t>
    <phoneticPr fontId="1" type="noConversion"/>
  </si>
  <si>
    <t>SR1 (CME / VD: 2026.1.23)</t>
    <phoneticPr fontId="1" type="noConversion"/>
  </si>
  <si>
    <t>JAN</t>
    <phoneticPr fontId="1" type="noConversion"/>
  </si>
  <si>
    <t>FEB</t>
    <phoneticPr fontId="1" type="noConversion"/>
  </si>
  <si>
    <t>* Close Price</t>
    <phoneticPr fontId="1" type="noConversion"/>
  </si>
  <si>
    <t>MAR</t>
    <phoneticPr fontId="1" type="noConversion"/>
  </si>
  <si>
    <t>MONTH/YEAR</t>
    <phoneticPr fontId="1" type="noConversion"/>
  </si>
  <si>
    <t>PRICE</t>
    <phoneticPr fontId="1" type="noConversion"/>
  </si>
  <si>
    <t>JUN</t>
    <phoneticPr fontId="1" type="noConversion"/>
  </si>
  <si>
    <t>SEP</t>
    <phoneticPr fontId="1" type="noConversion"/>
  </si>
  <si>
    <t>1Y</t>
    <phoneticPr fontId="1" type="noConversion"/>
  </si>
  <si>
    <t>2Y</t>
    <phoneticPr fontId="1" type="noConversion"/>
  </si>
  <si>
    <t>3Y</t>
    <phoneticPr fontId="1" type="noConversion"/>
  </si>
  <si>
    <t>5Y</t>
    <phoneticPr fontId="1" type="noConversion"/>
  </si>
  <si>
    <t>7Y</t>
    <phoneticPr fontId="1" type="noConversion"/>
  </si>
  <si>
    <t>10Y</t>
    <phoneticPr fontId="1" type="noConversion"/>
  </si>
  <si>
    <t>15Y</t>
    <phoneticPr fontId="1" type="noConversion"/>
  </si>
  <si>
    <t>30Y</t>
    <phoneticPr fontId="1" type="noConversion"/>
  </si>
  <si>
    <r>
      <t xml:space="preserve">&lt;&lt; Market Data </t>
    </r>
    <r>
      <rPr>
        <b/>
        <sz val="12"/>
        <color theme="1"/>
        <rFont val="Malgun Gothic"/>
        <family val="2"/>
        <charset val="129"/>
      </rPr>
      <t>시트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Malgun Gothic"/>
        <family val="2"/>
        <charset val="129"/>
      </rPr>
      <t>참조</t>
    </r>
    <phoneticPr fontId="1" type="noConversion"/>
  </si>
  <si>
    <r>
      <rPr>
        <sz val="12"/>
        <color rgb="FFC00000"/>
        <rFont val="맑은 고딕"/>
        <family val="2"/>
        <charset val="129"/>
      </rPr>
      <t>만약</t>
    </r>
    <r>
      <rPr>
        <sz val="12"/>
        <color rgb="FFC00000"/>
        <rFont val="Calibri"/>
        <family val="2"/>
      </rPr>
      <t xml:space="preserve"> AVERAGE </t>
    </r>
    <r>
      <rPr>
        <sz val="12"/>
        <color rgb="FFC00000"/>
        <rFont val="맑은 고딕"/>
        <family val="2"/>
        <charset val="129"/>
      </rPr>
      <t>함수를</t>
    </r>
    <r>
      <rPr>
        <sz val="12"/>
        <color rgb="FFC00000"/>
        <rFont val="Calibri"/>
        <family val="2"/>
      </rPr>
      <t xml:space="preserve"> </t>
    </r>
    <r>
      <rPr>
        <sz val="12"/>
        <color rgb="FFC00000"/>
        <rFont val="맑은 고딕"/>
        <family val="2"/>
        <charset val="129"/>
      </rPr>
      <t>쓰면</t>
    </r>
    <r>
      <rPr>
        <sz val="12"/>
        <color rgb="FFC00000"/>
        <rFont val="Calibri"/>
        <family val="2"/>
      </rPr>
      <t xml:space="preserve">, </t>
    </r>
    <r>
      <rPr>
        <sz val="12"/>
        <color rgb="FFC00000"/>
        <rFont val="맑은 고딕"/>
        <family val="2"/>
        <charset val="129"/>
      </rPr>
      <t>엑셀은</t>
    </r>
    <r>
      <rPr>
        <sz val="12"/>
        <color rgb="FFC00000"/>
        <rFont val="Calibri"/>
        <family val="2"/>
      </rPr>
      <t xml:space="preserve"> </t>
    </r>
    <r>
      <rPr>
        <sz val="12"/>
        <color rgb="FFC00000"/>
        <rFont val="맑은 고딕"/>
        <family val="2"/>
        <charset val="129"/>
      </rPr>
      <t>금요일</t>
    </r>
    <r>
      <rPr>
        <sz val="12"/>
        <color rgb="FFC00000"/>
        <rFont val="Calibri"/>
        <family val="2"/>
      </rPr>
      <t>(3</t>
    </r>
    <r>
      <rPr>
        <sz val="12"/>
        <color rgb="FFC00000"/>
        <rFont val="맑은 고딕"/>
        <family val="2"/>
        <charset val="129"/>
      </rPr>
      <t>일</t>
    </r>
    <r>
      <rPr>
        <sz val="12"/>
        <color rgb="FFC00000"/>
        <rFont val="Calibri"/>
        <family val="2"/>
      </rPr>
      <t xml:space="preserve"> </t>
    </r>
    <r>
      <rPr>
        <sz val="12"/>
        <color rgb="FFC00000"/>
        <rFont val="맑은 고딕"/>
        <family val="2"/>
        <charset val="129"/>
      </rPr>
      <t>치</t>
    </r>
    <r>
      <rPr>
        <sz val="12"/>
        <color rgb="FFC00000"/>
        <rFont val="Calibri"/>
        <family val="2"/>
      </rPr>
      <t xml:space="preserve"> </t>
    </r>
    <r>
      <rPr>
        <sz val="12"/>
        <color rgb="FFC00000"/>
        <rFont val="맑은 고딕"/>
        <family val="2"/>
        <charset val="129"/>
      </rPr>
      <t>영향력</t>
    </r>
    <r>
      <rPr>
        <sz val="12"/>
        <color rgb="FFC00000"/>
        <rFont val="Calibri"/>
        <family val="2"/>
      </rPr>
      <t>)</t>
    </r>
    <r>
      <rPr>
        <sz val="12"/>
        <color rgb="FFC00000"/>
        <rFont val="맑은 고딕"/>
        <family val="2"/>
        <charset val="129"/>
      </rPr>
      <t>과</t>
    </r>
    <r>
      <rPr>
        <sz val="12"/>
        <color rgb="FFC00000"/>
        <rFont val="Calibri"/>
        <family val="2"/>
      </rPr>
      <t xml:space="preserve"> </t>
    </r>
    <r>
      <rPr>
        <sz val="12"/>
        <color rgb="FFC00000"/>
        <rFont val="맑은 고딕"/>
        <family val="2"/>
        <charset val="129"/>
      </rPr>
      <t>월요일</t>
    </r>
    <r>
      <rPr>
        <sz val="12"/>
        <color rgb="FFC00000"/>
        <rFont val="Calibri"/>
        <family val="2"/>
      </rPr>
      <t>(1</t>
    </r>
    <r>
      <rPr>
        <sz val="12"/>
        <color rgb="FFC00000"/>
        <rFont val="맑은 고딕"/>
        <family val="2"/>
        <charset val="129"/>
      </rPr>
      <t>일</t>
    </r>
    <r>
      <rPr>
        <sz val="12"/>
        <color rgb="FFC00000"/>
        <rFont val="Calibri"/>
        <family val="2"/>
      </rPr>
      <t xml:space="preserve"> </t>
    </r>
    <r>
      <rPr>
        <sz val="12"/>
        <color rgb="FFC00000"/>
        <rFont val="맑은 고딕"/>
        <family val="2"/>
        <charset val="129"/>
      </rPr>
      <t>치</t>
    </r>
    <r>
      <rPr>
        <sz val="12"/>
        <color rgb="FFC00000"/>
        <rFont val="Calibri"/>
        <family val="2"/>
      </rPr>
      <t xml:space="preserve"> </t>
    </r>
    <r>
      <rPr>
        <sz val="12"/>
        <color rgb="FFC00000"/>
        <rFont val="맑은 고딕"/>
        <family val="2"/>
        <charset val="129"/>
      </rPr>
      <t>영향력</t>
    </r>
    <r>
      <rPr>
        <sz val="12"/>
        <color rgb="FFC00000"/>
        <rFont val="Calibri"/>
        <family val="2"/>
      </rPr>
      <t>)</t>
    </r>
    <r>
      <rPr>
        <sz val="12"/>
        <color rgb="FFC00000"/>
        <rFont val="맑은 고딕"/>
        <family val="2"/>
        <charset val="129"/>
      </rPr>
      <t>을</t>
    </r>
    <r>
      <rPr>
        <sz val="12"/>
        <color rgb="FFC00000"/>
        <rFont val="Calibri"/>
        <family val="2"/>
      </rPr>
      <t xml:space="preserve"> </t>
    </r>
    <r>
      <rPr>
        <sz val="12"/>
        <color rgb="FFC00000"/>
        <rFont val="맑은 고딕"/>
        <family val="2"/>
        <charset val="129"/>
      </rPr>
      <t>똑같은</t>
    </r>
    <r>
      <rPr>
        <sz val="12"/>
        <color rgb="FFC00000"/>
        <rFont val="Calibri"/>
        <family val="2"/>
      </rPr>
      <t xml:space="preserve"> '</t>
    </r>
    <r>
      <rPr>
        <sz val="12"/>
        <color rgb="FFC00000"/>
        <rFont val="맑은 고딕"/>
        <family val="2"/>
        <charset val="129"/>
      </rPr>
      <t>데이터</t>
    </r>
    <r>
      <rPr>
        <sz val="12"/>
        <color rgb="FFC00000"/>
        <rFont val="Calibri"/>
        <family val="2"/>
      </rPr>
      <t xml:space="preserve"> 1</t>
    </r>
    <r>
      <rPr>
        <sz val="12"/>
        <color rgb="FFC00000"/>
        <rFont val="맑은 고딕"/>
        <family val="2"/>
        <charset val="129"/>
      </rPr>
      <t>개</t>
    </r>
    <r>
      <rPr>
        <sz val="12"/>
        <color rgb="FFC00000"/>
        <rFont val="Calibri"/>
        <family val="2"/>
      </rPr>
      <t>'</t>
    </r>
    <r>
      <rPr>
        <sz val="12"/>
        <color rgb="FFC00000"/>
        <rFont val="맑은 고딕"/>
        <family val="2"/>
        <charset val="129"/>
      </rPr>
      <t>로</t>
    </r>
    <r>
      <rPr>
        <sz val="12"/>
        <color rgb="FFC00000"/>
        <rFont val="Calibri"/>
        <family val="2"/>
      </rPr>
      <t xml:space="preserve"> </t>
    </r>
    <r>
      <rPr>
        <sz val="12"/>
        <color rgb="FFC00000"/>
        <rFont val="맑은 고딕"/>
        <family val="2"/>
        <charset val="129"/>
      </rPr>
      <t xml:space="preserve">취급해버림(산술평균). 하지만 영업일을 생각했을때 토요일, 일요일은 쉬기 때문에 금요일 금리가 3일동안 유지됨으로 </t>
    </r>
    <r>
      <rPr>
        <sz val="12"/>
        <color rgb="FFC00000"/>
        <rFont val="Calibri"/>
        <family val="2"/>
      </rPr>
      <t>3</t>
    </r>
    <r>
      <rPr>
        <sz val="12"/>
        <color rgb="FFC00000"/>
        <rFont val="맑은 고딕"/>
        <family val="2"/>
        <charset val="129"/>
      </rPr>
      <t>일</t>
    </r>
    <r>
      <rPr>
        <sz val="12"/>
        <color rgb="FFC00000"/>
        <rFont val="Calibri"/>
        <family val="2"/>
      </rPr>
      <t xml:space="preserve"> </t>
    </r>
    <r>
      <rPr>
        <sz val="12"/>
        <color rgb="FFC00000"/>
        <rFont val="맑은 고딕"/>
        <family val="2"/>
        <charset val="129"/>
      </rPr>
      <t>동안</t>
    </r>
    <r>
      <rPr>
        <sz val="12"/>
        <color rgb="FFC00000"/>
        <rFont val="Calibri"/>
        <family val="2"/>
      </rPr>
      <t xml:space="preserve"> </t>
    </r>
    <r>
      <rPr>
        <sz val="12"/>
        <color rgb="FFC00000"/>
        <rFont val="맑은 고딕"/>
        <family val="2"/>
        <charset val="129"/>
      </rPr>
      <t>유지된</t>
    </r>
    <r>
      <rPr>
        <sz val="12"/>
        <color rgb="FFC00000"/>
        <rFont val="Calibri"/>
        <family val="2"/>
      </rPr>
      <t xml:space="preserve"> </t>
    </r>
    <r>
      <rPr>
        <sz val="12"/>
        <color rgb="FFC00000"/>
        <rFont val="맑은 고딕"/>
        <family val="2"/>
        <charset val="129"/>
      </rPr>
      <t>금리에</t>
    </r>
    <r>
      <rPr>
        <sz val="12"/>
        <color rgb="FFC00000"/>
        <rFont val="Calibri"/>
        <family val="2"/>
      </rPr>
      <t xml:space="preserve"> </t>
    </r>
    <r>
      <rPr>
        <sz val="12"/>
        <color rgb="FFC00000"/>
        <rFont val="맑은 고딕"/>
        <family val="2"/>
        <charset val="129"/>
      </rPr>
      <t>더</t>
    </r>
    <r>
      <rPr>
        <sz val="12"/>
        <color rgb="FFC00000"/>
        <rFont val="Calibri"/>
        <family val="2"/>
      </rPr>
      <t xml:space="preserve"> </t>
    </r>
    <r>
      <rPr>
        <sz val="12"/>
        <color rgb="FFC00000"/>
        <rFont val="맑은 고딕"/>
        <family val="2"/>
        <charset val="129"/>
      </rPr>
      <t>큰</t>
    </r>
    <r>
      <rPr>
        <sz val="12"/>
        <color rgb="FFC00000"/>
        <rFont val="Calibri"/>
        <family val="2"/>
      </rPr>
      <t xml:space="preserve"> </t>
    </r>
    <r>
      <rPr>
        <sz val="12"/>
        <color rgb="FFC00000"/>
        <rFont val="맑은 고딕"/>
        <family val="2"/>
        <charset val="129"/>
      </rPr>
      <t>무게</t>
    </r>
    <r>
      <rPr>
        <sz val="12"/>
        <color rgb="FFC00000"/>
        <rFont val="Calibri"/>
        <family val="2"/>
      </rPr>
      <t>(</t>
    </r>
    <r>
      <rPr>
        <sz val="12"/>
        <color rgb="FFC00000"/>
        <rFont val="맑은 고딕"/>
        <family val="2"/>
        <charset val="129"/>
      </rPr>
      <t>가중치</t>
    </r>
    <r>
      <rPr>
        <sz val="12"/>
        <color rgb="FFC00000"/>
        <rFont val="Calibri"/>
        <family val="2"/>
      </rPr>
      <t>)</t>
    </r>
    <r>
      <rPr>
        <sz val="12"/>
        <color rgb="FFC00000"/>
        <rFont val="맑은 고딕"/>
        <family val="2"/>
        <charset val="129"/>
      </rPr>
      <t>를 둬야 정확함</t>
    </r>
    <phoneticPr fontId="1" type="noConversion"/>
  </si>
  <si>
    <t>그래프 모양이 이상한데 도저히 더 못하겠어요ㅠㅠ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</si>
</sst>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_);[Red]\(0.00\)"/>
    <numFmt numFmtId="177" formatCode="0_);[Red]\(0\)"/>
    <numFmt numFmtId="178" formatCode="0.000_);[Red]\(0.000\)"/>
    <numFmt numFmtId="179" formatCode="0.0000_);[Red]\(0.0000\)"/>
    <numFmt numFmtId="180" formatCode="0.00000_);[Red]\(0.00000\)"/>
    <numFmt numFmtId="181" formatCode="0.000000_);[Red]\(0.000000\)"/>
    <numFmt numFmtId="182" formatCode="0.000%"/>
    <numFmt numFmtId="183" formatCode="0.000"/>
  </numFmts>
  <fonts count="1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1"/>
      <name val="Calibri"/>
      <family val="2"/>
    </font>
    <font>
      <sz val="12"/>
      <color theme="1"/>
      <name val="Malgun Gothic"/>
      <family val="2"/>
      <charset val="129"/>
    </font>
    <font>
      <b/>
      <sz val="12"/>
      <color theme="1"/>
      <name val="Calibri"/>
      <family val="2"/>
    </font>
    <font>
      <b/>
      <sz val="12"/>
      <color theme="1"/>
      <name val="Malgun Gothic"/>
      <family val="2"/>
      <charset val="129"/>
    </font>
    <font>
      <i/>
      <sz val="12"/>
      <color theme="1"/>
      <name val="Calibri"/>
      <family val="2"/>
    </font>
    <font>
      <i/>
      <sz val="12"/>
      <color rgb="FF0070C0"/>
      <name val="Calibri"/>
      <family val="2"/>
    </font>
    <font>
      <b/>
      <i/>
      <sz val="12"/>
      <color theme="1"/>
      <name val="Calibri"/>
      <family val="2"/>
    </font>
    <font>
      <sz val="12"/>
      <color rgb="FFC00000"/>
      <name val="맑은 고딕"/>
      <family val="2"/>
      <charset val="129"/>
    </font>
    <font>
      <sz val="12"/>
      <color rgb="FFC00000"/>
      <name val="Calibri"/>
      <family val="2"/>
    </font>
    <font>
      <sz val="12"/>
      <color rgb="FFC00000"/>
      <name val="Calibri"/>
      <family val="2"/>
      <charset val="129"/>
    </font>
    <font>
      <sz val="12"/>
      <color rgb="FFC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  <xf numFmtId="0" fontId="4" fillId="2" borderId="0" xfId="0" applyFont="1" applyFill="1">
      <alignment vertical="center"/>
    </xf>
    <xf numFmtId="14" fontId="4" fillId="2" borderId="0" xfId="0" applyNumberFormat="1" applyFont="1" applyFill="1">
      <alignment vertical="center"/>
    </xf>
    <xf numFmtId="176" fontId="4" fillId="2" borderId="0" xfId="0" applyNumberFormat="1" applyFont="1" applyFill="1">
      <alignment vertical="center"/>
    </xf>
    <xf numFmtId="177" fontId="4" fillId="2" borderId="0" xfId="0" applyNumberFormat="1" applyFont="1" applyFill="1">
      <alignment vertical="center"/>
    </xf>
    <xf numFmtId="178" fontId="4" fillId="2" borderId="0" xfId="0" applyNumberFormat="1" applyFont="1" applyFill="1">
      <alignment vertical="center"/>
    </xf>
    <xf numFmtId="179" fontId="4" fillId="2" borderId="0" xfId="0" applyNumberFormat="1" applyFont="1" applyFill="1">
      <alignment vertical="center"/>
    </xf>
    <xf numFmtId="180" fontId="4" fillId="2" borderId="0" xfId="0" applyNumberFormat="1" applyFont="1" applyFill="1">
      <alignment vertical="center"/>
    </xf>
    <xf numFmtId="181" fontId="4" fillId="2" borderId="0" xfId="0" applyNumberFormat="1" applyFont="1" applyFill="1">
      <alignment vertical="center"/>
    </xf>
    <xf numFmtId="177" fontId="0" fillId="0" borderId="0" xfId="0" applyNumberFormat="1">
      <alignment vertical="center"/>
    </xf>
    <xf numFmtId="0" fontId="4" fillId="2" borderId="0" xfId="0" quotePrefix="1" applyFont="1" applyFill="1">
      <alignment vertical="center"/>
    </xf>
    <xf numFmtId="0" fontId="6" fillId="2" borderId="0" xfId="0" applyFont="1" applyFill="1">
      <alignment vertical="center"/>
    </xf>
    <xf numFmtId="181" fontId="6" fillId="2" borderId="0" xfId="0" applyNumberFormat="1" applyFont="1" applyFill="1">
      <alignment vertical="center"/>
    </xf>
    <xf numFmtId="176" fontId="6" fillId="2" borderId="0" xfId="0" applyNumberFormat="1" applyFont="1" applyFill="1">
      <alignment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7" fontId="6" fillId="2" borderId="0" xfId="0" applyNumberFormat="1" applyFont="1" applyFill="1">
      <alignment vertical="center"/>
    </xf>
    <xf numFmtId="14" fontId="6" fillId="2" borderId="0" xfId="0" applyNumberFormat="1" applyFont="1" applyFill="1">
      <alignment vertical="center"/>
    </xf>
    <xf numFmtId="0" fontId="8" fillId="2" borderId="0" xfId="0" applyFont="1" applyFill="1">
      <alignment vertical="center"/>
    </xf>
    <xf numFmtId="0" fontId="9" fillId="2" borderId="0" xfId="0" applyFont="1" applyFill="1">
      <alignment vertical="center"/>
    </xf>
    <xf numFmtId="0" fontId="8" fillId="2" borderId="0" xfId="0" applyFont="1" applyFill="1" applyAlignment="1">
      <alignment horizontal="center" vertical="center"/>
    </xf>
    <xf numFmtId="182" fontId="4" fillId="2" borderId="0" xfId="1" applyNumberFormat="1" applyFont="1" applyFill="1">
      <alignment vertical="center"/>
    </xf>
    <xf numFmtId="178" fontId="10" fillId="2" borderId="0" xfId="0" applyNumberFormat="1" applyFont="1" applyFill="1">
      <alignment vertical="center"/>
    </xf>
    <xf numFmtId="182" fontId="10" fillId="2" borderId="0" xfId="1" applyNumberFormat="1" applyFont="1" applyFill="1">
      <alignment vertical="center"/>
    </xf>
    <xf numFmtId="178" fontId="6" fillId="2" borderId="0" xfId="0" applyNumberFormat="1" applyFont="1" applyFill="1">
      <alignment vertical="center"/>
    </xf>
    <xf numFmtId="182" fontId="6" fillId="2" borderId="0" xfId="1" applyNumberFormat="1" applyFont="1" applyFill="1">
      <alignment vertical="center"/>
    </xf>
    <xf numFmtId="183" fontId="4" fillId="2" borderId="0" xfId="0" applyNumberFormat="1" applyFont="1" applyFill="1">
      <alignment vertical="center"/>
    </xf>
    <xf numFmtId="0" fontId="3" fillId="2" borderId="0" xfId="0" applyFont="1" applyFill="1">
      <alignment vertical="center"/>
    </xf>
    <xf numFmtId="179" fontId="0" fillId="0" borderId="0" xfId="0" applyNumberFormat="1">
      <alignment vertical="center"/>
    </xf>
    <xf numFmtId="0" fontId="13" fillId="2" borderId="0" xfId="0" applyFont="1" applyFill="1">
      <alignment vertical="center"/>
    </xf>
    <xf numFmtId="0" fontId="14" fillId="2" borderId="0" xfId="0" applyFont="1" applyFill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'OIS vs Treasury'!$C$2</c:f>
              <c:strCache>
                <c:ptCount val="1"/>
                <c:pt idx="0">
                  <c:v>OIS_Par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'OIS vs Treasury'!$C$3:$C$42</c:f>
              <c:numCache>
                <c:formatCode>General</c:formatCode>
                <c:ptCount val="40"/>
                <c:pt idx="0">
                  <c:v>3.6534696111140748E-2</c:v>
                </c:pt>
                <c:pt idx="1">
                  <c:v>3.6228089330315606E-2</c:v>
                </c:pt>
                <c:pt idx="2">
                  <c:v>3.5723704512331443E-2</c:v>
                </c:pt>
                <c:pt idx="3">
                  <c:v>3.524E-2</c:v>
                </c:pt>
                <c:pt idx="4">
                  <c:v>3.5022499999999998E-2</c:v>
                </c:pt>
                <c:pt idx="5">
                  <c:v>3.4805000000000003E-2</c:v>
                </c:pt>
                <c:pt idx="6">
                  <c:v>3.45875E-2</c:v>
                </c:pt>
                <c:pt idx="7">
                  <c:v>3.4369999999999998E-2</c:v>
                </c:pt>
                <c:pt idx="8">
                  <c:v>3.4442500000000001E-2</c:v>
                </c:pt>
                <c:pt idx="9">
                  <c:v>3.4515000000000004E-2</c:v>
                </c:pt>
                <c:pt idx="10">
                  <c:v>3.45875E-2</c:v>
                </c:pt>
                <c:pt idx="11">
                  <c:v>3.4660000000000003E-2</c:v>
                </c:pt>
                <c:pt idx="12">
                  <c:v>3.4801250000000006E-2</c:v>
                </c:pt>
                <c:pt idx="13">
                  <c:v>3.4942500000000001E-2</c:v>
                </c:pt>
                <c:pt idx="14">
                  <c:v>3.5083750000000004E-2</c:v>
                </c:pt>
                <c:pt idx="15">
                  <c:v>3.5225000000000006E-2</c:v>
                </c:pt>
                <c:pt idx="16">
                  <c:v>3.5366250000000002E-2</c:v>
                </c:pt>
                <c:pt idx="17">
                  <c:v>3.5507500000000004E-2</c:v>
                </c:pt>
                <c:pt idx="18">
                  <c:v>3.564875E-2</c:v>
                </c:pt>
                <c:pt idx="19">
                  <c:v>3.5790000000000002E-2</c:v>
                </c:pt>
                <c:pt idx="20">
                  <c:v>3.595375E-2</c:v>
                </c:pt>
                <c:pt idx="21">
                  <c:v>3.6117500000000004E-2</c:v>
                </c:pt>
                <c:pt idx="22">
                  <c:v>3.6281250000000001E-2</c:v>
                </c:pt>
                <c:pt idx="23">
                  <c:v>3.6445000000000005E-2</c:v>
                </c:pt>
                <c:pt idx="24">
                  <c:v>3.6608750000000002E-2</c:v>
                </c:pt>
                <c:pt idx="25">
                  <c:v>3.67725E-2</c:v>
                </c:pt>
                <c:pt idx="26">
                  <c:v>3.6936250000000004E-2</c:v>
                </c:pt>
                <c:pt idx="27">
                  <c:v>3.7100000000000001E-2</c:v>
                </c:pt>
                <c:pt idx="28">
                  <c:v>3.7244166666666668E-2</c:v>
                </c:pt>
                <c:pt idx="29">
                  <c:v>3.7388333333333336E-2</c:v>
                </c:pt>
                <c:pt idx="30">
                  <c:v>3.7532500000000003E-2</c:v>
                </c:pt>
                <c:pt idx="31">
                  <c:v>3.7676666666666671E-2</c:v>
                </c:pt>
                <c:pt idx="32">
                  <c:v>3.7820833333333338E-2</c:v>
                </c:pt>
                <c:pt idx="33">
                  <c:v>3.7964999999999999E-2</c:v>
                </c:pt>
                <c:pt idx="34">
                  <c:v>3.8109166666666666E-2</c:v>
                </c:pt>
                <c:pt idx="35">
                  <c:v>3.8253333333333334E-2</c:v>
                </c:pt>
                <c:pt idx="36">
                  <c:v>3.8397500000000001E-2</c:v>
                </c:pt>
                <c:pt idx="37">
                  <c:v>3.8541666666666669E-2</c:v>
                </c:pt>
                <c:pt idx="38">
                  <c:v>3.8685833333333336E-2</c:v>
                </c:pt>
                <c:pt idx="39">
                  <c:v>3.8830000000000003E-2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9B-41C9-B00B-6BA59CDFF90E}"/>
            </c:ext>
          </c:extLst>
        </c:ser>
        <c:ser>
          <c:idx val="1"/>
          <c:order val="1"/>
          <c:tx>
            <c:strRef>
              <c:f>'OIS vs Treasury'!$D$2</c:f>
              <c:strCache>
                <c:ptCount val="1"/>
                <c:pt idx="0">
                  <c:v>Treasury_Par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'OIS vs Treasury'!$D$3:$D$42</c:f>
              <c:numCache>
                <c:formatCode>General</c:formatCode>
                <c:ptCount val="40"/>
                <c:pt idx="0">
                  <c:v>3.6999999999999998E-2</c:v>
                </c:pt>
                <c:pt idx="1">
                  <c:v>3.61E-2</c:v>
                </c:pt>
                <c:pt idx="2">
                  <c:v>3.5699999999999996E-2</c:v>
                </c:pt>
                <c:pt idx="3">
                  <c:v>3.5299999999999998E-2</c:v>
                </c:pt>
                <c:pt idx="4">
                  <c:v>3.5475E-2</c:v>
                </c:pt>
                <c:pt idx="5">
                  <c:v>3.5650000000000001E-2</c:v>
                </c:pt>
                <c:pt idx="6">
                  <c:v>3.5824999999999996E-2</c:v>
                </c:pt>
                <c:pt idx="7">
                  <c:v>3.5999999999999997E-2</c:v>
                </c:pt>
                <c:pt idx="8">
                  <c:v>3.6174999999999999E-2</c:v>
                </c:pt>
                <c:pt idx="9">
                  <c:v>3.635E-2</c:v>
                </c:pt>
                <c:pt idx="10">
                  <c:v>3.6525000000000002E-2</c:v>
                </c:pt>
                <c:pt idx="11">
                  <c:v>3.6700000000000003E-2</c:v>
                </c:pt>
                <c:pt idx="12">
                  <c:v>3.6912500000000001E-2</c:v>
                </c:pt>
                <c:pt idx="13">
                  <c:v>3.7125000000000005E-2</c:v>
                </c:pt>
                <c:pt idx="14">
                  <c:v>3.7337500000000003E-2</c:v>
                </c:pt>
                <c:pt idx="15">
                  <c:v>3.755E-2</c:v>
                </c:pt>
                <c:pt idx="16">
                  <c:v>3.7762499999999997E-2</c:v>
                </c:pt>
                <c:pt idx="17">
                  <c:v>3.7974999999999995E-2</c:v>
                </c:pt>
                <c:pt idx="18">
                  <c:v>3.8187499999999999E-2</c:v>
                </c:pt>
                <c:pt idx="19">
                  <c:v>3.8399999999999997E-2</c:v>
                </c:pt>
                <c:pt idx="20">
                  <c:v>3.8637499999999991E-2</c:v>
                </c:pt>
                <c:pt idx="21">
                  <c:v>3.8874999999999993E-2</c:v>
                </c:pt>
                <c:pt idx="22">
                  <c:v>3.9112499999999994E-2</c:v>
                </c:pt>
                <c:pt idx="23">
                  <c:v>3.9349999999999996E-2</c:v>
                </c:pt>
                <c:pt idx="24">
                  <c:v>3.9587499999999998E-2</c:v>
                </c:pt>
                <c:pt idx="25">
                  <c:v>3.9824999999999999E-2</c:v>
                </c:pt>
                <c:pt idx="26">
                  <c:v>4.0062500000000001E-2</c:v>
                </c:pt>
                <c:pt idx="27">
                  <c:v>4.0300000000000002E-2</c:v>
                </c:pt>
                <c:pt idx="28">
                  <c:v>4.0474999999999997E-2</c:v>
                </c:pt>
                <c:pt idx="29">
                  <c:v>4.0649999999999992E-2</c:v>
                </c:pt>
                <c:pt idx="30">
                  <c:v>4.0824999999999993E-2</c:v>
                </c:pt>
                <c:pt idx="31">
                  <c:v>4.0999999999999995E-2</c:v>
                </c:pt>
                <c:pt idx="32">
                  <c:v>4.1174999999999996E-2</c:v>
                </c:pt>
                <c:pt idx="33">
                  <c:v>4.1349999999999998E-2</c:v>
                </c:pt>
                <c:pt idx="34">
                  <c:v>4.1524999999999992E-2</c:v>
                </c:pt>
                <c:pt idx="35">
                  <c:v>4.1699999999999994E-2</c:v>
                </c:pt>
                <c:pt idx="36">
                  <c:v>4.1874999999999996E-2</c:v>
                </c:pt>
                <c:pt idx="37">
                  <c:v>4.204999999999999E-2</c:v>
                </c:pt>
                <c:pt idx="38">
                  <c:v>4.2224999999999992E-2</c:v>
                </c:pt>
                <c:pt idx="39">
                  <c:v>4.24E-2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9B-41C9-B00B-6BA59CDFF90E}"/>
            </c:ext>
          </c:extLst>
        </c:ser>
        <c:ser>
          <c:idx val="2"/>
          <c:order val="2"/>
          <c:tx>
            <c:strRef>
              <c:f>'OIS vs Treasury'!$E$2</c:f>
              <c:strCache>
                <c:ptCount val="1"/>
                <c:pt idx="0">
                  <c:v>Diff(Bond-Swap Spread)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'OIS vs Treasury'!$E$3:$E$42</c:f>
              <c:numCache>
                <c:formatCode>General</c:formatCode>
                <c:ptCount val="40"/>
                <c:pt idx="0">
                  <c:v>-4.6530388885925034E-4</c:v>
                </c:pt>
                <c:pt idx="1">
                  <c:v>1.280893303156061E-4</c:v>
                </c:pt>
                <c:pt idx="2">
                  <c:v>2.3704512331447491E-5</c:v>
                </c:pt>
                <c:pt idx="3">
                  <c:v>-5.9999999999997555E-5</c:v>
                </c:pt>
                <c:pt idx="4">
                  <c:v>-4.5250000000000151E-4</c:v>
                </c:pt>
                <c:pt idx="5">
                  <c:v>-8.4499999999999853E-4</c:v>
                </c:pt>
                <c:pt idx="6">
                  <c:v>-1.2374999999999955E-3</c:v>
                </c:pt>
                <c:pt idx="7">
                  <c:v>-1.6299999999999995E-3</c:v>
                </c:pt>
                <c:pt idx="8">
                  <c:v>-1.7324999999999979E-3</c:v>
                </c:pt>
                <c:pt idx="9">
                  <c:v>-1.8349999999999964E-3</c:v>
                </c:pt>
                <c:pt idx="10">
                  <c:v>-1.9375000000000017E-3</c:v>
                </c:pt>
                <c:pt idx="11">
                  <c:v>-2.0400000000000001E-3</c:v>
                </c:pt>
                <c:pt idx="12">
                  <c:v>-2.1112499999999951E-3</c:v>
                </c:pt>
                <c:pt idx="13">
                  <c:v>-2.1825000000000039E-3</c:v>
                </c:pt>
                <c:pt idx="14">
                  <c:v>-2.2537499999999988E-3</c:v>
                </c:pt>
                <c:pt idx="15">
                  <c:v>-2.3249999999999937E-3</c:v>
                </c:pt>
                <c:pt idx="16">
                  <c:v>-2.3962499999999956E-3</c:v>
                </c:pt>
                <c:pt idx="17">
                  <c:v>-2.4674999999999905E-3</c:v>
                </c:pt>
                <c:pt idx="18">
                  <c:v>-2.5387499999999993E-3</c:v>
                </c:pt>
                <c:pt idx="19">
                  <c:v>-2.6099999999999943E-3</c:v>
                </c:pt>
                <c:pt idx="20">
                  <c:v>-2.6837499999999917E-3</c:v>
                </c:pt>
                <c:pt idx="21">
                  <c:v>-2.7574999999999891E-3</c:v>
                </c:pt>
                <c:pt idx="22">
                  <c:v>-2.8312499999999935E-3</c:v>
                </c:pt>
                <c:pt idx="23">
                  <c:v>-2.9049999999999909E-3</c:v>
                </c:pt>
                <c:pt idx="24">
                  <c:v>-2.9787499999999953E-3</c:v>
                </c:pt>
                <c:pt idx="25">
                  <c:v>-3.0524999999999997E-3</c:v>
                </c:pt>
                <c:pt idx="26">
                  <c:v>-3.1262499999999971E-3</c:v>
                </c:pt>
                <c:pt idx="27">
                  <c:v>-3.2000000000000015E-3</c:v>
                </c:pt>
                <c:pt idx="28">
                  <c:v>-3.2308333333333286E-3</c:v>
                </c:pt>
                <c:pt idx="29">
                  <c:v>-3.2616666666666558E-3</c:v>
                </c:pt>
                <c:pt idx="30">
                  <c:v>-3.2924999999999899E-3</c:v>
                </c:pt>
                <c:pt idx="31">
                  <c:v>-3.323333333333324E-3</c:v>
                </c:pt>
                <c:pt idx="32">
                  <c:v>-3.3541666666666581E-3</c:v>
                </c:pt>
                <c:pt idx="33">
                  <c:v>-3.3849999999999991E-3</c:v>
                </c:pt>
                <c:pt idx="34">
                  <c:v>-3.4158333333333263E-3</c:v>
                </c:pt>
                <c:pt idx="35">
                  <c:v>-3.4466666666666604E-3</c:v>
                </c:pt>
                <c:pt idx="36">
                  <c:v>-3.4774999999999945E-3</c:v>
                </c:pt>
                <c:pt idx="37">
                  <c:v>-3.5083333333333216E-3</c:v>
                </c:pt>
                <c:pt idx="38">
                  <c:v>-3.5391666666666557E-3</c:v>
                </c:pt>
                <c:pt idx="39">
                  <c:v>-3.5699999999999968E-3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9B-41C9-B00B-6BA59CDFF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1044912"/>
        <c:axId val="2131045392"/>
      </c:lineChart>
      <c:catAx>
        <c:axId val="213104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31045392"/>
        <c:crosses val="autoZero"/>
        <c:auto val="1"/>
        <c:lblAlgn val="ctr"/>
        <c:lblOffset val="100"/>
        <c:noMultiLvlLbl val="0"/>
      </c:catAx>
      <c:valAx>
        <c:axId val="213104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3104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'OIS vs Treasury'!$L$2</c:f>
              <c:strCache>
                <c:ptCount val="1"/>
                <c:pt idx="0">
                  <c:v>OIS_Forward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'OIS vs Treasury'!$L$3:$L$42</c:f>
              <c:numCache>
                <c:formatCode>General</c:formatCode>
                <c:ptCount val="40"/>
                <c:pt idx="0">
                  <c:v>3.6534696111140748E-2</c:v>
                </c:pt>
                <c:pt idx="1">
                  <c:v>3.5921482549490465E-2</c:v>
                </c:pt>
                <c:pt idx="2">
                  <c:v>3.471493487636311E-2</c:v>
                </c:pt>
                <c:pt idx="3">
                  <c:v>3.1362022040407944E-2</c:v>
                </c:pt>
                <c:pt idx="4">
                  <c:v>3.2922923965392065E-2</c:v>
                </c:pt>
                <c:pt idx="5">
                  <c:v>3.2922923965391898E-2</c:v>
                </c:pt>
                <c:pt idx="6">
                  <c:v>3.2922923965391621E-2</c:v>
                </c:pt>
                <c:pt idx="7">
                  <c:v>3.2922923965391954E-2</c:v>
                </c:pt>
                <c:pt idx="8">
                  <c:v>3.4662750833730716E-2</c:v>
                </c:pt>
                <c:pt idx="9">
                  <c:v>3.4662750833730549E-2</c:v>
                </c:pt>
                <c:pt idx="10">
                  <c:v>3.4662750833730771E-2</c:v>
                </c:pt>
                <c:pt idx="11">
                  <c:v>3.4662750833730882E-2</c:v>
                </c:pt>
                <c:pt idx="12">
                  <c:v>3.7194253006284039E-2</c:v>
                </c:pt>
                <c:pt idx="13">
                  <c:v>3.7194253006284206E-2</c:v>
                </c:pt>
                <c:pt idx="14">
                  <c:v>3.7194253006283984E-2</c:v>
                </c:pt>
                <c:pt idx="15">
                  <c:v>3.7194253006283762E-2</c:v>
                </c:pt>
                <c:pt idx="16">
                  <c:v>3.7194253006284206E-2</c:v>
                </c:pt>
                <c:pt idx="17">
                  <c:v>3.7194253006283984E-2</c:v>
                </c:pt>
                <c:pt idx="18">
                  <c:v>3.7194253006284317E-2</c:v>
                </c:pt>
                <c:pt idx="19">
                  <c:v>3.7194253006284206E-2</c:v>
                </c:pt>
                <c:pt idx="20">
                  <c:v>3.9836056309014101E-2</c:v>
                </c:pt>
                <c:pt idx="21">
                  <c:v>3.9836056309014323E-2</c:v>
                </c:pt>
                <c:pt idx="22">
                  <c:v>3.9836056309014212E-2</c:v>
                </c:pt>
                <c:pt idx="23">
                  <c:v>3.9836056309014323E-2</c:v>
                </c:pt>
                <c:pt idx="24">
                  <c:v>3.9836056309014323E-2</c:v>
                </c:pt>
                <c:pt idx="25">
                  <c:v>3.983605630901399E-2</c:v>
                </c:pt>
                <c:pt idx="26">
                  <c:v>3.983605630901399E-2</c:v>
                </c:pt>
                <c:pt idx="27">
                  <c:v>3.9836056309014323E-2</c:v>
                </c:pt>
                <c:pt idx="28">
                  <c:v>4.2822008403677447E-2</c:v>
                </c:pt>
                <c:pt idx="29">
                  <c:v>4.2822008403677891E-2</c:v>
                </c:pt>
                <c:pt idx="30">
                  <c:v>4.2822008403677891E-2</c:v>
                </c:pt>
                <c:pt idx="31">
                  <c:v>4.2822008403677891E-2</c:v>
                </c:pt>
                <c:pt idx="32">
                  <c:v>4.2822008403677891E-2</c:v>
                </c:pt>
                <c:pt idx="33">
                  <c:v>4.2822008403677891E-2</c:v>
                </c:pt>
                <c:pt idx="34">
                  <c:v>4.2822008403677669E-2</c:v>
                </c:pt>
                <c:pt idx="35">
                  <c:v>4.2822008403677447E-2</c:v>
                </c:pt>
                <c:pt idx="36">
                  <c:v>4.2822008403677669E-2</c:v>
                </c:pt>
                <c:pt idx="37">
                  <c:v>4.2822008403677891E-2</c:v>
                </c:pt>
                <c:pt idx="38">
                  <c:v>4.2822008403677669E-2</c:v>
                </c:pt>
                <c:pt idx="39">
                  <c:v>4.2822008403677891E-2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D7-4924-8DDB-54FAEB413FB0}"/>
            </c:ext>
          </c:extLst>
        </c:ser>
        <c:ser>
          <c:idx val="1"/>
          <c:order val="1"/>
          <c:tx>
            <c:strRef>
              <c:f>'OIS vs Treasury'!$M$2</c:f>
              <c:strCache>
                <c:ptCount val="1"/>
                <c:pt idx="0">
                  <c:v>Treasury_Forward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'OIS vs Treasury'!$M$3:$M$42</c:f>
              <c:numCache>
                <c:formatCode>General</c:formatCode>
                <c:ptCount val="40"/>
                <c:pt idx="0">
                  <c:v>3.6661913369446707E-2</c:v>
                </c:pt>
                <c:pt idx="1">
                  <c:v>3.4894217973512921E-2</c:v>
                </c:pt>
                <c:pt idx="2">
                  <c:v>3.4192255190848508E-2</c:v>
                </c:pt>
                <c:pt idx="3">
                  <c:v>3.4192255190848342E-2</c:v>
                </c:pt>
                <c:pt idx="4">
                  <c:v>3.6392421676476994E-2</c:v>
                </c:pt>
                <c:pt idx="5">
                  <c:v>3.6392421676477271E-2</c:v>
                </c:pt>
                <c:pt idx="6">
                  <c:v>3.6392421676477021E-2</c:v>
                </c:pt>
                <c:pt idx="7">
                  <c:v>3.6392421676477077E-2</c:v>
                </c:pt>
                <c:pt idx="8">
                  <c:v>3.7820099885832292E-2</c:v>
                </c:pt>
                <c:pt idx="9">
                  <c:v>3.7820099885832015E-2</c:v>
                </c:pt>
                <c:pt idx="10">
                  <c:v>3.782009988583207E-2</c:v>
                </c:pt>
                <c:pt idx="11">
                  <c:v>3.7820099885832292E-2</c:v>
                </c:pt>
                <c:pt idx="12">
                  <c:v>4.0792570998974431E-2</c:v>
                </c:pt>
                <c:pt idx="13">
                  <c:v>4.0792570998974653E-2</c:v>
                </c:pt>
                <c:pt idx="14">
                  <c:v>4.0792570998974487E-2</c:v>
                </c:pt>
                <c:pt idx="15">
                  <c:v>4.0792570998974931E-2</c:v>
                </c:pt>
                <c:pt idx="16">
                  <c:v>4.079257099897482E-2</c:v>
                </c:pt>
                <c:pt idx="17">
                  <c:v>4.0792570998974598E-2</c:v>
                </c:pt>
                <c:pt idx="18">
                  <c:v>4.079257099897482E-2</c:v>
                </c:pt>
                <c:pt idx="19">
                  <c:v>4.0792570998974598E-2</c:v>
                </c:pt>
                <c:pt idx="20">
                  <c:v>4.5284697240393412E-2</c:v>
                </c:pt>
                <c:pt idx="21">
                  <c:v>4.5284697240393523E-2</c:v>
                </c:pt>
                <c:pt idx="22">
                  <c:v>4.5284697240393301E-2</c:v>
                </c:pt>
                <c:pt idx="23">
                  <c:v>4.5284697240393523E-2</c:v>
                </c:pt>
                <c:pt idx="24">
                  <c:v>4.5284697240393634E-2</c:v>
                </c:pt>
                <c:pt idx="25">
                  <c:v>4.5284697240393301E-2</c:v>
                </c:pt>
                <c:pt idx="26">
                  <c:v>4.5284697240393301E-2</c:v>
                </c:pt>
                <c:pt idx="27">
                  <c:v>4.5284697240393301E-2</c:v>
                </c:pt>
                <c:pt idx="28">
                  <c:v>4.795318788454539E-2</c:v>
                </c:pt>
                <c:pt idx="29">
                  <c:v>4.795318788454539E-2</c:v>
                </c:pt>
                <c:pt idx="30">
                  <c:v>4.7953187884544946E-2</c:v>
                </c:pt>
                <c:pt idx="31">
                  <c:v>4.795318788454539E-2</c:v>
                </c:pt>
                <c:pt idx="32">
                  <c:v>4.7953187884545168E-2</c:v>
                </c:pt>
                <c:pt idx="33">
                  <c:v>4.7953187884545168E-2</c:v>
                </c:pt>
                <c:pt idx="34">
                  <c:v>4.7953187884544946E-2</c:v>
                </c:pt>
                <c:pt idx="35">
                  <c:v>4.7953187884545612E-2</c:v>
                </c:pt>
                <c:pt idx="36">
                  <c:v>4.7953187884545168E-2</c:v>
                </c:pt>
                <c:pt idx="37">
                  <c:v>4.7953187884545168E-2</c:v>
                </c:pt>
                <c:pt idx="38">
                  <c:v>4.7953187884545612E-2</c:v>
                </c:pt>
                <c:pt idx="39">
                  <c:v>4.7953187884544946E-2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D7-4924-8DDB-54FAEB413FB0}"/>
            </c:ext>
          </c:extLst>
        </c:ser>
        <c:ser>
          <c:idx val="2"/>
          <c:order val="2"/>
          <c:tx>
            <c:strRef>
              <c:f>'OIS vs Treasury'!$N$2</c:f>
              <c:strCache>
                <c:ptCount val="1"/>
                <c:pt idx="0">
                  <c:v>Diff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'OIS vs Treasury'!$N$3:$N$42</c:f>
              <c:numCache>
                <c:formatCode>General</c:formatCode>
                <c:ptCount val="40"/>
                <c:pt idx="0">
                  <c:v>-1.2721725830595887E-4</c:v>
                </c:pt>
                <c:pt idx="1">
                  <c:v>1.0272645759775434E-3</c:v>
                </c:pt>
                <c:pt idx="2">
                  <c:v>5.2267968551460153E-4</c:v>
                </c:pt>
                <c:pt idx="3">
                  <c:v>-2.8302331504403977E-3</c:v>
                </c:pt>
                <c:pt idx="4">
                  <c:v>-3.469497711084929E-3</c:v>
                </c:pt>
                <c:pt idx="5">
                  <c:v>-3.4694977110853731E-3</c:v>
                </c:pt>
                <c:pt idx="6">
                  <c:v>-3.4694977110854008E-3</c:v>
                </c:pt>
                <c:pt idx="7">
                  <c:v>-3.4694977110851233E-3</c:v>
                </c:pt>
                <c:pt idx="8">
                  <c:v>-3.1573490521015768E-3</c:v>
                </c:pt>
                <c:pt idx="9">
                  <c:v>-3.1573490521014658E-3</c:v>
                </c:pt>
                <c:pt idx="10">
                  <c:v>-3.1573490521012992E-3</c:v>
                </c:pt>
                <c:pt idx="11">
                  <c:v>-3.1573490521014103E-3</c:v>
                </c:pt>
                <c:pt idx="12">
                  <c:v>-3.5983179926903919E-3</c:v>
                </c:pt>
                <c:pt idx="13">
                  <c:v>-3.5983179926904474E-3</c:v>
                </c:pt>
                <c:pt idx="14">
                  <c:v>-3.5983179926905029E-3</c:v>
                </c:pt>
                <c:pt idx="15">
                  <c:v>-3.598317992691169E-3</c:v>
                </c:pt>
                <c:pt idx="16">
                  <c:v>-3.5983179926906139E-3</c:v>
                </c:pt>
                <c:pt idx="17">
                  <c:v>-3.5983179926906139E-3</c:v>
                </c:pt>
                <c:pt idx="18">
                  <c:v>-3.5983179926905029E-3</c:v>
                </c:pt>
                <c:pt idx="19">
                  <c:v>-3.5983179926903919E-3</c:v>
                </c:pt>
                <c:pt idx="20">
                  <c:v>-5.4486409313793116E-3</c:v>
                </c:pt>
                <c:pt idx="21">
                  <c:v>-5.4486409313792006E-3</c:v>
                </c:pt>
                <c:pt idx="22">
                  <c:v>-5.4486409313790896E-3</c:v>
                </c:pt>
                <c:pt idx="23">
                  <c:v>-5.4486409313792006E-3</c:v>
                </c:pt>
                <c:pt idx="24">
                  <c:v>-5.4486409313793116E-3</c:v>
                </c:pt>
                <c:pt idx="25">
                  <c:v>-5.4486409313793116E-3</c:v>
                </c:pt>
                <c:pt idx="26">
                  <c:v>-5.4486409313793116E-3</c:v>
                </c:pt>
                <c:pt idx="27">
                  <c:v>-5.4486409313789785E-3</c:v>
                </c:pt>
                <c:pt idx="28">
                  <c:v>-5.1311794808679423E-3</c:v>
                </c:pt>
                <c:pt idx="29">
                  <c:v>-5.1311794808674982E-3</c:v>
                </c:pt>
                <c:pt idx="30">
                  <c:v>-5.1311794808670541E-3</c:v>
                </c:pt>
                <c:pt idx="31">
                  <c:v>-5.1311794808674982E-3</c:v>
                </c:pt>
                <c:pt idx="32">
                  <c:v>-5.1311794808672762E-3</c:v>
                </c:pt>
                <c:pt idx="33">
                  <c:v>-5.1311794808672762E-3</c:v>
                </c:pt>
                <c:pt idx="34">
                  <c:v>-5.1311794808672762E-3</c:v>
                </c:pt>
                <c:pt idx="35">
                  <c:v>-5.1311794808681643E-3</c:v>
                </c:pt>
                <c:pt idx="36">
                  <c:v>-5.1311794808674982E-3</c:v>
                </c:pt>
                <c:pt idx="37">
                  <c:v>-5.1311794808672762E-3</c:v>
                </c:pt>
                <c:pt idx="38">
                  <c:v>-5.1311794808679423E-3</c:v>
                </c:pt>
                <c:pt idx="39">
                  <c:v>-5.1311794808670541E-3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D7-4924-8DDB-54FAEB413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51200"/>
        <c:axId val="150249280"/>
      </c:lineChart>
      <c:catAx>
        <c:axId val="15025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249280"/>
        <c:crosses val="autoZero"/>
        <c:auto val="1"/>
        <c:lblAlgn val="ctr"/>
        <c:lblOffset val="100"/>
        <c:noMultiLvlLbl val="0"/>
      </c:catAx>
      <c:valAx>
        <c:axId val="15024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25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7.9400481189851269E-2"/>
          <c:y val="0.17226851851851849"/>
          <c:w val="0.87564107611548558"/>
          <c:h val="0.63849482356372123"/>
        </c:manualLayout>
      </c:layout>
      <c:lineChart>
        <c:grouping val="standard"/>
        <c:varyColors val="0"/>
        <c:ser>
          <c:idx val="0"/>
          <c:order val="0"/>
          <c:tx>
            <c:strRef>
              <c:f>'OIS vs Treasury'!$I$2</c:f>
              <c:strCache>
                <c:ptCount val="1"/>
                <c:pt idx="0">
                  <c:v>OIS_Spot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'OIS vs Treasury'!$I$3:$I$42</c:f>
              <c:numCache>
                <c:formatCode>General</c:formatCode>
                <c:ptCount val="40"/>
                <c:pt idx="0">
                  <c:v>3.6534696111140748E-2</c:v>
                </c:pt>
                <c:pt idx="1">
                  <c:v>3.6228089330315606E-2</c:v>
                </c:pt>
                <c:pt idx="2">
                  <c:v>3.5723704512331443E-2</c:v>
                </c:pt>
                <c:pt idx="3">
                  <c:v>3.4633283894350567E-2</c:v>
                </c:pt>
                <c:pt idx="4">
                  <c:v>3.4291211908558869E-2</c:v>
                </c:pt>
                <c:pt idx="5">
                  <c:v>3.4063163918031041E-2</c:v>
                </c:pt>
                <c:pt idx="6">
                  <c:v>3.390027249622541E-2</c:v>
                </c:pt>
                <c:pt idx="7">
                  <c:v>3.3778103929871225E-2</c:v>
                </c:pt>
                <c:pt idx="8">
                  <c:v>3.3876398030300056E-2</c:v>
                </c:pt>
                <c:pt idx="9">
                  <c:v>3.3955033310643104E-2</c:v>
                </c:pt>
                <c:pt idx="10">
                  <c:v>3.4019371267287442E-2</c:v>
                </c:pt>
                <c:pt idx="11">
                  <c:v>3.4072986231157724E-2</c:v>
                </c:pt>
                <c:pt idx="12">
                  <c:v>3.4313083675398211E-2</c:v>
                </c:pt>
                <c:pt idx="13">
                  <c:v>3.4518881484747209E-2</c:v>
                </c:pt>
                <c:pt idx="14">
                  <c:v>3.4697239586182996E-2</c:v>
                </c:pt>
                <c:pt idx="15">
                  <c:v>3.4853302924939294E-2</c:v>
                </c:pt>
                <c:pt idx="16">
                  <c:v>3.499100587090076E-2</c:v>
                </c:pt>
                <c:pt idx="17">
                  <c:v>3.5113408489533163E-2</c:v>
                </c:pt>
                <c:pt idx="18">
                  <c:v>3.522292662199375E-2</c:v>
                </c:pt>
                <c:pt idx="19">
                  <c:v>3.5321492941208274E-2</c:v>
                </c:pt>
                <c:pt idx="20">
                  <c:v>3.5536472149199028E-2</c:v>
                </c:pt>
                <c:pt idx="21">
                  <c:v>3.5731907792826992E-2</c:v>
                </c:pt>
                <c:pt idx="22">
                  <c:v>3.5910349032661222E-2</c:v>
                </c:pt>
                <c:pt idx="23">
                  <c:v>3.6073920169175933E-2</c:v>
                </c:pt>
                <c:pt idx="24">
                  <c:v>3.6224405614769466E-2</c:v>
                </c:pt>
                <c:pt idx="25">
                  <c:v>3.6363315256855794E-2</c:v>
                </c:pt>
                <c:pt idx="26">
                  <c:v>3.6491935295824618E-2</c:v>
                </c:pt>
                <c:pt idx="27">
                  <c:v>3.6611368189152824E-2</c:v>
                </c:pt>
                <c:pt idx="28">
                  <c:v>3.6825528196550224E-2</c:v>
                </c:pt>
                <c:pt idx="29">
                  <c:v>3.7025410870121143E-2</c:v>
                </c:pt>
                <c:pt idx="30">
                  <c:v>3.7212397887332653E-2</c:v>
                </c:pt>
                <c:pt idx="31">
                  <c:v>3.7387698215968442E-2</c:v>
                </c:pt>
                <c:pt idx="32">
                  <c:v>3.7552374282262664E-2</c:v>
                </c:pt>
                <c:pt idx="33">
                  <c:v>3.7707363521127822E-2</c:v>
                </c:pt>
                <c:pt idx="34">
                  <c:v>3.7853496232057818E-2</c:v>
                </c:pt>
                <c:pt idx="35">
                  <c:v>3.7991510459047251E-2</c:v>
                </c:pt>
                <c:pt idx="36">
                  <c:v>3.8122064457550772E-2</c:v>
                </c:pt>
                <c:pt idx="37">
                  <c:v>3.8245747192975174E-2</c:v>
                </c:pt>
                <c:pt idx="38">
                  <c:v>3.8363087224018828E-2</c:v>
                </c:pt>
                <c:pt idx="39">
                  <c:v>3.8474560253510301E-2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F-40B3-9E05-AD15A76E66AC}"/>
            </c:ext>
          </c:extLst>
        </c:ser>
        <c:ser>
          <c:idx val="1"/>
          <c:order val="1"/>
          <c:tx>
            <c:strRef>
              <c:f>'OIS vs Treasury'!$J$2</c:f>
              <c:strCache>
                <c:ptCount val="1"/>
                <c:pt idx="0">
                  <c:v>Treasury_Spot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'OIS vs Treasury'!$J$3:$J$42</c:f>
              <c:numCache>
                <c:formatCode>General</c:formatCode>
                <c:ptCount val="40"/>
                <c:pt idx="0">
                  <c:v>3.6661913369446707E-2</c:v>
                </c:pt>
                <c:pt idx="1">
                  <c:v>3.5778065671479814E-2</c:v>
                </c:pt>
                <c:pt idx="2">
                  <c:v>3.5249462177936043E-2</c:v>
                </c:pt>
                <c:pt idx="3">
                  <c:v>3.498516043116412E-2</c:v>
                </c:pt>
                <c:pt idx="4">
                  <c:v>3.5266612680226697E-2</c:v>
                </c:pt>
                <c:pt idx="5">
                  <c:v>3.5454247512935126E-2</c:v>
                </c:pt>
                <c:pt idx="6">
                  <c:v>3.558827239344111E-2</c:v>
                </c:pt>
                <c:pt idx="7">
                  <c:v>3.5688791053820605E-2</c:v>
                </c:pt>
                <c:pt idx="8">
                  <c:v>3.5925603146266347E-2</c:v>
                </c:pt>
                <c:pt idx="9">
                  <c:v>3.6115052820222912E-2</c:v>
                </c:pt>
                <c:pt idx="10">
                  <c:v>3.6270057098914656E-2</c:v>
                </c:pt>
                <c:pt idx="11">
                  <c:v>3.6399227331157795E-2</c:v>
                </c:pt>
                <c:pt idx="12">
                  <c:v>3.6737176844066764E-2</c:v>
                </c:pt>
                <c:pt idx="13">
                  <c:v>3.7026847855131613E-2</c:v>
                </c:pt>
                <c:pt idx="14">
                  <c:v>3.7277896064721136E-2</c:v>
                </c:pt>
                <c:pt idx="15">
                  <c:v>3.7497563248112001E-2</c:v>
                </c:pt>
                <c:pt idx="16">
                  <c:v>3.7691387233456872E-2</c:v>
                </c:pt>
                <c:pt idx="17">
                  <c:v>3.7863675220430076E-2</c:v>
                </c:pt>
                <c:pt idx="18">
                  <c:v>3.8017827629827174E-2</c:v>
                </c:pt>
                <c:pt idx="19">
                  <c:v>3.815656479828454E-2</c:v>
                </c:pt>
                <c:pt idx="20">
                  <c:v>3.8495999676480201E-2</c:v>
                </c:pt>
                <c:pt idx="21">
                  <c:v>3.8804576838476261E-2</c:v>
                </c:pt>
                <c:pt idx="22">
                  <c:v>3.9086321203777002E-2</c:v>
                </c:pt>
                <c:pt idx="23">
                  <c:v>3.9344586871969359E-2</c:v>
                </c:pt>
                <c:pt idx="24">
                  <c:v>3.9582191286706328E-2</c:v>
                </c:pt>
                <c:pt idx="25">
                  <c:v>3.9801518438771215E-2</c:v>
                </c:pt>
                <c:pt idx="26">
                  <c:v>4.0004599135127585E-2</c:v>
                </c:pt>
                <c:pt idx="27">
                  <c:v>4.0193174067458502E-2</c:v>
                </c:pt>
                <c:pt idx="28">
                  <c:v>4.0460760750806332E-2</c:v>
                </c:pt>
                <c:pt idx="29">
                  <c:v>4.0710508321930967E-2</c:v>
                </c:pt>
                <c:pt idx="30">
                  <c:v>4.0944143146531414E-2</c:v>
                </c:pt>
                <c:pt idx="31">
                  <c:v>4.1163175794594352E-2</c:v>
                </c:pt>
                <c:pt idx="32">
                  <c:v>4.1368933736714075E-2</c:v>
                </c:pt>
                <c:pt idx="33">
                  <c:v>4.1562588270473814E-2</c:v>
                </c:pt>
                <c:pt idx="34">
                  <c:v>4.1745176830875842E-2</c:v>
                </c:pt>
                <c:pt idx="35">
                  <c:v>4.1917621582366671E-2</c:v>
                </c:pt>
                <c:pt idx="36">
                  <c:v>4.2080744995939064E-2</c:v>
                </c:pt>
                <c:pt idx="37">
                  <c:v>4.2235282966691857E-2</c:v>
                </c:pt>
                <c:pt idx="38">
                  <c:v>4.2381895913303491E-2</c:v>
                </c:pt>
                <c:pt idx="39">
                  <c:v>4.2521178212584526E-2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4F-40B3-9E05-AD15A76E66AC}"/>
            </c:ext>
          </c:extLst>
        </c:ser>
        <c:ser>
          <c:idx val="2"/>
          <c:order val="2"/>
          <c:tx>
            <c:strRef>
              <c:f>'OIS vs Treasury'!$K$2</c:f>
              <c:strCache>
                <c:ptCount val="1"/>
                <c:pt idx="0">
                  <c:v>Diff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'OIS vs Treasury'!$K$3:$K$42</c:f>
              <c:numCache>
                <c:formatCode>General</c:formatCode>
                <c:ptCount val="40"/>
                <c:pt idx="0">
                  <c:v>-1.2721725830595887E-4</c:v>
                </c:pt>
                <c:pt idx="1">
                  <c:v>4.5002365883579226E-4</c:v>
                </c:pt>
                <c:pt idx="2">
                  <c:v>4.7424233439539998E-4</c:v>
                </c:pt>
                <c:pt idx="3">
                  <c:v>-3.5187653681355291E-4</c:v>
                </c:pt>
                <c:pt idx="4">
                  <c:v>-9.7540077166782813E-4</c:v>
                </c:pt>
                <c:pt idx="5">
                  <c:v>-1.3910835949040856E-3</c:v>
                </c:pt>
                <c:pt idx="6">
                  <c:v>-1.6879998972157001E-3</c:v>
                </c:pt>
                <c:pt idx="7">
                  <c:v>-1.9106871239493797E-3</c:v>
                </c:pt>
                <c:pt idx="8">
                  <c:v>-2.0492051159662905E-3</c:v>
                </c:pt>
                <c:pt idx="9">
                  <c:v>-2.160019509579808E-3</c:v>
                </c:pt>
                <c:pt idx="10">
                  <c:v>-2.2506858316272138E-3</c:v>
                </c:pt>
                <c:pt idx="11">
                  <c:v>-2.3262411000000704E-3</c:v>
                </c:pt>
                <c:pt idx="12">
                  <c:v>-2.4240931686685535E-3</c:v>
                </c:pt>
                <c:pt idx="13">
                  <c:v>-2.5079663703844041E-3</c:v>
                </c:pt>
                <c:pt idx="14">
                  <c:v>-2.5806564785381403E-3</c:v>
                </c:pt>
                <c:pt idx="15">
                  <c:v>-2.6442603231727063E-3</c:v>
                </c:pt>
                <c:pt idx="16">
                  <c:v>-2.7003813625561118E-3</c:v>
                </c:pt>
                <c:pt idx="17">
                  <c:v>-2.7502667308969136E-3</c:v>
                </c:pt>
                <c:pt idx="18">
                  <c:v>-2.7949010078334238E-3</c:v>
                </c:pt>
                <c:pt idx="19">
                  <c:v>-2.8350718570762656E-3</c:v>
                </c:pt>
                <c:pt idx="20">
                  <c:v>-2.9595275272811736E-3</c:v>
                </c:pt>
                <c:pt idx="21">
                  <c:v>-3.0726690456492692E-3</c:v>
                </c:pt>
                <c:pt idx="22">
                  <c:v>-3.1759721711157804E-3</c:v>
                </c:pt>
                <c:pt idx="23">
                  <c:v>-3.2706667027934261E-3</c:v>
                </c:pt>
                <c:pt idx="24">
                  <c:v>-3.3577856719368623E-3</c:v>
                </c:pt>
                <c:pt idx="25">
                  <c:v>-3.438203181915421E-3</c:v>
                </c:pt>
                <c:pt idx="26">
                  <c:v>-3.5126638393029666E-3</c:v>
                </c:pt>
                <c:pt idx="27">
                  <c:v>-3.5818058783056786E-3</c:v>
                </c:pt>
                <c:pt idx="28">
                  <c:v>-3.6352325542561084E-3</c:v>
                </c:pt>
                <c:pt idx="29">
                  <c:v>-3.685097451809824E-3</c:v>
                </c:pt>
                <c:pt idx="30">
                  <c:v>-3.7317452591987613E-3</c:v>
                </c:pt>
                <c:pt idx="31">
                  <c:v>-3.7754775786259104E-3</c:v>
                </c:pt>
                <c:pt idx="32">
                  <c:v>-3.8165594544514111E-3</c:v>
                </c:pt>
                <c:pt idx="33">
                  <c:v>-3.8552247493459924E-3</c:v>
                </c:pt>
                <c:pt idx="34">
                  <c:v>-3.8916805988180245E-3</c:v>
                </c:pt>
                <c:pt idx="35">
                  <c:v>-3.9261111233194201E-3</c:v>
                </c:pt>
                <c:pt idx="36">
                  <c:v>-3.9586805383882914E-3</c:v>
                </c:pt>
                <c:pt idx="37">
                  <c:v>-3.9895357737166834E-3</c:v>
                </c:pt>
                <c:pt idx="38">
                  <c:v>-4.0188086892846628E-3</c:v>
                </c:pt>
                <c:pt idx="39">
                  <c:v>-4.0466179590742252E-3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4F-40B3-9E05-AD15A76E6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754976"/>
        <c:axId val="102751616"/>
      </c:lineChart>
      <c:catAx>
        <c:axId val="10275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2751616"/>
        <c:crosses val="autoZero"/>
        <c:auto val="1"/>
        <c:lblAlgn val="ctr"/>
        <c:lblOffset val="100"/>
        <c:noMultiLvlLbl val="0"/>
      </c:catAx>
      <c:valAx>
        <c:axId val="10275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275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'OIS vs Treasury'!$F$2</c:f>
              <c:strCache>
                <c:ptCount val="1"/>
                <c:pt idx="0">
                  <c:v>OIS_DF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'OIS vs Treasury'!$F$3:$F$42</c:f>
              <c:numCache>
                <c:formatCode>General</c:formatCode>
                <c:ptCount val="40"/>
                <c:pt idx="0">
                  <c:v>0.99090791126768507</c:v>
                </c:pt>
                <c:pt idx="1">
                  <c:v>0.98204902851907594</c:v>
                </c:pt>
                <c:pt idx="2">
                  <c:v>0.97356296391341313</c:v>
                </c:pt>
                <c:pt idx="3">
                  <c:v>0.96595958425099504</c:v>
                </c:pt>
                <c:pt idx="4">
                  <c:v>0.95804166061412643</c:v>
                </c:pt>
                <c:pt idx="5">
                  <c:v>0.95018863981143586</c:v>
                </c:pt>
                <c:pt idx="6">
                  <c:v>0.94239998983755457</c:v>
                </c:pt>
                <c:pt idx="7">
                  <c:v>0.93467518304793573</c:v>
                </c:pt>
                <c:pt idx="8">
                  <c:v>0.92661057296606908</c:v>
                </c:pt>
                <c:pt idx="9">
                  <c:v>0.91861554634694131</c:v>
                </c:pt>
                <c:pt idx="10">
                  <c:v>0.91068950280711936</c:v>
                </c:pt>
                <c:pt idx="11">
                  <c:v>0.9028318471434279</c:v>
                </c:pt>
                <c:pt idx="12">
                  <c:v>0.89447571831157713</c:v>
                </c:pt>
                <c:pt idx="13">
                  <c:v>0.88619692934016148</c:v>
                </c:pt>
                <c:pt idx="14">
                  <c:v>0.87799476441278657</c:v>
                </c:pt>
                <c:pt idx="15">
                  <c:v>0.86986851433827173</c:v>
                </c:pt>
                <c:pt idx="16">
                  <c:v>0.86181747648933049</c:v>
                </c:pt>
                <c:pt idx="17">
                  <c:v>0.8538409547418192</c:v>
                </c:pt>
                <c:pt idx="18">
                  <c:v>0.8459382594145467</c:v>
                </c:pt>
                <c:pt idx="19">
                  <c:v>0.83810870720964248</c:v>
                </c:pt>
                <c:pt idx="20">
                  <c:v>0.82980339579755025</c:v>
                </c:pt>
                <c:pt idx="21">
                  <c:v>0.82158038659405985</c:v>
                </c:pt>
                <c:pt idx="22">
                  <c:v>0.81343886401824916</c:v>
                </c:pt>
                <c:pt idx="23">
                  <c:v>0.80537802057126628</c:v>
                </c:pt>
                <c:pt idx="24">
                  <c:v>0.79739705675623973</c:v>
                </c:pt>
                <c:pt idx="25">
                  <c:v>0.78949518099898219</c:v>
                </c:pt>
                <c:pt idx="26">
                  <c:v>0.78167160956947968</c:v>
                </c:pt>
                <c:pt idx="27">
                  <c:v>0.77392556650415922</c:v>
                </c:pt>
                <c:pt idx="28">
                  <c:v>0.76568449583309939</c:v>
                </c:pt>
                <c:pt idx="29">
                  <c:v>0.75753117939674219</c:v>
                </c:pt>
                <c:pt idx="30">
                  <c:v>0.74946468275270561</c:v>
                </c:pt>
                <c:pt idx="31">
                  <c:v>0.74148408140892597</c:v>
                </c:pt>
                <c:pt idx="32">
                  <c:v>0.73358846071770278</c:v>
                </c:pt>
                <c:pt idx="33">
                  <c:v>0.72577691577087211</c:v>
                </c:pt>
                <c:pt idx="34">
                  <c:v>0.71804855129609613</c:v>
                </c:pt>
                <c:pt idx="35">
                  <c:v>0.71040248155425689</c:v>
                </c:pt>
                <c:pt idx="36">
                  <c:v>0.70283783023794266</c:v>
                </c:pt>
                <c:pt idx="37">
                  <c:v>0.69535373037101555</c:v>
                </c:pt>
                <c:pt idx="38">
                  <c:v>0.68794932420924826</c:v>
                </c:pt>
                <c:pt idx="39">
                  <c:v>0.68062376314201889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BB-452A-8E5C-FCC4C98ADE91}"/>
            </c:ext>
          </c:extLst>
        </c:ser>
        <c:ser>
          <c:idx val="1"/>
          <c:order val="1"/>
          <c:tx>
            <c:strRef>
              <c:f>'OIS vs Treasury'!$G$2</c:f>
              <c:strCache>
                <c:ptCount val="1"/>
                <c:pt idx="0">
                  <c:v>Treasury_DF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'OIS vs Treasury'!$G$3:$G$42</c:f>
              <c:numCache>
                <c:formatCode>General</c:formatCode>
                <c:ptCount val="40"/>
                <c:pt idx="0">
                  <c:v>0.99087639662191229</c:v>
                </c:pt>
                <c:pt idx="1">
                  <c:v>0.98227002603015579</c:v>
                </c:pt>
                <c:pt idx="2">
                  <c:v>0.97390930408271614</c:v>
                </c:pt>
                <c:pt idx="3">
                  <c:v>0.9656197455319292</c:v>
                </c:pt>
                <c:pt idx="4">
                  <c:v>0.95687427920538104</c:v>
                </c:pt>
                <c:pt idx="5">
                  <c:v>0.94820801919335018</c:v>
                </c:pt>
                <c:pt idx="6">
                  <c:v>0.93962024813669032</c:v>
                </c:pt>
                <c:pt idx="7">
                  <c:v>0.93111025517326396</c:v>
                </c:pt>
                <c:pt idx="8">
                  <c:v>0.92234807306108957</c:v>
                </c:pt>
                <c:pt idx="9">
                  <c:v>0.91366834717248313</c:v>
                </c:pt>
                <c:pt idx="10">
                  <c:v>0.90507030155589296</c:v>
                </c:pt>
                <c:pt idx="11">
                  <c:v>0.89655316756183379</c:v>
                </c:pt>
                <c:pt idx="12">
                  <c:v>0.88745645400764417</c:v>
                </c:pt>
                <c:pt idx="13">
                  <c:v>0.87845203860205401</c:v>
                </c:pt>
                <c:pt idx="14">
                  <c:v>0.86953898485869563</c:v>
                </c:pt>
                <c:pt idx="15">
                  <c:v>0.86071636579308963</c:v>
                </c:pt>
                <c:pt idx="16">
                  <c:v>0.85198326382623624</c:v>
                </c:pt>
                <c:pt idx="17">
                  <c:v>0.84333877068918384</c:v>
                </c:pt>
                <c:pt idx="18">
                  <c:v>0.83478198732856634</c:v>
                </c:pt>
                <c:pt idx="19">
                  <c:v>0.82631202381309932</c:v>
                </c:pt>
                <c:pt idx="20">
                  <c:v>0.81700995587610103</c:v>
                </c:pt>
                <c:pt idx="21">
                  <c:v>0.80781260439657998</c:v>
                </c:pt>
                <c:pt idx="22">
                  <c:v>0.79871879054671624</c:v>
                </c:pt>
                <c:pt idx="23">
                  <c:v>0.78972734876914485</c:v>
                </c:pt>
                <c:pt idx="24">
                  <c:v>0.78083712662756588</c:v>
                </c:pt>
                <c:pt idx="25">
                  <c:v>0.77204698465903632</c:v>
                </c:pt>
                <c:pt idx="26">
                  <c:v>0.76335579622792449</c:v>
                </c:pt>
                <c:pt idx="27">
                  <c:v>0.75476244738150899</c:v>
                </c:pt>
                <c:pt idx="28">
                  <c:v>0.74576815188324708</c:v>
                </c:pt>
                <c:pt idx="29">
                  <c:v>0.73688103891876211</c:v>
                </c:pt>
                <c:pt idx="30">
                  <c:v>0.72809983122342026</c:v>
                </c:pt>
                <c:pt idx="31">
                  <c:v>0.71942326675339718</c:v>
                </c:pt>
                <c:pt idx="32">
                  <c:v>0.71085009850429615</c:v>
                </c:pt>
                <c:pt idx="33">
                  <c:v>0.70237909433192713</c:v>
                </c:pt>
                <c:pt idx="34">
                  <c:v>0.69400903677522197</c:v>
                </c:pt>
                <c:pt idx="35">
                  <c:v>0.68573872288125937</c:v>
                </c:pt>
                <c:pt idx="36">
                  <c:v>0.67756696403237593</c:v>
                </c:pt>
                <c:pt idx="37">
                  <c:v>0.6694925857753361</c:v>
                </c:pt>
                <c:pt idx="38">
                  <c:v>0.66151442765253921</c:v>
                </c:pt>
                <c:pt idx="39">
                  <c:v>0.65363134303523707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BB-452A-8E5C-FCC4C98ADE91}"/>
            </c:ext>
          </c:extLst>
        </c:ser>
        <c:ser>
          <c:idx val="2"/>
          <c:order val="2"/>
          <c:tx>
            <c:strRef>
              <c:f>'OIS vs Treasury'!$K$2</c:f>
              <c:strCache>
                <c:ptCount val="1"/>
                <c:pt idx="0">
                  <c:v>Diff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'OIS vs Treasury'!$K$3:$K$42</c:f>
              <c:numCache>
                <c:formatCode>General</c:formatCode>
                <c:ptCount val="40"/>
                <c:pt idx="0">
                  <c:v>-1.2721725830595887E-4</c:v>
                </c:pt>
                <c:pt idx="1">
                  <c:v>4.5002365883579226E-4</c:v>
                </c:pt>
                <c:pt idx="2">
                  <c:v>4.7424233439539998E-4</c:v>
                </c:pt>
                <c:pt idx="3">
                  <c:v>-3.5187653681355291E-4</c:v>
                </c:pt>
                <c:pt idx="4">
                  <c:v>-9.7540077166782813E-4</c:v>
                </c:pt>
                <c:pt idx="5">
                  <c:v>-1.3910835949040856E-3</c:v>
                </c:pt>
                <c:pt idx="6">
                  <c:v>-1.6879998972157001E-3</c:v>
                </c:pt>
                <c:pt idx="7">
                  <c:v>-1.9106871239493797E-3</c:v>
                </c:pt>
                <c:pt idx="8">
                  <c:v>-2.0492051159662905E-3</c:v>
                </c:pt>
                <c:pt idx="9">
                  <c:v>-2.160019509579808E-3</c:v>
                </c:pt>
                <c:pt idx="10">
                  <c:v>-2.2506858316272138E-3</c:v>
                </c:pt>
                <c:pt idx="11">
                  <c:v>-2.3262411000000704E-3</c:v>
                </c:pt>
                <c:pt idx="12">
                  <c:v>-2.4240931686685535E-3</c:v>
                </c:pt>
                <c:pt idx="13">
                  <c:v>-2.5079663703844041E-3</c:v>
                </c:pt>
                <c:pt idx="14">
                  <c:v>-2.5806564785381403E-3</c:v>
                </c:pt>
                <c:pt idx="15">
                  <c:v>-2.6442603231727063E-3</c:v>
                </c:pt>
                <c:pt idx="16">
                  <c:v>-2.7003813625561118E-3</c:v>
                </c:pt>
                <c:pt idx="17">
                  <c:v>-2.7502667308969136E-3</c:v>
                </c:pt>
                <c:pt idx="18">
                  <c:v>-2.7949010078334238E-3</c:v>
                </c:pt>
                <c:pt idx="19">
                  <c:v>-2.8350718570762656E-3</c:v>
                </c:pt>
                <c:pt idx="20">
                  <c:v>-2.9595275272811736E-3</c:v>
                </c:pt>
                <c:pt idx="21">
                  <c:v>-3.0726690456492692E-3</c:v>
                </c:pt>
                <c:pt idx="22">
                  <c:v>-3.1759721711157804E-3</c:v>
                </c:pt>
                <c:pt idx="23">
                  <c:v>-3.2706667027934261E-3</c:v>
                </c:pt>
                <c:pt idx="24">
                  <c:v>-3.3577856719368623E-3</c:v>
                </c:pt>
                <c:pt idx="25">
                  <c:v>-3.438203181915421E-3</c:v>
                </c:pt>
                <c:pt idx="26">
                  <c:v>-3.5126638393029666E-3</c:v>
                </c:pt>
                <c:pt idx="27">
                  <c:v>-3.5818058783056786E-3</c:v>
                </c:pt>
                <c:pt idx="28">
                  <c:v>-3.6352325542561084E-3</c:v>
                </c:pt>
                <c:pt idx="29">
                  <c:v>-3.685097451809824E-3</c:v>
                </c:pt>
                <c:pt idx="30">
                  <c:v>-3.7317452591987613E-3</c:v>
                </c:pt>
                <c:pt idx="31">
                  <c:v>-3.7754775786259104E-3</c:v>
                </c:pt>
                <c:pt idx="32">
                  <c:v>-3.8165594544514111E-3</c:v>
                </c:pt>
                <c:pt idx="33">
                  <c:v>-3.8552247493459924E-3</c:v>
                </c:pt>
                <c:pt idx="34">
                  <c:v>-3.8916805988180245E-3</c:v>
                </c:pt>
                <c:pt idx="35">
                  <c:v>-3.9261111233194201E-3</c:v>
                </c:pt>
                <c:pt idx="36">
                  <c:v>-3.9586805383882914E-3</c:v>
                </c:pt>
                <c:pt idx="37">
                  <c:v>-3.9895357737166834E-3</c:v>
                </c:pt>
                <c:pt idx="38">
                  <c:v>-4.0188086892846628E-3</c:v>
                </c:pt>
                <c:pt idx="39">
                  <c:v>-4.0466179590742252E-3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BB-452A-8E5C-FCC4C98AD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648480"/>
        <c:axId val="101648000"/>
      </c:lineChart>
      <c:catAx>
        <c:axId val="10164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648000"/>
        <c:crosses val="autoZero"/>
        <c:auto val="1"/>
        <c:lblAlgn val="ctr"/>
        <c:lblOffset val="100"/>
        <c:noMultiLvlLbl val="0"/>
      </c:catAx>
      <c:valAx>
        <c:axId val="10164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64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'OIS DF Log Linear'!$L$27</c:f>
              <c:strCache>
                <c:ptCount val="1"/>
                <c:pt idx="0">
                  <c:v>Spot Curve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'OIS DF Log Linear'!$F$28:$F$57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'OIS DF Log Linear'!$L$28:$L$57</c:f>
              <c:numCache>
                <c:formatCode>General</c:formatCode>
                <c:ptCount val="30"/>
                <c:pt idx="0">
                  <c:v>3.4633283894350567E-2</c:v>
                </c:pt>
                <c:pt idx="1">
                  <c:v>3.3778103929871225E-2</c:v>
                </c:pt>
                <c:pt idx="2">
                  <c:v>3.4072986231157724E-2</c:v>
                </c:pt>
                <c:pt idx="3">
                  <c:v>3.4853302924939294E-2</c:v>
                </c:pt>
                <c:pt idx="4">
                  <c:v>3.5321492941208274E-2</c:v>
                </c:pt>
                <c:pt idx="5">
                  <c:v>3.6073920169175933E-2</c:v>
                </c:pt>
                <c:pt idx="6">
                  <c:v>3.6611368189152824E-2</c:v>
                </c:pt>
                <c:pt idx="7">
                  <c:v>3.7387698215968442E-2</c:v>
                </c:pt>
                <c:pt idx="8">
                  <c:v>3.7991510459047251E-2</c:v>
                </c:pt>
                <c:pt idx="9">
                  <c:v>3.8474560253510301E-2</c:v>
                </c:pt>
                <c:pt idx="10">
                  <c:v>3.921738518511611E-2</c:v>
                </c:pt>
                <c:pt idx="11">
                  <c:v>3.9836405961454276E-2</c:v>
                </c:pt>
                <c:pt idx="12">
                  <c:v>4.0360192772201972E-2</c:v>
                </c:pt>
                <c:pt idx="13">
                  <c:v>4.0809152895699981E-2</c:v>
                </c:pt>
                <c:pt idx="14">
                  <c:v>4.1198251669398257E-2</c:v>
                </c:pt>
                <c:pt idx="15">
                  <c:v>4.1397117951047224E-2</c:v>
                </c:pt>
                <c:pt idx="16">
                  <c:v>4.1572588199561028E-2</c:v>
                </c:pt>
                <c:pt idx="17">
                  <c:v>4.1728561753795509E-2</c:v>
                </c:pt>
                <c:pt idx="18">
                  <c:v>4.1868117039163211E-2</c:v>
                </c:pt>
                <c:pt idx="19">
                  <c:v>4.1993716795994139E-2</c:v>
                </c:pt>
                <c:pt idx="20">
                  <c:v>4.2107354671222126E-2</c:v>
                </c:pt>
                <c:pt idx="21">
                  <c:v>4.2210661830520295E-2</c:v>
                </c:pt>
                <c:pt idx="22">
                  <c:v>4.2304985758575143E-2</c:v>
                </c:pt>
                <c:pt idx="23">
                  <c:v>4.2391449359292087E-2</c:v>
                </c:pt>
                <c:pt idx="24">
                  <c:v>4.2470995871951675E-2</c:v>
                </c:pt>
                <c:pt idx="25">
                  <c:v>4.2544423422098979E-2</c:v>
                </c:pt>
                <c:pt idx="26">
                  <c:v>4.2612411894457615E-2</c:v>
                </c:pt>
                <c:pt idx="27">
                  <c:v>4.2675544047362048E-2</c:v>
                </c:pt>
                <c:pt idx="28">
                  <c:v>4.2734322258686876E-2</c:v>
                </c:pt>
                <c:pt idx="29">
                  <c:v>4.2789181922590028E-2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1B-2D43-A9CC-06A0C497A1B0}"/>
            </c:ext>
          </c:extLst>
        </c:ser>
        <c:ser>
          <c:idx val="2"/>
          <c:order val="2"/>
          <c:tx>
            <c:strRef>
              <c:f>'OIS DF Log Linear'!$M$27</c:f>
              <c:strCache>
                <c:ptCount val="1"/>
                <c:pt idx="0">
                  <c:v>Forward Curve(F(t,t+1))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'OIS DF Log Linear'!$F$28:$F$57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'OIS DF Log Linear'!$M$28:$M$57</c:f>
              <c:numCache>
                <c:formatCode>General</c:formatCode>
                <c:ptCount val="30"/>
                <c:pt idx="0">
                  <c:v>3.4633283894350567E-2</c:v>
                </c:pt>
                <c:pt idx="1">
                  <c:v>3.2922923965391884E-2</c:v>
                </c:pt>
                <c:pt idx="2">
                  <c:v>3.4662750833730729E-2</c:v>
                </c:pt>
                <c:pt idx="3">
                  <c:v>3.7194253006283998E-2</c:v>
                </c:pt>
                <c:pt idx="4">
                  <c:v>3.7194253006284178E-2</c:v>
                </c:pt>
                <c:pt idx="5">
                  <c:v>3.9836056309014239E-2</c:v>
                </c:pt>
                <c:pt idx="6">
                  <c:v>3.9836056309014156E-2</c:v>
                </c:pt>
                <c:pt idx="7">
                  <c:v>4.282200840367778E-2</c:v>
                </c:pt>
                <c:pt idx="8">
                  <c:v>4.2822008403677725E-2</c:v>
                </c:pt>
                <c:pt idx="9">
                  <c:v>4.282200840367778E-2</c:v>
                </c:pt>
                <c:pt idx="10">
                  <c:v>4.6645634501174149E-2</c:v>
                </c:pt>
                <c:pt idx="11">
                  <c:v>4.6645634501174149E-2</c:v>
                </c:pt>
                <c:pt idx="12">
                  <c:v>4.6645634501174316E-2</c:v>
                </c:pt>
                <c:pt idx="13">
                  <c:v>4.6645634501174094E-2</c:v>
                </c:pt>
                <c:pt idx="14">
                  <c:v>4.6645634501174094E-2</c:v>
                </c:pt>
                <c:pt idx="15">
                  <c:v>4.438011217578175E-2</c:v>
                </c:pt>
                <c:pt idx="16">
                  <c:v>4.4380112175781861E-2</c:v>
                </c:pt>
                <c:pt idx="17">
                  <c:v>4.438011217578175E-2</c:v>
                </c:pt>
                <c:pt idx="18">
                  <c:v>4.4380112175781861E-2</c:v>
                </c:pt>
                <c:pt idx="19">
                  <c:v>4.438011217578175E-2</c:v>
                </c:pt>
                <c:pt idx="20">
                  <c:v>4.4380112175781861E-2</c:v>
                </c:pt>
                <c:pt idx="21">
                  <c:v>4.4380112175781861E-2</c:v>
                </c:pt>
                <c:pt idx="22">
                  <c:v>4.438011217578175E-2</c:v>
                </c:pt>
                <c:pt idx="23">
                  <c:v>4.438011217578175E-2</c:v>
                </c:pt>
                <c:pt idx="24">
                  <c:v>4.4380112175781861E-2</c:v>
                </c:pt>
                <c:pt idx="25">
                  <c:v>4.4380112175781639E-2</c:v>
                </c:pt>
                <c:pt idx="26">
                  <c:v>4.4380112175782083E-2</c:v>
                </c:pt>
                <c:pt idx="27">
                  <c:v>4.4380112175781639E-2</c:v>
                </c:pt>
                <c:pt idx="28">
                  <c:v>4.4380112175782083E-2</c:v>
                </c:pt>
                <c:pt idx="29">
                  <c:v>4.4380112175781417E-2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1B-2D43-A9CC-06A0C497A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798976"/>
        <c:axId val="143792704"/>
      </c:lineChart>
      <c:lineChart>
        <c:grouping val="standard"/>
        <c:varyColors val="0"/>
        <c:ser>
          <c:idx val="0"/>
          <c:order val="0"/>
          <c:tx>
            <c:strRef>
              <c:f>'OIS DF Log Linear'!$G$27</c:f>
              <c:strCache>
                <c:ptCount val="1"/>
                <c:pt idx="0">
                  <c:v>DF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'OIS DF Log Linear'!$F$28:$F$57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'OIS DF Log Linear'!$G$28:$G$57</c:f>
              <c:numCache>
                <c:formatCode>General</c:formatCode>
                <c:ptCount val="30"/>
                <c:pt idx="0">
                  <c:v>0.96595958425099504</c:v>
                </c:pt>
                <c:pt idx="1">
                  <c:v>0.93467518304793573</c:v>
                </c:pt>
                <c:pt idx="2">
                  <c:v>0.9028318471434279</c:v>
                </c:pt>
                <c:pt idx="3">
                  <c:v>0.86986851433827173</c:v>
                </c:pt>
                <c:pt idx="4">
                  <c:v>0.83810870720964248</c:v>
                </c:pt>
                <c:pt idx="5">
                  <c:v>0.80537802057126628</c:v>
                </c:pt>
                <c:pt idx="6">
                  <c:v>0.77392556650415922</c:v>
                </c:pt>
                <c:pt idx="7">
                  <c:v>0.74148408140892597</c:v>
                </c:pt>
                <c:pt idx="8">
                  <c:v>0.71040248155425689</c:v>
                </c:pt>
                <c:pt idx="9">
                  <c:v>0.68062376314201889</c:v>
                </c:pt>
                <c:pt idx="10">
                  <c:v>0.64960471162980216</c:v>
                </c:pt>
                <c:pt idx="11">
                  <c:v>0.61999933623179537</c:v>
                </c:pt>
                <c:pt idx="12">
                  <c:v>0.59174320944108061</c:v>
                </c:pt>
                <c:pt idx="13">
                  <c:v>0.56477483999872935</c:v>
                </c:pt>
                <c:pt idx="14">
                  <c:v>0.53903553907592416</c:v>
                </c:pt>
                <c:pt idx="15">
                  <c:v>0.51563615550070974</c:v>
                </c:pt>
                <c:pt idx="16">
                  <c:v>0.49325253269080332</c:v>
                </c:pt>
                <c:pt idx="17">
                  <c:v>0.47184057675249103</c:v>
                </c:pt>
                <c:pt idx="18">
                  <c:v>0.45135810789578201</c:v>
                </c:pt>
                <c:pt idx="19">
                  <c:v>0.43176477734369606</c:v>
                </c:pt>
                <c:pt idx="20">
                  <c:v>0.41302198784849509</c:v>
                </c:pt>
                <c:pt idx="21">
                  <c:v>0.39509281765828386</c:v>
                </c:pt>
                <c:pt idx="22">
                  <c:v>0.37794194778419882</c:v>
                </c:pt>
                <c:pt idx="23">
                  <c:v>0.36153559242490868</c:v>
                </c:pt>
                <c:pt idx="24">
                  <c:v>0.34584143241136778</c:v>
                </c:pt>
                <c:pt idx="25">
                  <c:v>0.33082855154071455</c:v>
                </c:pt>
                <c:pt idx="26">
                  <c:v>0.31646737567389766</c:v>
                </c:pt>
                <c:pt idx="27">
                  <c:v>0.30272961447705754</c:v>
                </c:pt>
                <c:pt idx="28">
                  <c:v>0.28958820569189814</c:v>
                </c:pt>
                <c:pt idx="29">
                  <c:v>0.27701726182526681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1B-2D43-A9CC-06A0C497A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76128"/>
        <c:axId val="122372992"/>
      </c:lineChart>
      <c:catAx>
        <c:axId val="14379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3792704"/>
        <c:crosses val="autoZero"/>
        <c:auto val="1"/>
        <c:lblAlgn val="ctr"/>
        <c:lblOffset val="100"/>
        <c:noMultiLvlLbl val="0"/>
      </c:catAx>
      <c:valAx>
        <c:axId val="143792704"/>
        <c:scaling>
          <c:orientation val="minMax"/>
          <c:min val="0.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3798976"/>
        <c:crosses val="autoZero"/>
        <c:crossBetween val="between"/>
      </c:valAx>
      <c:valAx>
        <c:axId val="1223729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2376128"/>
        <c:crosses val="max"/>
        <c:crossBetween val="between"/>
      </c:valAx>
      <c:catAx>
        <c:axId val="1223761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3729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'OIS DF Log Linear'!$I$62</c:f>
              <c:strCache>
                <c:ptCount val="1"/>
                <c:pt idx="0">
                  <c:v>Spot Curve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'OIS DF Log Linear'!$F$63:$F$182</c:f>
              <c:numCache>
                <c:formatCode>General</c:formatCode>
                <c:ptCount val="120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</c:numCache>
            </c:numRef>
          </c:cat>
          <c:val>
            <c:numRef>
              <c:f>'OIS DF Log Linear'!$I$63:$I$182</c:f>
              <c:numCache>
                <c:formatCode>General</c:formatCode>
                <c:ptCount val="120"/>
                <c:pt idx="0">
                  <c:v>3.6534696111140748E-2</c:v>
                </c:pt>
                <c:pt idx="1">
                  <c:v>3.6228089330315606E-2</c:v>
                </c:pt>
                <c:pt idx="2">
                  <c:v>3.5723704512331443E-2</c:v>
                </c:pt>
                <c:pt idx="3">
                  <c:v>3.4633283894350567E-2</c:v>
                </c:pt>
                <c:pt idx="4">
                  <c:v>3.4291211908558869E-2</c:v>
                </c:pt>
                <c:pt idx="5">
                  <c:v>3.4063163918031041E-2</c:v>
                </c:pt>
                <c:pt idx="6">
                  <c:v>3.390027249622541E-2</c:v>
                </c:pt>
                <c:pt idx="7">
                  <c:v>3.3778103929871225E-2</c:v>
                </c:pt>
                <c:pt idx="8">
                  <c:v>3.3876398030300056E-2</c:v>
                </c:pt>
                <c:pt idx="9">
                  <c:v>3.3955033310643104E-2</c:v>
                </c:pt>
                <c:pt idx="10">
                  <c:v>3.4019371267287442E-2</c:v>
                </c:pt>
                <c:pt idx="11">
                  <c:v>3.4072986231157724E-2</c:v>
                </c:pt>
                <c:pt idx="12">
                  <c:v>3.4313083675398211E-2</c:v>
                </c:pt>
                <c:pt idx="13">
                  <c:v>3.4518881484747209E-2</c:v>
                </c:pt>
                <c:pt idx="14">
                  <c:v>3.4697239586182996E-2</c:v>
                </c:pt>
                <c:pt idx="15">
                  <c:v>3.4853302924939294E-2</c:v>
                </c:pt>
                <c:pt idx="16">
                  <c:v>3.499100587090076E-2</c:v>
                </c:pt>
                <c:pt idx="17">
                  <c:v>3.5113408489533163E-2</c:v>
                </c:pt>
                <c:pt idx="18">
                  <c:v>3.522292662199375E-2</c:v>
                </c:pt>
                <c:pt idx="19">
                  <c:v>3.5321492941208274E-2</c:v>
                </c:pt>
                <c:pt idx="20">
                  <c:v>3.5536472149199028E-2</c:v>
                </c:pt>
                <c:pt idx="21">
                  <c:v>3.5731907792826992E-2</c:v>
                </c:pt>
                <c:pt idx="22">
                  <c:v>3.5910349032661222E-2</c:v>
                </c:pt>
                <c:pt idx="23">
                  <c:v>3.6073920169175933E-2</c:v>
                </c:pt>
                <c:pt idx="24">
                  <c:v>3.6224405614769466E-2</c:v>
                </c:pt>
                <c:pt idx="25">
                  <c:v>3.6363315256855794E-2</c:v>
                </c:pt>
                <c:pt idx="26">
                  <c:v>3.6491935295824618E-2</c:v>
                </c:pt>
                <c:pt idx="27">
                  <c:v>3.6611368189152824E-2</c:v>
                </c:pt>
                <c:pt idx="28">
                  <c:v>3.6825528196550224E-2</c:v>
                </c:pt>
                <c:pt idx="29">
                  <c:v>3.7025410870121143E-2</c:v>
                </c:pt>
                <c:pt idx="30">
                  <c:v>3.7212397887332653E-2</c:v>
                </c:pt>
                <c:pt idx="31">
                  <c:v>3.7387698215968442E-2</c:v>
                </c:pt>
                <c:pt idx="32">
                  <c:v>3.7552374282262664E-2</c:v>
                </c:pt>
                <c:pt idx="33">
                  <c:v>3.7707363521127822E-2</c:v>
                </c:pt>
                <c:pt idx="34">
                  <c:v>3.7853496232057818E-2</c:v>
                </c:pt>
                <c:pt idx="35">
                  <c:v>3.7991510459047251E-2</c:v>
                </c:pt>
                <c:pt idx="36">
                  <c:v>3.8122064457550772E-2</c:v>
                </c:pt>
                <c:pt idx="37">
                  <c:v>3.8245747192975174E-2</c:v>
                </c:pt>
                <c:pt idx="38">
                  <c:v>3.8363087224018828E-2</c:v>
                </c:pt>
                <c:pt idx="39">
                  <c:v>3.8474560253510301E-2</c:v>
                </c:pt>
                <c:pt idx="40">
                  <c:v>3.8673854747355761E-2</c:v>
                </c:pt>
                <c:pt idx="41">
                  <c:v>3.8863659027208577E-2</c:v>
                </c:pt>
                <c:pt idx="42">
                  <c:v>3.9044635201021728E-2</c:v>
                </c:pt>
                <c:pt idx="43">
                  <c:v>3.921738518511611E-2</c:v>
                </c:pt>
                <c:pt idx="44">
                  <c:v>3.9382457392139615E-2</c:v>
                </c:pt>
                <c:pt idx="45">
                  <c:v>3.9540352546683859E-2</c:v>
                </c:pt>
                <c:pt idx="46">
                  <c:v>3.969152875848151E-2</c:v>
                </c:pt>
                <c:pt idx="47">
                  <c:v>3.9836405961454276E-2</c:v>
                </c:pt>
                <c:pt idx="48">
                  <c:v>3.9975369809203666E-2</c:v>
                </c:pt>
                <c:pt idx="49">
                  <c:v>4.010877510304308E-2</c:v>
                </c:pt>
                <c:pt idx="50">
                  <c:v>4.023694881673192E-2</c:v>
                </c:pt>
                <c:pt idx="51">
                  <c:v>4.0360192772201972E-2</c:v>
                </c:pt>
                <c:pt idx="52">
                  <c:v>4.047878601237126E-2</c:v>
                </c:pt>
                <c:pt idx="53">
                  <c:v>4.0592986910312052E-2</c:v>
                </c:pt>
                <c:pt idx="54">
                  <c:v>4.0703035048327722E-2</c:v>
                </c:pt>
                <c:pt idx="55">
                  <c:v>4.0809152895699981E-2</c:v>
                </c:pt>
                <c:pt idx="56">
                  <c:v>4.0911547309831105E-2</c:v>
                </c:pt>
                <c:pt idx="57">
                  <c:v>4.101041088209563E-2</c:v>
                </c:pt>
                <c:pt idx="58">
                  <c:v>4.110592314682579E-2</c:v>
                </c:pt>
                <c:pt idx="59">
                  <c:v>4.1198251669398257E-2</c:v>
                </c:pt>
                <c:pt idx="60">
                  <c:v>4.1250413317043891E-2</c:v>
                </c:pt>
                <c:pt idx="61">
                  <c:v>4.1300892330894491E-2</c:v>
                </c:pt>
                <c:pt idx="62">
                  <c:v>4.1349768836368893E-2</c:v>
                </c:pt>
                <c:pt idx="63">
                  <c:v>4.1397117951047224E-2</c:v>
                </c:pt>
                <c:pt idx="64">
                  <c:v>4.1443010169889286E-2</c:v>
                </c:pt>
                <c:pt idx="65">
                  <c:v>4.1487511715433113E-2</c:v>
                </c:pt>
                <c:pt idx="66">
                  <c:v>4.1530684856632361E-2</c:v>
                </c:pt>
                <c:pt idx="67">
                  <c:v>4.1572588199561028E-2</c:v>
                </c:pt>
                <c:pt idx="68">
                  <c:v>4.161327695283959E-2</c:v>
                </c:pt>
                <c:pt idx="69">
                  <c:v>4.1652803170310192E-2</c:v>
                </c:pt>
                <c:pt idx="70">
                  <c:v>4.1691215973204153E-2</c:v>
                </c:pt>
                <c:pt idx="71">
                  <c:v>4.1728561753795509E-2</c:v>
                </c:pt>
                <c:pt idx="72">
                  <c:v>4.1764884362315874E-2</c:v>
                </c:pt>
                <c:pt idx="73">
                  <c:v>4.1800225278714062E-2</c:v>
                </c:pt>
                <c:pt idx="74">
                  <c:v>4.1834623770674963E-2</c:v>
                </c:pt>
                <c:pt idx="75">
                  <c:v>4.1868117039163211E-2</c:v>
                </c:pt>
                <c:pt idx="76">
                  <c:v>4.1900740352625795E-2</c:v>
                </c:pt>
                <c:pt idx="77">
                  <c:v>4.1932527170871377E-2</c:v>
                </c:pt>
                <c:pt idx="78">
                  <c:v>4.1963509259541135E-2</c:v>
                </c:pt>
                <c:pt idx="79">
                  <c:v>4.1993716795994139E-2</c:v>
                </c:pt>
                <c:pt idx="80">
                  <c:v>4.2023178467349542E-2</c:v>
                </c:pt>
                <c:pt idx="81">
                  <c:v>4.2051921561354816E-2</c:v>
                </c:pt>
                <c:pt idx="82">
                  <c:v>4.2079972050685262E-2</c:v>
                </c:pt>
                <c:pt idx="83">
                  <c:v>4.2107354671222126E-2</c:v>
                </c:pt>
                <c:pt idx="84">
                  <c:v>4.2134092994805181E-2</c:v>
                </c:pt>
                <c:pt idx="85">
                  <c:v>4.2160209496909566E-2</c:v>
                </c:pt>
                <c:pt idx="86">
                  <c:v>4.2185725619655223E-2</c:v>
                </c:pt>
                <c:pt idx="87">
                  <c:v>4.2210661830520295E-2</c:v>
                </c:pt>
                <c:pt idx="88">
                  <c:v>4.2235037677096271E-2</c:v>
                </c:pt>
                <c:pt idx="89">
                  <c:v>4.2258871838192776E-2</c:v>
                </c:pt>
                <c:pt idx="90">
                  <c:v>4.2282182171572875E-2</c:v>
                </c:pt>
                <c:pt idx="91">
                  <c:v>4.2304985758575143E-2</c:v>
                </c:pt>
                <c:pt idx="92">
                  <c:v>4.2327298945856934E-2</c:v>
                </c:pt>
                <c:pt idx="93">
                  <c:v>4.234913738447315E-2</c:v>
                </c:pt>
                <c:pt idx="94">
                  <c:v>4.2370516066486931E-2</c:v>
                </c:pt>
                <c:pt idx="95">
                  <c:v>4.2391449359292087E-2</c:v>
                </c:pt>
                <c:pt idx="96">
                  <c:v>4.2411951037812597E-2</c:v>
                </c:pt>
                <c:pt idx="97">
                  <c:v>4.2432034314730652E-2</c:v>
                </c:pt>
                <c:pt idx="98">
                  <c:v>4.2451711868882684E-2</c:v>
                </c:pt>
                <c:pt idx="99">
                  <c:v>4.2470995871951675E-2</c:v>
                </c:pt>
                <c:pt idx="100">
                  <c:v>4.2489898013573758E-2</c:v>
                </c:pt>
                <c:pt idx="101">
                  <c:v>4.2508429524967951E-2</c:v>
                </c:pt>
                <c:pt idx="102">
                  <c:v>4.2526601201189437E-2</c:v>
                </c:pt>
                <c:pt idx="103">
                  <c:v>4.2544423422098979E-2</c:v>
                </c:pt>
                <c:pt idx="104">
                  <c:v>4.2561906172134054E-2</c:v>
                </c:pt>
                <c:pt idx="105">
                  <c:v>4.2579059058960929E-2</c:v>
                </c:pt>
                <c:pt idx="106">
                  <c:v>4.259589133108075E-2</c:v>
                </c:pt>
                <c:pt idx="107">
                  <c:v>4.2612411894457615E-2</c:v>
                </c:pt>
                <c:pt idx="108">
                  <c:v>4.2628629328231235E-2</c:v>
                </c:pt>
                <c:pt idx="109">
                  <c:v>4.26445518995726E-2</c:v>
                </c:pt>
                <c:pt idx="110">
                  <c:v>4.2660187577736638E-2</c:v>
                </c:pt>
                <c:pt idx="111">
                  <c:v>4.2675544047362048E-2</c:v>
                </c:pt>
                <c:pt idx="112">
                  <c:v>4.2690628721064876E-2</c:v>
                </c:pt>
                <c:pt idx="113">
                  <c:v>4.2705448751369418E-2</c:v>
                </c:pt>
                <c:pt idx="114">
                  <c:v>4.2720011042016483E-2</c:v>
                </c:pt>
                <c:pt idx="115">
                  <c:v>4.2734322258686876E-2</c:v>
                </c:pt>
                <c:pt idx="116">
                  <c:v>4.2748388839174867E-2</c:v>
                </c:pt>
                <c:pt idx="117">
                  <c:v>4.276221700304441E-2</c:v>
                </c:pt>
                <c:pt idx="118">
                  <c:v>4.2775812760798497E-2</c:v>
                </c:pt>
                <c:pt idx="119">
                  <c:v>4.2789181922590028E-2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EF-B443-8DEC-1643CA85E25F}"/>
            </c:ext>
          </c:extLst>
        </c:ser>
        <c:ser>
          <c:idx val="2"/>
          <c:order val="2"/>
          <c:tx>
            <c:strRef>
              <c:f>'OIS DF Log Linear'!$J$62</c:f>
              <c:strCache>
                <c:ptCount val="1"/>
                <c:pt idx="0">
                  <c:v>Forward Curve(F(t,t+0.25))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'OIS DF Log Linear'!$F$63:$F$182</c:f>
              <c:numCache>
                <c:formatCode>General</c:formatCode>
                <c:ptCount val="120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</c:numCache>
            </c:numRef>
          </c:cat>
          <c:val>
            <c:numRef>
              <c:f>'OIS DF Log Linear'!$J$63:$J$182</c:f>
              <c:numCache>
                <c:formatCode>General</c:formatCode>
                <c:ptCount val="120"/>
                <c:pt idx="0">
                  <c:v>3.6534696111140748E-2</c:v>
                </c:pt>
                <c:pt idx="1">
                  <c:v>3.5921482549490465E-2</c:v>
                </c:pt>
                <c:pt idx="2">
                  <c:v>3.471493487636311E-2</c:v>
                </c:pt>
                <c:pt idx="3">
                  <c:v>3.1362022040407944E-2</c:v>
                </c:pt>
                <c:pt idx="4">
                  <c:v>3.2922923965392065E-2</c:v>
                </c:pt>
                <c:pt idx="5">
                  <c:v>3.2922923965391898E-2</c:v>
                </c:pt>
                <c:pt idx="6">
                  <c:v>3.2922923965391621E-2</c:v>
                </c:pt>
                <c:pt idx="7">
                  <c:v>3.2922923965391954E-2</c:v>
                </c:pt>
                <c:pt idx="8">
                  <c:v>3.4662750833730716E-2</c:v>
                </c:pt>
                <c:pt idx="9">
                  <c:v>3.4662750833730549E-2</c:v>
                </c:pt>
                <c:pt idx="10">
                  <c:v>3.4662750833730771E-2</c:v>
                </c:pt>
                <c:pt idx="11">
                  <c:v>3.4662750833730882E-2</c:v>
                </c:pt>
                <c:pt idx="12">
                  <c:v>3.7194253006284039E-2</c:v>
                </c:pt>
                <c:pt idx="13">
                  <c:v>3.7194253006284206E-2</c:v>
                </c:pt>
                <c:pt idx="14">
                  <c:v>3.7194253006283984E-2</c:v>
                </c:pt>
                <c:pt idx="15">
                  <c:v>3.7194253006283762E-2</c:v>
                </c:pt>
                <c:pt idx="16">
                  <c:v>3.7194253006284206E-2</c:v>
                </c:pt>
                <c:pt idx="17">
                  <c:v>3.7194253006283984E-2</c:v>
                </c:pt>
                <c:pt idx="18">
                  <c:v>3.7194253006284317E-2</c:v>
                </c:pt>
                <c:pt idx="19">
                  <c:v>3.7194253006284206E-2</c:v>
                </c:pt>
                <c:pt idx="20">
                  <c:v>3.9836056309014101E-2</c:v>
                </c:pt>
                <c:pt idx="21">
                  <c:v>3.9836056309014323E-2</c:v>
                </c:pt>
                <c:pt idx="22">
                  <c:v>3.9836056309014212E-2</c:v>
                </c:pt>
                <c:pt idx="23">
                  <c:v>3.9836056309014323E-2</c:v>
                </c:pt>
                <c:pt idx="24">
                  <c:v>3.9836056309014323E-2</c:v>
                </c:pt>
                <c:pt idx="25">
                  <c:v>3.983605630901399E-2</c:v>
                </c:pt>
                <c:pt idx="26">
                  <c:v>3.983605630901399E-2</c:v>
                </c:pt>
                <c:pt idx="27">
                  <c:v>3.9836056309014323E-2</c:v>
                </c:pt>
                <c:pt idx="28">
                  <c:v>4.2822008403677447E-2</c:v>
                </c:pt>
                <c:pt idx="29">
                  <c:v>4.2822008403677891E-2</c:v>
                </c:pt>
                <c:pt idx="30">
                  <c:v>4.2822008403677891E-2</c:v>
                </c:pt>
                <c:pt idx="31">
                  <c:v>4.2822008403677891E-2</c:v>
                </c:pt>
                <c:pt idx="32">
                  <c:v>4.2822008403677891E-2</c:v>
                </c:pt>
                <c:pt idx="33">
                  <c:v>4.2822008403677891E-2</c:v>
                </c:pt>
                <c:pt idx="34">
                  <c:v>4.2822008403677669E-2</c:v>
                </c:pt>
                <c:pt idx="35">
                  <c:v>4.2822008403677447E-2</c:v>
                </c:pt>
                <c:pt idx="36">
                  <c:v>4.2822008403677669E-2</c:v>
                </c:pt>
                <c:pt idx="37">
                  <c:v>4.2822008403677891E-2</c:v>
                </c:pt>
                <c:pt idx="38">
                  <c:v>4.2822008403677669E-2</c:v>
                </c:pt>
                <c:pt idx="39">
                  <c:v>4.2822008403677891E-2</c:v>
                </c:pt>
                <c:pt idx="40">
                  <c:v>4.6645634501174094E-2</c:v>
                </c:pt>
                <c:pt idx="41">
                  <c:v>4.6645634501173872E-2</c:v>
                </c:pt>
                <c:pt idx="42">
                  <c:v>4.6645634501174316E-2</c:v>
                </c:pt>
                <c:pt idx="43">
                  <c:v>4.6645634501174316E-2</c:v>
                </c:pt>
                <c:pt idx="44">
                  <c:v>4.6645634501173872E-2</c:v>
                </c:pt>
                <c:pt idx="45">
                  <c:v>4.664563450117476E-2</c:v>
                </c:pt>
                <c:pt idx="46">
                  <c:v>4.664563450117365E-2</c:v>
                </c:pt>
                <c:pt idx="47">
                  <c:v>4.6645634501174316E-2</c:v>
                </c:pt>
                <c:pt idx="48">
                  <c:v>4.6645634501174316E-2</c:v>
                </c:pt>
                <c:pt idx="49">
                  <c:v>4.6645634501174316E-2</c:v>
                </c:pt>
                <c:pt idx="50">
                  <c:v>4.6645634501174094E-2</c:v>
                </c:pt>
                <c:pt idx="51">
                  <c:v>4.6645634501174538E-2</c:v>
                </c:pt>
                <c:pt idx="52">
                  <c:v>4.6645634501174094E-2</c:v>
                </c:pt>
                <c:pt idx="53">
                  <c:v>4.6645634501174094E-2</c:v>
                </c:pt>
                <c:pt idx="54">
                  <c:v>4.6645634501174094E-2</c:v>
                </c:pt>
                <c:pt idx="55">
                  <c:v>4.6645634501174094E-2</c:v>
                </c:pt>
                <c:pt idx="56">
                  <c:v>4.6645634501174094E-2</c:v>
                </c:pt>
                <c:pt idx="57">
                  <c:v>4.664563450117365E-2</c:v>
                </c:pt>
                <c:pt idx="58">
                  <c:v>4.6645634501174982E-2</c:v>
                </c:pt>
                <c:pt idx="59">
                  <c:v>4.664563450117365E-2</c:v>
                </c:pt>
                <c:pt idx="60">
                  <c:v>4.4380112175781861E-2</c:v>
                </c:pt>
                <c:pt idx="61">
                  <c:v>4.4380112175781417E-2</c:v>
                </c:pt>
                <c:pt idx="62">
                  <c:v>4.4380112175781417E-2</c:v>
                </c:pt>
                <c:pt idx="63">
                  <c:v>4.4380112175782305E-2</c:v>
                </c:pt>
                <c:pt idx="64">
                  <c:v>4.4380112175781417E-2</c:v>
                </c:pt>
                <c:pt idx="65">
                  <c:v>4.4380112175781861E-2</c:v>
                </c:pt>
                <c:pt idx="66">
                  <c:v>4.4380112175782305E-2</c:v>
                </c:pt>
                <c:pt idx="67">
                  <c:v>4.4380112175781861E-2</c:v>
                </c:pt>
                <c:pt idx="68">
                  <c:v>4.4380112175781861E-2</c:v>
                </c:pt>
                <c:pt idx="69">
                  <c:v>4.4380112175781861E-2</c:v>
                </c:pt>
                <c:pt idx="70">
                  <c:v>4.4380112175781417E-2</c:v>
                </c:pt>
                <c:pt idx="71">
                  <c:v>4.4380112175781861E-2</c:v>
                </c:pt>
                <c:pt idx="72">
                  <c:v>4.4380112175781861E-2</c:v>
                </c:pt>
                <c:pt idx="73">
                  <c:v>4.4380112175781861E-2</c:v>
                </c:pt>
                <c:pt idx="74">
                  <c:v>4.4380112175781861E-2</c:v>
                </c:pt>
                <c:pt idx="75">
                  <c:v>4.4380112175781861E-2</c:v>
                </c:pt>
                <c:pt idx="76">
                  <c:v>4.4380112175781861E-2</c:v>
                </c:pt>
                <c:pt idx="77">
                  <c:v>4.4380112175781417E-2</c:v>
                </c:pt>
                <c:pt idx="78">
                  <c:v>4.4380112175781861E-2</c:v>
                </c:pt>
                <c:pt idx="79">
                  <c:v>4.4380112175781861E-2</c:v>
                </c:pt>
                <c:pt idx="80">
                  <c:v>4.4380112175781861E-2</c:v>
                </c:pt>
                <c:pt idx="81">
                  <c:v>4.4380112175781861E-2</c:v>
                </c:pt>
                <c:pt idx="82">
                  <c:v>4.4380112175781861E-2</c:v>
                </c:pt>
                <c:pt idx="83">
                  <c:v>4.4380112175781861E-2</c:v>
                </c:pt>
                <c:pt idx="84">
                  <c:v>4.4380112175781861E-2</c:v>
                </c:pt>
                <c:pt idx="85">
                  <c:v>4.4380112175781861E-2</c:v>
                </c:pt>
                <c:pt idx="86">
                  <c:v>4.4380112175781861E-2</c:v>
                </c:pt>
                <c:pt idx="87">
                  <c:v>4.4380112175781861E-2</c:v>
                </c:pt>
                <c:pt idx="88">
                  <c:v>4.4380112175781861E-2</c:v>
                </c:pt>
                <c:pt idx="89">
                  <c:v>4.4380112175781861E-2</c:v>
                </c:pt>
                <c:pt idx="90">
                  <c:v>4.4380112175781861E-2</c:v>
                </c:pt>
                <c:pt idx="91">
                  <c:v>4.4380112175781417E-2</c:v>
                </c:pt>
                <c:pt idx="92">
                  <c:v>4.4380112175781861E-2</c:v>
                </c:pt>
                <c:pt idx="93">
                  <c:v>4.4380112175781417E-2</c:v>
                </c:pt>
                <c:pt idx="94">
                  <c:v>4.4380112175781861E-2</c:v>
                </c:pt>
                <c:pt idx="95">
                  <c:v>4.4380112175781861E-2</c:v>
                </c:pt>
                <c:pt idx="96">
                  <c:v>4.4380112175781861E-2</c:v>
                </c:pt>
                <c:pt idx="97">
                  <c:v>4.4380112175781861E-2</c:v>
                </c:pt>
                <c:pt idx="98">
                  <c:v>4.4380112175781861E-2</c:v>
                </c:pt>
                <c:pt idx="99">
                  <c:v>4.4380112175781861E-2</c:v>
                </c:pt>
                <c:pt idx="100">
                  <c:v>4.4380112175781861E-2</c:v>
                </c:pt>
                <c:pt idx="101">
                  <c:v>4.4380112175781861E-2</c:v>
                </c:pt>
                <c:pt idx="102">
                  <c:v>4.4380112175780972E-2</c:v>
                </c:pt>
                <c:pt idx="103">
                  <c:v>4.4380112175781861E-2</c:v>
                </c:pt>
                <c:pt idx="104">
                  <c:v>4.4380112175781861E-2</c:v>
                </c:pt>
                <c:pt idx="105">
                  <c:v>4.4380112175782749E-2</c:v>
                </c:pt>
                <c:pt idx="106">
                  <c:v>4.4380112175781861E-2</c:v>
                </c:pt>
                <c:pt idx="107">
                  <c:v>4.4380112175781861E-2</c:v>
                </c:pt>
                <c:pt idx="108">
                  <c:v>4.4380112175781861E-2</c:v>
                </c:pt>
                <c:pt idx="109">
                  <c:v>4.4380112175781861E-2</c:v>
                </c:pt>
                <c:pt idx="110">
                  <c:v>4.4380112175780972E-2</c:v>
                </c:pt>
                <c:pt idx="111">
                  <c:v>4.4380112175781861E-2</c:v>
                </c:pt>
                <c:pt idx="112">
                  <c:v>4.4380112175781861E-2</c:v>
                </c:pt>
                <c:pt idx="113">
                  <c:v>4.4380112175782749E-2</c:v>
                </c:pt>
                <c:pt idx="114">
                  <c:v>4.4380112175781861E-2</c:v>
                </c:pt>
                <c:pt idx="115">
                  <c:v>4.4380112175781861E-2</c:v>
                </c:pt>
                <c:pt idx="116">
                  <c:v>4.4380112175781861E-2</c:v>
                </c:pt>
                <c:pt idx="117">
                  <c:v>4.4380112175780972E-2</c:v>
                </c:pt>
                <c:pt idx="118">
                  <c:v>4.4380112175780972E-2</c:v>
                </c:pt>
                <c:pt idx="119">
                  <c:v>4.4380112175781861E-2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EF-B443-8DEC-1643CA85E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7377023"/>
        <c:axId val="1877390911"/>
      </c:lineChart>
      <c:lineChart>
        <c:grouping val="standard"/>
        <c:varyColors val="0"/>
        <c:ser>
          <c:idx val="0"/>
          <c:order val="0"/>
          <c:tx>
            <c:strRef>
              <c:f>'OIS DF Log Linear'!$G$62</c:f>
              <c:strCache>
                <c:ptCount val="1"/>
                <c:pt idx="0">
                  <c:v>DF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'OIS DF Log Linear'!$F$63:$F$182</c:f>
              <c:numCache>
                <c:formatCode>General</c:formatCode>
                <c:ptCount val="120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</c:numCache>
            </c:numRef>
          </c:cat>
          <c:val>
            <c:numRef>
              <c:f>'OIS DF Log Linear'!$G$63:$G$182</c:f>
              <c:numCache>
                <c:formatCode>General</c:formatCode>
                <c:ptCount val="120"/>
                <c:pt idx="0">
                  <c:v>0.99090791126768507</c:v>
                </c:pt>
                <c:pt idx="1">
                  <c:v>0.98204902851907594</c:v>
                </c:pt>
                <c:pt idx="2">
                  <c:v>0.97356296391341313</c:v>
                </c:pt>
                <c:pt idx="3">
                  <c:v>0.96595958425099504</c:v>
                </c:pt>
                <c:pt idx="4">
                  <c:v>0.95804166061412643</c:v>
                </c:pt>
                <c:pt idx="5">
                  <c:v>0.95018863981143586</c:v>
                </c:pt>
                <c:pt idx="6">
                  <c:v>0.94239998983755457</c:v>
                </c:pt>
                <c:pt idx="7">
                  <c:v>0.93467518304793573</c:v>
                </c:pt>
                <c:pt idx="8">
                  <c:v>0.92661057296606908</c:v>
                </c:pt>
                <c:pt idx="9">
                  <c:v>0.91861554634694131</c:v>
                </c:pt>
                <c:pt idx="10">
                  <c:v>0.91068950280711936</c:v>
                </c:pt>
                <c:pt idx="11">
                  <c:v>0.9028318471434279</c:v>
                </c:pt>
                <c:pt idx="12">
                  <c:v>0.89447571831157713</c:v>
                </c:pt>
                <c:pt idx="13">
                  <c:v>0.88619692934016148</c:v>
                </c:pt>
                <c:pt idx="14">
                  <c:v>0.87799476441278657</c:v>
                </c:pt>
                <c:pt idx="15">
                  <c:v>0.86986851433827173</c:v>
                </c:pt>
                <c:pt idx="16">
                  <c:v>0.86181747648933049</c:v>
                </c:pt>
                <c:pt idx="17">
                  <c:v>0.8538409547418192</c:v>
                </c:pt>
                <c:pt idx="18">
                  <c:v>0.8459382594145467</c:v>
                </c:pt>
                <c:pt idx="19">
                  <c:v>0.83810870720964248</c:v>
                </c:pt>
                <c:pt idx="20">
                  <c:v>0.82980339579755025</c:v>
                </c:pt>
                <c:pt idx="21">
                  <c:v>0.82158038659405985</c:v>
                </c:pt>
                <c:pt idx="22">
                  <c:v>0.81343886401824916</c:v>
                </c:pt>
                <c:pt idx="23">
                  <c:v>0.80537802057126628</c:v>
                </c:pt>
                <c:pt idx="24">
                  <c:v>0.79739705675623973</c:v>
                </c:pt>
                <c:pt idx="25">
                  <c:v>0.78949518099898219</c:v>
                </c:pt>
                <c:pt idx="26">
                  <c:v>0.78167160956947968</c:v>
                </c:pt>
                <c:pt idx="27">
                  <c:v>0.77392556650415922</c:v>
                </c:pt>
                <c:pt idx="28">
                  <c:v>0.76568449583309939</c:v>
                </c:pt>
                <c:pt idx="29">
                  <c:v>0.75753117939674219</c:v>
                </c:pt>
                <c:pt idx="30">
                  <c:v>0.74946468275270561</c:v>
                </c:pt>
                <c:pt idx="31">
                  <c:v>0.74148408140892597</c:v>
                </c:pt>
                <c:pt idx="32">
                  <c:v>0.73358846071770278</c:v>
                </c:pt>
                <c:pt idx="33">
                  <c:v>0.72577691577087211</c:v>
                </c:pt>
                <c:pt idx="34">
                  <c:v>0.71804855129609613</c:v>
                </c:pt>
                <c:pt idx="35">
                  <c:v>0.71040248155425689</c:v>
                </c:pt>
                <c:pt idx="36">
                  <c:v>0.70283783023794266</c:v>
                </c:pt>
                <c:pt idx="37">
                  <c:v>0.69535373037101555</c:v>
                </c:pt>
                <c:pt idx="38">
                  <c:v>0.68794932420924826</c:v>
                </c:pt>
                <c:pt idx="39">
                  <c:v>0.68062376314201889</c:v>
                </c:pt>
                <c:pt idx="40">
                  <c:v>0.67273283043805632</c:v>
                </c:pt>
                <c:pt idx="41">
                  <c:v>0.66493338266646085</c:v>
                </c:pt>
                <c:pt idx="42">
                  <c:v>0.65722435918039068</c:v>
                </c:pt>
                <c:pt idx="43">
                  <c:v>0.64960471162980216</c:v>
                </c:pt>
                <c:pt idx="44">
                  <c:v>0.64207340381888434</c:v>
                </c:pt>
                <c:pt idx="45">
                  <c:v>0.63462941156514652</c:v>
                </c:pt>
                <c:pt idx="46">
                  <c:v>0.62727172256014041</c:v>
                </c:pt>
                <c:pt idx="47">
                  <c:v>0.61999933623179537</c:v>
                </c:pt>
                <c:pt idx="48">
                  <c:v>0.61281126360835136</c:v>
                </c:pt>
                <c:pt idx="49">
                  <c:v>0.6057065271838683</c:v>
                </c:pt>
                <c:pt idx="50">
                  <c:v>0.59868416078529541</c:v>
                </c:pt>
                <c:pt idx="51">
                  <c:v>0.59174320944108061</c:v>
                </c:pt>
                <c:pt idx="52">
                  <c:v>0.58488272925130491</c:v>
                </c:pt>
                <c:pt idx="53">
                  <c:v>0.57810178725932071</c:v>
                </c:pt>
                <c:pt idx="54">
                  <c:v>0.5713994613248794</c:v>
                </c:pt>
                <c:pt idx="55">
                  <c:v>0.56477483999872935</c:v>
                </c:pt>
                <c:pt idx="56">
                  <c:v>0.55822702239866817</c:v>
                </c:pt>
                <c:pt idx="57">
                  <c:v>0.55175511808703137</c:v>
                </c:pt>
                <c:pt idx="58">
                  <c:v>0.545358246949602</c:v>
                </c:pt>
                <c:pt idx="59">
                  <c:v>0.53903553907592416</c:v>
                </c:pt>
                <c:pt idx="60">
                  <c:v>0.53308797983323408</c:v>
                </c:pt>
                <c:pt idx="61">
                  <c:v>0.52720604420602213</c:v>
                </c:pt>
                <c:pt idx="62">
                  <c:v>0.52138900812265931</c:v>
                </c:pt>
                <c:pt idx="63">
                  <c:v>0.51563615550070974</c:v>
                </c:pt>
                <c:pt idx="64">
                  <c:v>0.50994677815878009</c:v>
                </c:pt>
                <c:pt idx="65">
                  <c:v>0.50432017572934162</c:v>
                </c:pt>
                <c:pt idx="66">
                  <c:v>0.4987556555725145</c:v>
                </c:pt>
                <c:pt idx="67">
                  <c:v>0.49325253269080332</c:v>
                </c:pt>
                <c:pt idx="68">
                  <c:v>0.48781012964477288</c:v>
                </c:pt>
                <c:pt idx="69">
                  <c:v>0.48242777646965512</c:v>
                </c:pt>
                <c:pt idx="70">
                  <c:v>0.47710481059287585</c:v>
                </c:pt>
                <c:pt idx="71">
                  <c:v>0.47184057675249103</c:v>
                </c:pt>
                <c:pt idx="72">
                  <c:v>0.46663442691652407</c:v>
                </c:pt>
                <c:pt idx="73">
                  <c:v>0.46148572020319206</c:v>
                </c:pt>
                <c:pt idx="74">
                  <c:v>0.45639382280201274</c:v>
                </c:pt>
                <c:pt idx="75">
                  <c:v>0.45135810789578201</c:v>
                </c:pt>
                <c:pt idx="76">
                  <c:v>0.44637795558341187</c:v>
                </c:pt>
                <c:pt idx="77">
                  <c:v>0.44145275280362029</c:v>
                </c:pt>
                <c:pt idx="78">
                  <c:v>0.43658189325946262</c:v>
                </c:pt>
                <c:pt idx="79">
                  <c:v>0.43176477734369606</c:v>
                </c:pt>
                <c:pt idx="80">
                  <c:v>0.42700081206496737</c:v>
                </c:pt>
                <c:pt idx="81">
                  <c:v>0.42228941097481504</c:v>
                </c:pt>
                <c:pt idx="82">
                  <c:v>0.41762999409547708</c:v>
                </c:pt>
                <c:pt idx="83">
                  <c:v>0.41302198784849509</c:v>
                </c:pt>
                <c:pt idx="84">
                  <c:v>0.40846482498410641</c:v>
                </c:pt>
                <c:pt idx="85">
                  <c:v>0.40395794451141492</c:v>
                </c:pt>
                <c:pt idx="86">
                  <c:v>0.39950079162933283</c:v>
                </c:pt>
                <c:pt idx="87">
                  <c:v>0.39509281765828386</c:v>
                </c:pt>
                <c:pt idx="88">
                  <c:v>0.39073347997266045</c:v>
                </c:pt>
                <c:pt idx="89">
                  <c:v>0.38642224193402619</c:v>
                </c:pt>
                <c:pt idx="90">
                  <c:v>0.38215857282505489</c:v>
                </c:pt>
                <c:pt idx="91">
                  <c:v>0.37794194778419882</c:v>
                </c:pt>
                <c:pt idx="92">
                  <c:v>0.37377184774107797</c:v>
                </c:pt>
                <c:pt idx="93">
                  <c:v>0.36964775935258182</c:v>
                </c:pt>
                <c:pt idx="94">
                  <c:v>0.36556917493967644</c:v>
                </c:pt>
                <c:pt idx="95">
                  <c:v>0.36153559242490868</c:v>
                </c:pt>
                <c:pt idx="96">
                  <c:v>0.35754651527060011</c:v>
                </c:pt>
                <c:pt idx="97">
                  <c:v>0.35360145241772251</c:v>
                </c:pt>
                <c:pt idx="98">
                  <c:v>0.34969991822544833</c:v>
                </c:pt>
                <c:pt idx="99">
                  <c:v>0.34584143241136778</c:v>
                </c:pt>
                <c:pt idx="100">
                  <c:v>0.34202551999236552</c:v>
                </c:pt>
                <c:pt idx="101">
                  <c:v>0.33825171122614994</c:v>
                </c:pt>
                <c:pt idx="102">
                  <c:v>0.33451954155342745</c:v>
                </c:pt>
                <c:pt idx="103">
                  <c:v>0.33082855154071461</c:v>
                </c:pt>
                <c:pt idx="104">
                  <c:v>0.32717828682378169</c:v>
                </c:pt>
                <c:pt idx="105">
                  <c:v>0.32356829805171999</c:v>
                </c:pt>
                <c:pt idx="106">
                  <c:v>0.31999814083162631</c:v>
                </c:pt>
                <c:pt idx="107">
                  <c:v>0.3164673756738976</c:v>
                </c:pt>
                <c:pt idx="108">
                  <c:v>0.3129755679381297</c:v>
                </c:pt>
                <c:pt idx="109">
                  <c:v>0.30952228777961233</c:v>
                </c:pt>
                <c:pt idx="110">
                  <c:v>0.30610711009641534</c:v>
                </c:pt>
                <c:pt idx="111">
                  <c:v>0.30272961447705754</c:v>
                </c:pt>
                <c:pt idx="112">
                  <c:v>0.29938938514875457</c:v>
                </c:pt>
                <c:pt idx="113">
                  <c:v>0.29608601092623599</c:v>
                </c:pt>
                <c:pt idx="114">
                  <c:v>0.29281908516112881</c:v>
                </c:pt>
                <c:pt idx="115">
                  <c:v>0.28958820569189808</c:v>
                </c:pt>
                <c:pt idx="116">
                  <c:v>0.28639297479434073</c:v>
                </c:pt>
                <c:pt idx="117">
                  <c:v>0.2832329991326254</c:v>
                </c:pt>
                <c:pt idx="118">
                  <c:v>0.28010788971087208</c:v>
                </c:pt>
                <c:pt idx="119">
                  <c:v>0.27701726182526681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EF-B443-8DEC-1643CA85E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7347391"/>
        <c:axId val="1871725887"/>
      </c:lineChart>
      <c:catAx>
        <c:axId val="187737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7390911"/>
        <c:crosses val="autoZero"/>
        <c:auto val="1"/>
        <c:lblAlgn val="ctr"/>
        <c:lblOffset val="100"/>
        <c:noMultiLvlLbl val="0"/>
      </c:catAx>
      <c:valAx>
        <c:axId val="1877390911"/>
        <c:scaling>
          <c:orientation val="minMax"/>
          <c:min val="0.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7377023"/>
        <c:crosses val="autoZero"/>
        <c:crossBetween val="between"/>
      </c:valAx>
      <c:valAx>
        <c:axId val="187172588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7347391"/>
        <c:crosses val="max"/>
        <c:crossBetween val="between"/>
      </c:valAx>
      <c:catAx>
        <c:axId val="18773473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717258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'Treasury DF Log Linear'!$H$22</c:f>
              <c:strCache>
                <c:ptCount val="1"/>
                <c:pt idx="0">
                  <c:v>Par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'Treasury DF Log Linear'!$F$23:$F$42</c:f>
              <c:numCache>
                <c:formatCode>General</c:formatCode>
                <c:ptCount val="2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</c:numCache>
            </c:numRef>
          </c:cat>
          <c:val>
            <c:numRef>
              <c:f>'Treasury DF Log Linear'!$H$23:$H$42</c:f>
              <c:numCache>
                <c:formatCode>0.000%</c:formatCode>
                <c:ptCount val="20"/>
                <c:pt idx="0">
                  <c:v>3.61E-2</c:v>
                </c:pt>
                <c:pt idx="1">
                  <c:v>3.5299999999999998E-2</c:v>
                </c:pt>
                <c:pt idx="2">
                  <c:v>3.5650000000000001E-2</c:v>
                </c:pt>
                <c:pt idx="3">
                  <c:v>3.5999999999999997E-2</c:v>
                </c:pt>
                <c:pt idx="4">
                  <c:v>3.635E-2</c:v>
                </c:pt>
                <c:pt idx="5">
                  <c:v>3.6700000000000003E-2</c:v>
                </c:pt>
                <c:pt idx="6">
                  <c:v>3.7124999999999998E-2</c:v>
                </c:pt>
                <c:pt idx="7">
                  <c:v>3.755E-2</c:v>
                </c:pt>
                <c:pt idx="8">
                  <c:v>3.7975000000000002E-2</c:v>
                </c:pt>
                <c:pt idx="9">
                  <c:v>3.8399999999999997E-2</c:v>
                </c:pt>
                <c:pt idx="10">
                  <c:v>3.8875E-2</c:v>
                </c:pt>
                <c:pt idx="11">
                  <c:v>3.9349999999999996E-2</c:v>
                </c:pt>
                <c:pt idx="12">
                  <c:v>3.9824999999999999E-2</c:v>
                </c:pt>
                <c:pt idx="13">
                  <c:v>4.0300000000000002E-2</c:v>
                </c:pt>
                <c:pt idx="14">
                  <c:v>4.0650000000000006E-2</c:v>
                </c:pt>
                <c:pt idx="15">
                  <c:v>4.1000000000000002E-2</c:v>
                </c:pt>
                <c:pt idx="16">
                  <c:v>4.1349999999999998E-2</c:v>
                </c:pt>
                <c:pt idx="17">
                  <c:v>4.1700000000000001E-2</c:v>
                </c:pt>
                <c:pt idx="18">
                  <c:v>4.2050000000000004E-2</c:v>
                </c:pt>
                <c:pt idx="19">
                  <c:v>4.24E-2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26-794A-8A4E-36EAB6B1DAB7}"/>
            </c:ext>
          </c:extLst>
        </c:ser>
        <c:ser>
          <c:idx val="2"/>
          <c:order val="2"/>
          <c:tx>
            <c:strRef>
              <c:f>'Treasury DF Log Linear'!$I$22</c:f>
              <c:strCache>
                <c:ptCount val="1"/>
                <c:pt idx="0">
                  <c:v>Spot(Continuously Compounded)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'Treasury DF Log Linear'!$F$23:$F$42</c:f>
              <c:numCache>
                <c:formatCode>General</c:formatCode>
                <c:ptCount val="2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</c:numCache>
            </c:numRef>
          </c:cat>
          <c:val>
            <c:numRef>
              <c:f>'Treasury DF Log Linear'!$I$23:$I$42</c:f>
              <c:numCache>
                <c:formatCode>0.000%</c:formatCode>
                <c:ptCount val="20"/>
                <c:pt idx="0">
                  <c:v>3.5778065671479814E-2</c:v>
                </c:pt>
                <c:pt idx="1">
                  <c:v>3.498516043116412E-2</c:v>
                </c:pt>
                <c:pt idx="2">
                  <c:v>3.5454247512935126E-2</c:v>
                </c:pt>
                <c:pt idx="3">
                  <c:v>3.5688791053820605E-2</c:v>
                </c:pt>
                <c:pt idx="4">
                  <c:v>3.6115052820222912E-2</c:v>
                </c:pt>
                <c:pt idx="5">
                  <c:v>3.6399227331157795E-2</c:v>
                </c:pt>
                <c:pt idx="6">
                  <c:v>3.7026847855131613E-2</c:v>
                </c:pt>
                <c:pt idx="7">
                  <c:v>3.7497563248112001E-2</c:v>
                </c:pt>
                <c:pt idx="8">
                  <c:v>3.7863675220430076E-2</c:v>
                </c:pt>
                <c:pt idx="9">
                  <c:v>3.815656479828454E-2</c:v>
                </c:pt>
                <c:pt idx="10">
                  <c:v>3.8804576838476261E-2</c:v>
                </c:pt>
                <c:pt idx="11">
                  <c:v>3.9344586871969359E-2</c:v>
                </c:pt>
                <c:pt idx="12">
                  <c:v>3.9801518438771215E-2</c:v>
                </c:pt>
                <c:pt idx="13">
                  <c:v>4.0193174067458502E-2</c:v>
                </c:pt>
                <c:pt idx="14">
                  <c:v>4.0710508321930967E-2</c:v>
                </c:pt>
                <c:pt idx="15">
                  <c:v>4.1163175794594352E-2</c:v>
                </c:pt>
                <c:pt idx="16">
                  <c:v>4.1562588270473814E-2</c:v>
                </c:pt>
                <c:pt idx="17">
                  <c:v>4.1917621582366671E-2</c:v>
                </c:pt>
                <c:pt idx="18">
                  <c:v>4.2235282966691857E-2</c:v>
                </c:pt>
                <c:pt idx="19">
                  <c:v>4.2521178212584526E-2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26-794A-8A4E-36EAB6B1DAB7}"/>
            </c:ext>
          </c:extLst>
        </c:ser>
        <c:ser>
          <c:idx val="3"/>
          <c:order val="3"/>
          <c:tx>
            <c:strRef>
              <c:f>'Treasury DF Log Linear'!$J$22</c:f>
              <c:strCache>
                <c:ptCount val="1"/>
                <c:pt idx="0">
                  <c:v>Spot(Semi Annually  Compounded)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'Treasury DF Log Linear'!$F$23:$F$42</c:f>
              <c:numCache>
                <c:formatCode>General</c:formatCode>
                <c:ptCount val="2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</c:numCache>
            </c:numRef>
          </c:cat>
          <c:val>
            <c:numRef>
              <c:f>'Treasury DF Log Linear'!$J$23:$J$42</c:f>
              <c:numCache>
                <c:formatCode>0.000%</c:formatCode>
                <c:ptCount val="20"/>
                <c:pt idx="0">
                  <c:v>3.6099999999999799E-2</c:v>
                </c:pt>
                <c:pt idx="1">
                  <c:v>3.5292942810635886E-2</c:v>
                </c:pt>
                <c:pt idx="2">
                  <c:v>3.5770363609975764E-2</c:v>
                </c:pt>
                <c:pt idx="3">
                  <c:v>3.600911600391532E-2</c:v>
                </c:pt>
                <c:pt idx="4">
                  <c:v>3.6443098670926766E-2</c:v>
                </c:pt>
                <c:pt idx="5">
                  <c:v>3.6732471839365122E-2</c:v>
                </c:pt>
                <c:pt idx="6">
                  <c:v>3.7371719685971527E-2</c:v>
                </c:pt>
                <c:pt idx="7">
                  <c:v>3.7851287233554132E-2</c:v>
                </c:pt>
                <c:pt idx="8">
                  <c:v>3.8224362256350286E-2</c:v>
                </c:pt>
                <c:pt idx="9">
                  <c:v>3.8522871449891749E-2</c:v>
                </c:pt>
                <c:pt idx="10">
                  <c:v>3.9183472145866816E-2</c:v>
                </c:pt>
                <c:pt idx="11">
                  <c:v>3.9734136251103003E-2</c:v>
                </c:pt>
                <c:pt idx="12">
                  <c:v>4.0200198946132915E-2</c:v>
                </c:pt>
                <c:pt idx="13">
                  <c:v>4.0599766013812211E-2</c:v>
                </c:pt>
                <c:pt idx="14">
                  <c:v>4.1127670365933344E-2</c:v>
                </c:pt>
                <c:pt idx="15">
                  <c:v>4.1589698702225064E-2</c:v>
                </c:pt>
                <c:pt idx="16">
                  <c:v>4.1997457615013278E-2</c:v>
                </c:pt>
                <c:pt idx="17">
                  <c:v>4.2359978350922312E-2</c:v>
                </c:pt>
                <c:pt idx="18">
                  <c:v>4.268439356279341E-2</c:v>
                </c:pt>
                <c:pt idx="19">
                  <c:v>4.2976411312407148E-2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26-794A-8A4E-36EAB6B1DAB7}"/>
            </c:ext>
          </c:extLst>
        </c:ser>
        <c:ser>
          <c:idx val="4"/>
          <c:order val="4"/>
          <c:tx>
            <c:strRef>
              <c:f>'Treasury DF Log Linear'!$K$22</c:f>
              <c:strCache>
                <c:ptCount val="1"/>
                <c:pt idx="0">
                  <c:v>Forward 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'Treasury DF Log Linear'!$F$23:$F$42</c:f>
              <c:numCache>
                <c:formatCode>General</c:formatCode>
                <c:ptCount val="2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</c:numCache>
            </c:numRef>
          </c:cat>
          <c:val>
            <c:numRef>
              <c:f>'Treasury DF Log Linear'!$K$23:$K$42</c:f>
              <c:numCache>
                <c:formatCode>0.000%</c:formatCode>
                <c:ptCount val="20"/>
                <c:pt idx="0">
                  <c:v>3.5778065671479814E-2</c:v>
                </c:pt>
                <c:pt idx="1">
                  <c:v>3.4192255190848425E-2</c:v>
                </c:pt>
                <c:pt idx="2">
                  <c:v>3.6392421676477132E-2</c:v>
                </c:pt>
                <c:pt idx="3">
                  <c:v>3.6392421676477049E-2</c:v>
                </c:pt>
                <c:pt idx="4">
                  <c:v>3.7820099885832154E-2</c:v>
                </c:pt>
                <c:pt idx="5">
                  <c:v>3.7820099885832181E-2</c:v>
                </c:pt>
                <c:pt idx="6">
                  <c:v>4.0792570998974542E-2</c:v>
                </c:pt>
                <c:pt idx="7">
                  <c:v>4.0792570998974709E-2</c:v>
                </c:pt>
                <c:pt idx="8">
                  <c:v>4.0792570998974709E-2</c:v>
                </c:pt>
                <c:pt idx="9">
                  <c:v>4.0792570998974709E-2</c:v>
                </c:pt>
                <c:pt idx="10">
                  <c:v>4.5284697240393468E-2</c:v>
                </c:pt>
                <c:pt idx="11">
                  <c:v>4.5284697240393412E-2</c:v>
                </c:pt>
                <c:pt idx="12">
                  <c:v>4.5284697240393468E-2</c:v>
                </c:pt>
                <c:pt idx="13">
                  <c:v>4.5284697240393301E-2</c:v>
                </c:pt>
                <c:pt idx="14">
                  <c:v>4.795318788454539E-2</c:v>
                </c:pt>
                <c:pt idx="15">
                  <c:v>4.7953187884545168E-2</c:v>
                </c:pt>
                <c:pt idx="16">
                  <c:v>4.7953187884545168E-2</c:v>
                </c:pt>
                <c:pt idx="17">
                  <c:v>4.7953187884545279E-2</c:v>
                </c:pt>
                <c:pt idx="18">
                  <c:v>4.7953187884545168E-2</c:v>
                </c:pt>
                <c:pt idx="19">
                  <c:v>4.7953187884545279E-2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26-794A-8A4E-36EAB6B1D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970431"/>
        <c:axId val="212967295"/>
      </c:lineChart>
      <c:lineChart>
        <c:grouping val="standard"/>
        <c:varyColors val="0"/>
        <c:ser>
          <c:idx val="0"/>
          <c:order val="0"/>
          <c:tx>
            <c:strRef>
              <c:f>'Treasury DF Log Linear'!$G$22</c:f>
              <c:strCache>
                <c:ptCount val="1"/>
                <c:pt idx="0">
                  <c:v>Discount Factor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'Treasury DF Log Linear'!$F$23:$F$42</c:f>
              <c:numCache>
                <c:formatCode>General</c:formatCode>
                <c:ptCount val="2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</c:numCache>
            </c:numRef>
          </c:cat>
          <c:val>
            <c:numRef>
              <c:f>'Treasury DF Log Linear'!$G$23:$G$42</c:f>
              <c:numCache>
                <c:formatCode>0.000000_);[Red]\(0.000000\)</c:formatCode>
                <c:ptCount val="20"/>
                <c:pt idx="0">
                  <c:v>0.98227002603015579</c:v>
                </c:pt>
                <c:pt idx="1">
                  <c:v>0.9656197455319292</c:v>
                </c:pt>
                <c:pt idx="2">
                  <c:v>0.94820801919335018</c:v>
                </c:pt>
                <c:pt idx="3">
                  <c:v>0.93111025517326396</c:v>
                </c:pt>
                <c:pt idx="4">
                  <c:v>0.91366834717248313</c:v>
                </c:pt>
                <c:pt idx="5">
                  <c:v>0.89655316756183379</c:v>
                </c:pt>
                <c:pt idx="6">
                  <c:v>0.87845203860205401</c:v>
                </c:pt>
                <c:pt idx="7">
                  <c:v>0.86071636579308963</c:v>
                </c:pt>
                <c:pt idx="8">
                  <c:v>0.84333877068918384</c:v>
                </c:pt>
                <c:pt idx="9">
                  <c:v>0.82631202381309932</c:v>
                </c:pt>
                <c:pt idx="10">
                  <c:v>0.80781260439657998</c:v>
                </c:pt>
                <c:pt idx="11">
                  <c:v>0.78972734876914485</c:v>
                </c:pt>
                <c:pt idx="12">
                  <c:v>0.77204698465903632</c:v>
                </c:pt>
                <c:pt idx="13">
                  <c:v>0.75476244738150899</c:v>
                </c:pt>
                <c:pt idx="14">
                  <c:v>0.73688103891876211</c:v>
                </c:pt>
                <c:pt idx="15">
                  <c:v>0.71942326675339718</c:v>
                </c:pt>
                <c:pt idx="16">
                  <c:v>0.70237909433192713</c:v>
                </c:pt>
                <c:pt idx="17">
                  <c:v>0.68573872288125937</c:v>
                </c:pt>
                <c:pt idx="18">
                  <c:v>0.6694925857753361</c:v>
                </c:pt>
                <c:pt idx="19">
                  <c:v>0.65363134303523707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26-794A-8A4E-36EAB6B1D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995135"/>
        <c:axId val="206498751"/>
      </c:lineChart>
      <c:catAx>
        <c:axId val="21297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2967295"/>
        <c:crosses val="autoZero"/>
        <c:auto val="1"/>
        <c:lblAlgn val="ctr"/>
        <c:lblOffset val="100"/>
        <c:noMultiLvlLbl val="0"/>
      </c:catAx>
      <c:valAx>
        <c:axId val="212967295"/>
        <c:scaling>
          <c:orientation val="minMax"/>
          <c:min val="3.4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2970431"/>
        <c:crosses val="autoZero"/>
        <c:crossBetween val="between"/>
      </c:valAx>
      <c:valAx>
        <c:axId val="206498751"/>
        <c:scaling>
          <c:orientation val="minMax"/>
          <c:max val="1"/>
          <c:min val="0.6"/>
        </c:scaling>
        <c:delete val="0"/>
        <c:axPos val="r"/>
        <c:numFmt formatCode="0.000000_);[Red]\(0.0000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2995135"/>
        <c:crosses val="max"/>
        <c:crossBetween val="between"/>
      </c:valAx>
      <c:catAx>
        <c:axId val="2129951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64987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'Treasury DF Log Linear'!$H$45</c:f>
              <c:strCache>
                <c:ptCount val="1"/>
                <c:pt idx="0">
                  <c:v>Par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'Treasury DF Log Linear'!$F$46:$F$85</c:f>
              <c:numCache>
                <c:formatCode>General</c:formatCode>
                <c:ptCount val="40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</c:numCache>
            </c:numRef>
          </c:cat>
          <c:val>
            <c:numRef>
              <c:f>'Treasury DF Log Linear'!$H$46:$H$85</c:f>
              <c:numCache>
                <c:formatCode>0.000%</c:formatCode>
                <c:ptCount val="40"/>
                <c:pt idx="0">
                  <c:v>3.6999999999999998E-2</c:v>
                </c:pt>
                <c:pt idx="1">
                  <c:v>3.61E-2</c:v>
                </c:pt>
                <c:pt idx="2">
                  <c:v>3.5699999999999996E-2</c:v>
                </c:pt>
                <c:pt idx="3">
                  <c:v>3.5299999999999998E-2</c:v>
                </c:pt>
                <c:pt idx="4">
                  <c:v>3.5475E-2</c:v>
                </c:pt>
                <c:pt idx="5">
                  <c:v>3.5650000000000001E-2</c:v>
                </c:pt>
                <c:pt idx="6">
                  <c:v>3.5824999999999996E-2</c:v>
                </c:pt>
                <c:pt idx="7">
                  <c:v>3.5999999999999997E-2</c:v>
                </c:pt>
                <c:pt idx="8">
                  <c:v>3.6174999999999999E-2</c:v>
                </c:pt>
                <c:pt idx="9">
                  <c:v>3.635E-2</c:v>
                </c:pt>
                <c:pt idx="10">
                  <c:v>3.6525000000000002E-2</c:v>
                </c:pt>
                <c:pt idx="11">
                  <c:v>3.6700000000000003E-2</c:v>
                </c:pt>
                <c:pt idx="12">
                  <c:v>3.6912500000000001E-2</c:v>
                </c:pt>
                <c:pt idx="13">
                  <c:v>3.7124999999999998E-2</c:v>
                </c:pt>
                <c:pt idx="14">
                  <c:v>3.7337500000000003E-2</c:v>
                </c:pt>
                <c:pt idx="15">
                  <c:v>3.755E-2</c:v>
                </c:pt>
                <c:pt idx="16">
                  <c:v>3.7762499999999997E-2</c:v>
                </c:pt>
                <c:pt idx="17">
                  <c:v>3.7975000000000002E-2</c:v>
                </c:pt>
                <c:pt idx="18">
                  <c:v>3.8187499999999999E-2</c:v>
                </c:pt>
                <c:pt idx="19">
                  <c:v>3.8399999999999997E-2</c:v>
                </c:pt>
                <c:pt idx="20">
                  <c:v>3.8637499999999998E-2</c:v>
                </c:pt>
                <c:pt idx="21">
                  <c:v>3.8875E-2</c:v>
                </c:pt>
                <c:pt idx="22">
                  <c:v>3.9112499999999994E-2</c:v>
                </c:pt>
                <c:pt idx="23">
                  <c:v>3.9349999999999996E-2</c:v>
                </c:pt>
                <c:pt idx="24">
                  <c:v>3.9587499999999998E-2</c:v>
                </c:pt>
                <c:pt idx="25">
                  <c:v>3.9824999999999999E-2</c:v>
                </c:pt>
                <c:pt idx="26">
                  <c:v>4.0062500000000001E-2</c:v>
                </c:pt>
                <c:pt idx="27">
                  <c:v>4.0300000000000002E-2</c:v>
                </c:pt>
                <c:pt idx="28">
                  <c:v>4.0475000000000004E-2</c:v>
                </c:pt>
                <c:pt idx="29">
                  <c:v>4.0649999999999999E-2</c:v>
                </c:pt>
                <c:pt idx="30">
                  <c:v>4.0825E-2</c:v>
                </c:pt>
                <c:pt idx="31">
                  <c:v>4.1000000000000002E-2</c:v>
                </c:pt>
                <c:pt idx="32">
                  <c:v>4.1174999999999996E-2</c:v>
                </c:pt>
                <c:pt idx="33">
                  <c:v>4.1350000000000005E-2</c:v>
                </c:pt>
                <c:pt idx="34">
                  <c:v>4.1524999999999999E-2</c:v>
                </c:pt>
                <c:pt idx="35">
                  <c:v>4.1699999999999994E-2</c:v>
                </c:pt>
                <c:pt idx="36">
                  <c:v>4.1874999999999996E-2</c:v>
                </c:pt>
                <c:pt idx="37">
                  <c:v>4.2049999999999997E-2</c:v>
                </c:pt>
                <c:pt idx="38">
                  <c:v>4.2224999999999992E-2</c:v>
                </c:pt>
                <c:pt idx="39">
                  <c:v>4.24E-2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03-BD4F-B1E2-419431C743A3}"/>
            </c:ext>
          </c:extLst>
        </c:ser>
        <c:ser>
          <c:idx val="2"/>
          <c:order val="2"/>
          <c:tx>
            <c:strRef>
              <c:f>'Treasury DF Log Linear'!$I$45</c:f>
              <c:strCache>
                <c:ptCount val="1"/>
                <c:pt idx="0">
                  <c:v>Spot(Continuously Compounded)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'Treasury DF Log Linear'!$F$46:$F$85</c:f>
              <c:numCache>
                <c:formatCode>General</c:formatCode>
                <c:ptCount val="40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</c:numCache>
            </c:numRef>
          </c:cat>
          <c:val>
            <c:numRef>
              <c:f>'Treasury DF Log Linear'!$I$46:$I$85</c:f>
              <c:numCache>
                <c:formatCode>0.000%</c:formatCode>
                <c:ptCount val="40"/>
                <c:pt idx="0">
                  <c:v>3.6661913369446707E-2</c:v>
                </c:pt>
                <c:pt idx="1">
                  <c:v>3.5778065671479814E-2</c:v>
                </c:pt>
                <c:pt idx="2">
                  <c:v>3.5249462177936043E-2</c:v>
                </c:pt>
                <c:pt idx="3">
                  <c:v>3.498516043116412E-2</c:v>
                </c:pt>
                <c:pt idx="4">
                  <c:v>3.5266612680226697E-2</c:v>
                </c:pt>
                <c:pt idx="5">
                  <c:v>3.5454247512935126E-2</c:v>
                </c:pt>
                <c:pt idx="6">
                  <c:v>3.558827239344111E-2</c:v>
                </c:pt>
                <c:pt idx="7">
                  <c:v>3.5688791053820605E-2</c:v>
                </c:pt>
                <c:pt idx="8">
                  <c:v>3.5925603146266347E-2</c:v>
                </c:pt>
                <c:pt idx="9">
                  <c:v>3.6115052820222912E-2</c:v>
                </c:pt>
                <c:pt idx="10">
                  <c:v>3.6270057098914656E-2</c:v>
                </c:pt>
                <c:pt idx="11">
                  <c:v>3.6399227331157795E-2</c:v>
                </c:pt>
                <c:pt idx="12">
                  <c:v>3.6737176844066764E-2</c:v>
                </c:pt>
                <c:pt idx="13">
                  <c:v>3.7026847855131613E-2</c:v>
                </c:pt>
                <c:pt idx="14">
                  <c:v>3.7277896064721136E-2</c:v>
                </c:pt>
                <c:pt idx="15">
                  <c:v>3.7497563248112001E-2</c:v>
                </c:pt>
                <c:pt idx="16">
                  <c:v>3.7691387233456872E-2</c:v>
                </c:pt>
                <c:pt idx="17">
                  <c:v>3.7863675220430076E-2</c:v>
                </c:pt>
                <c:pt idx="18">
                  <c:v>3.8017827629827174E-2</c:v>
                </c:pt>
                <c:pt idx="19">
                  <c:v>3.815656479828454E-2</c:v>
                </c:pt>
                <c:pt idx="20">
                  <c:v>3.8495999676480201E-2</c:v>
                </c:pt>
                <c:pt idx="21">
                  <c:v>3.8804576838476261E-2</c:v>
                </c:pt>
                <c:pt idx="22">
                  <c:v>3.9086321203777002E-2</c:v>
                </c:pt>
                <c:pt idx="23">
                  <c:v>3.9344586871969359E-2</c:v>
                </c:pt>
                <c:pt idx="24">
                  <c:v>3.9582191286706328E-2</c:v>
                </c:pt>
                <c:pt idx="25">
                  <c:v>3.9801518438771215E-2</c:v>
                </c:pt>
                <c:pt idx="26">
                  <c:v>4.0004599135127585E-2</c:v>
                </c:pt>
                <c:pt idx="27">
                  <c:v>4.0193174067458502E-2</c:v>
                </c:pt>
                <c:pt idx="28">
                  <c:v>4.0460760750806332E-2</c:v>
                </c:pt>
                <c:pt idx="29">
                  <c:v>4.0710508321930967E-2</c:v>
                </c:pt>
                <c:pt idx="30">
                  <c:v>4.0944143146531414E-2</c:v>
                </c:pt>
                <c:pt idx="31">
                  <c:v>4.1163175794594352E-2</c:v>
                </c:pt>
                <c:pt idx="32">
                  <c:v>4.1368933736714075E-2</c:v>
                </c:pt>
                <c:pt idx="33">
                  <c:v>4.1562588270473814E-2</c:v>
                </c:pt>
                <c:pt idx="34">
                  <c:v>4.1745176830875842E-2</c:v>
                </c:pt>
                <c:pt idx="35">
                  <c:v>4.1917621582366671E-2</c:v>
                </c:pt>
                <c:pt idx="36">
                  <c:v>4.2080744995939064E-2</c:v>
                </c:pt>
                <c:pt idx="37">
                  <c:v>4.2235282966691857E-2</c:v>
                </c:pt>
                <c:pt idx="38">
                  <c:v>4.2381895913303491E-2</c:v>
                </c:pt>
                <c:pt idx="39">
                  <c:v>4.2521178212584526E-2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03-BD4F-B1E2-419431C743A3}"/>
            </c:ext>
          </c:extLst>
        </c:ser>
        <c:ser>
          <c:idx val="3"/>
          <c:order val="3"/>
          <c:tx>
            <c:strRef>
              <c:f>'Treasury DF Log Linear'!$J$45</c:f>
              <c:strCache>
                <c:ptCount val="1"/>
                <c:pt idx="0">
                  <c:v>Spot(Semi Annually  Compounded)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'Treasury DF Log Linear'!$F$46:$F$85</c:f>
              <c:numCache>
                <c:formatCode>General</c:formatCode>
                <c:ptCount val="40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</c:numCache>
            </c:numRef>
          </c:cat>
          <c:val>
            <c:numRef>
              <c:f>'Treasury DF Log Linear'!$J$46:$J$85</c:f>
              <c:numCache>
                <c:formatCode>0.000%</c:formatCode>
                <c:ptCount val="40"/>
                <c:pt idx="0">
                  <c:v>3.6999999999999922E-2</c:v>
                </c:pt>
                <c:pt idx="1">
                  <c:v>3.6099999999999799E-2</c:v>
                </c:pt>
                <c:pt idx="2">
                  <c:v>3.5561926323436133E-2</c:v>
                </c:pt>
                <c:pt idx="3">
                  <c:v>3.5292942810635886E-2</c:v>
                </c:pt>
                <c:pt idx="4">
                  <c:v>3.5579381853018788E-2</c:v>
                </c:pt>
                <c:pt idx="5">
                  <c:v>3.5770363609975764E-2</c:v>
                </c:pt>
                <c:pt idx="6">
                  <c:v>3.5906790120921794E-2</c:v>
                </c:pt>
                <c:pt idx="7">
                  <c:v>3.600911600391532E-2</c:v>
                </c:pt>
                <c:pt idx="8">
                  <c:v>3.6250206066394064E-2</c:v>
                </c:pt>
                <c:pt idx="9">
                  <c:v>3.6443098670926766E-2</c:v>
                </c:pt>
                <c:pt idx="10">
                  <c:v>3.6600933483918574E-2</c:v>
                </c:pt>
                <c:pt idx="11">
                  <c:v>3.6732471839365122E-2</c:v>
                </c:pt>
                <c:pt idx="12">
                  <c:v>3.7076657291264858E-2</c:v>
                </c:pt>
                <c:pt idx="13">
                  <c:v>3.7371719685971527E-2</c:v>
                </c:pt>
                <c:pt idx="14">
                  <c:v>3.7627474998611632E-2</c:v>
                </c:pt>
                <c:pt idx="15">
                  <c:v>3.7851287233554132E-2</c:v>
                </c:pt>
                <c:pt idx="16">
                  <c:v>3.8048789032561814E-2</c:v>
                </c:pt>
                <c:pt idx="17">
                  <c:v>3.8224362256350286E-2</c:v>
                </c:pt>
                <c:pt idx="18">
                  <c:v>3.8381466908954831E-2</c:v>
                </c:pt>
                <c:pt idx="19">
                  <c:v>3.8522871449891749E-2</c:v>
                </c:pt>
                <c:pt idx="20">
                  <c:v>3.886887369165315E-2</c:v>
                </c:pt>
                <c:pt idx="21">
                  <c:v>3.9183472145866816E-2</c:v>
                </c:pt>
                <c:pt idx="22">
                  <c:v>3.947075660713173E-2</c:v>
                </c:pt>
                <c:pt idx="23">
                  <c:v>3.9734136251103003E-2</c:v>
                </c:pt>
                <c:pt idx="24">
                  <c:v>3.9976475563872071E-2</c:v>
                </c:pt>
                <c:pt idx="25">
                  <c:v>4.0200198946132915E-2</c:v>
                </c:pt>
                <c:pt idx="26">
                  <c:v>4.0407372102726491E-2</c:v>
                </c:pt>
                <c:pt idx="27">
                  <c:v>4.0599766013812211E-2</c:v>
                </c:pt>
                <c:pt idx="28">
                  <c:v>4.0872802940380204E-2</c:v>
                </c:pt>
                <c:pt idx="29">
                  <c:v>4.1127670365933344E-2</c:v>
                </c:pt>
                <c:pt idx="30">
                  <c:v>4.1366123546030309E-2</c:v>
                </c:pt>
                <c:pt idx="31">
                  <c:v>4.1589698702225064E-2</c:v>
                </c:pt>
                <c:pt idx="32">
                  <c:v>4.1799746154301598E-2</c:v>
                </c:pt>
                <c:pt idx="33">
                  <c:v>4.1997457615013278E-2</c:v>
                </c:pt>
                <c:pt idx="34">
                  <c:v>4.2183888812999726E-2</c:v>
                </c:pt>
                <c:pt idx="35">
                  <c:v>4.2359978350922312E-2</c:v>
                </c:pt>
                <c:pt idx="36">
                  <c:v>4.2526563510021376E-2</c:v>
                </c:pt>
                <c:pt idx="37">
                  <c:v>4.268439356279341E-2</c:v>
                </c:pt>
                <c:pt idx="38">
                  <c:v>4.2834141040425155E-2</c:v>
                </c:pt>
                <c:pt idx="39">
                  <c:v>4.2976411312407148E-2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03-BD4F-B1E2-419431C743A3}"/>
            </c:ext>
          </c:extLst>
        </c:ser>
        <c:ser>
          <c:idx val="4"/>
          <c:order val="4"/>
          <c:tx>
            <c:strRef>
              <c:f>'Treasury DF Log Linear'!$K$45</c:f>
              <c:strCache>
                <c:ptCount val="1"/>
                <c:pt idx="0">
                  <c:v>Forward 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'Treasury DF Log Linear'!$F$46:$F$85</c:f>
              <c:numCache>
                <c:formatCode>General</c:formatCode>
                <c:ptCount val="40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</c:numCache>
            </c:numRef>
          </c:cat>
          <c:val>
            <c:numRef>
              <c:f>'Treasury DF Log Linear'!$K$46:$K$85</c:f>
              <c:numCache>
                <c:formatCode>0.000%</c:formatCode>
                <c:ptCount val="40"/>
                <c:pt idx="0">
                  <c:v>3.6661913369446707E-2</c:v>
                </c:pt>
                <c:pt idx="1">
                  <c:v>3.4894217973512921E-2</c:v>
                </c:pt>
                <c:pt idx="2">
                  <c:v>3.4192255190848508E-2</c:v>
                </c:pt>
                <c:pt idx="3">
                  <c:v>3.4192255190848342E-2</c:v>
                </c:pt>
                <c:pt idx="4">
                  <c:v>3.6392421676476994E-2</c:v>
                </c:pt>
                <c:pt idx="5">
                  <c:v>3.6392421676477271E-2</c:v>
                </c:pt>
                <c:pt idx="6">
                  <c:v>3.6392421676477021E-2</c:v>
                </c:pt>
                <c:pt idx="7">
                  <c:v>3.6392421676477077E-2</c:v>
                </c:pt>
                <c:pt idx="8">
                  <c:v>3.7820099885832292E-2</c:v>
                </c:pt>
                <c:pt idx="9">
                  <c:v>3.7820099885832015E-2</c:v>
                </c:pt>
                <c:pt idx="10">
                  <c:v>3.782009988583207E-2</c:v>
                </c:pt>
                <c:pt idx="11">
                  <c:v>3.7820099885832292E-2</c:v>
                </c:pt>
                <c:pt idx="12">
                  <c:v>4.0792570998974431E-2</c:v>
                </c:pt>
                <c:pt idx="13">
                  <c:v>4.0792570998974653E-2</c:v>
                </c:pt>
                <c:pt idx="14">
                  <c:v>4.0792570998974487E-2</c:v>
                </c:pt>
                <c:pt idx="15">
                  <c:v>4.0792570998974931E-2</c:v>
                </c:pt>
                <c:pt idx="16">
                  <c:v>4.079257099897482E-2</c:v>
                </c:pt>
                <c:pt idx="17">
                  <c:v>4.0792570998974598E-2</c:v>
                </c:pt>
                <c:pt idx="18">
                  <c:v>4.079257099897482E-2</c:v>
                </c:pt>
                <c:pt idx="19">
                  <c:v>4.0792570998974598E-2</c:v>
                </c:pt>
                <c:pt idx="20">
                  <c:v>4.5284697240393412E-2</c:v>
                </c:pt>
                <c:pt idx="21">
                  <c:v>4.5284697240393523E-2</c:v>
                </c:pt>
                <c:pt idx="22">
                  <c:v>4.5284697240393301E-2</c:v>
                </c:pt>
                <c:pt idx="23">
                  <c:v>4.5284697240393523E-2</c:v>
                </c:pt>
                <c:pt idx="24">
                  <c:v>4.5284697240393634E-2</c:v>
                </c:pt>
                <c:pt idx="25">
                  <c:v>4.5284697240393301E-2</c:v>
                </c:pt>
                <c:pt idx="26">
                  <c:v>4.5284697240393301E-2</c:v>
                </c:pt>
                <c:pt idx="27">
                  <c:v>4.5284697240393301E-2</c:v>
                </c:pt>
                <c:pt idx="28">
                  <c:v>4.795318788454539E-2</c:v>
                </c:pt>
                <c:pt idx="29">
                  <c:v>4.795318788454539E-2</c:v>
                </c:pt>
                <c:pt idx="30">
                  <c:v>4.7953187884544946E-2</c:v>
                </c:pt>
                <c:pt idx="31">
                  <c:v>4.795318788454539E-2</c:v>
                </c:pt>
                <c:pt idx="32">
                  <c:v>4.7953187884545168E-2</c:v>
                </c:pt>
                <c:pt idx="33">
                  <c:v>4.7953187884545168E-2</c:v>
                </c:pt>
                <c:pt idx="34">
                  <c:v>4.7953187884544946E-2</c:v>
                </c:pt>
                <c:pt idx="35">
                  <c:v>4.7953187884545612E-2</c:v>
                </c:pt>
                <c:pt idx="36">
                  <c:v>4.7953187884545168E-2</c:v>
                </c:pt>
                <c:pt idx="37">
                  <c:v>4.7953187884545168E-2</c:v>
                </c:pt>
                <c:pt idx="38">
                  <c:v>4.7953187884545612E-2</c:v>
                </c:pt>
                <c:pt idx="39">
                  <c:v>4.7953187884544946E-2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03-BD4F-B1E2-419431C74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346815"/>
        <c:axId val="213347711"/>
      </c:lineChart>
      <c:lineChart>
        <c:grouping val="standard"/>
        <c:varyColors val="0"/>
        <c:ser>
          <c:idx val="0"/>
          <c:order val="0"/>
          <c:tx>
            <c:strRef>
              <c:f>'Treasury DF Log Linear'!$G$45</c:f>
              <c:strCache>
                <c:ptCount val="1"/>
                <c:pt idx="0">
                  <c:v>Discount Factor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'Treasury DF Log Linear'!$F$46:$F$85</c:f>
              <c:numCache>
                <c:formatCode>General</c:formatCode>
                <c:ptCount val="40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</c:numCache>
            </c:numRef>
          </c:cat>
          <c:val>
            <c:numRef>
              <c:f>'Treasury DF Log Linear'!$G$46:$G$85</c:f>
              <c:numCache>
                <c:formatCode>0.000000_);[Red]\(0.000000\)</c:formatCode>
                <c:ptCount val="40"/>
                <c:pt idx="0">
                  <c:v>0.99087639662191229</c:v>
                </c:pt>
                <c:pt idx="1">
                  <c:v>0.98227002603015579</c:v>
                </c:pt>
                <c:pt idx="2">
                  <c:v>0.97390930408271614</c:v>
                </c:pt>
                <c:pt idx="3">
                  <c:v>0.9656197455319292</c:v>
                </c:pt>
                <c:pt idx="4">
                  <c:v>0.95687427920538104</c:v>
                </c:pt>
                <c:pt idx="5">
                  <c:v>0.94820801919335018</c:v>
                </c:pt>
                <c:pt idx="6">
                  <c:v>0.93962024813669032</c:v>
                </c:pt>
                <c:pt idx="7">
                  <c:v>0.93111025517326396</c:v>
                </c:pt>
                <c:pt idx="8">
                  <c:v>0.92234807306108957</c:v>
                </c:pt>
                <c:pt idx="9">
                  <c:v>0.91366834717248313</c:v>
                </c:pt>
                <c:pt idx="10">
                  <c:v>0.90507030155589296</c:v>
                </c:pt>
                <c:pt idx="11">
                  <c:v>0.89655316756183379</c:v>
                </c:pt>
                <c:pt idx="12">
                  <c:v>0.88745645400764417</c:v>
                </c:pt>
                <c:pt idx="13">
                  <c:v>0.87845203860205401</c:v>
                </c:pt>
                <c:pt idx="14">
                  <c:v>0.86953898485869563</c:v>
                </c:pt>
                <c:pt idx="15">
                  <c:v>0.86071636579308963</c:v>
                </c:pt>
                <c:pt idx="16">
                  <c:v>0.85198326382623624</c:v>
                </c:pt>
                <c:pt idx="17">
                  <c:v>0.84333877068918384</c:v>
                </c:pt>
                <c:pt idx="18">
                  <c:v>0.83478198732856634</c:v>
                </c:pt>
                <c:pt idx="19">
                  <c:v>0.82631202381309932</c:v>
                </c:pt>
                <c:pt idx="20">
                  <c:v>0.81700995587610103</c:v>
                </c:pt>
                <c:pt idx="21">
                  <c:v>0.80781260439657998</c:v>
                </c:pt>
                <c:pt idx="22">
                  <c:v>0.79871879054671624</c:v>
                </c:pt>
                <c:pt idx="23">
                  <c:v>0.78972734876914485</c:v>
                </c:pt>
                <c:pt idx="24">
                  <c:v>0.78083712662756588</c:v>
                </c:pt>
                <c:pt idx="25">
                  <c:v>0.77204698465903632</c:v>
                </c:pt>
                <c:pt idx="26">
                  <c:v>0.76335579622792449</c:v>
                </c:pt>
                <c:pt idx="27">
                  <c:v>0.75476244738150899</c:v>
                </c:pt>
                <c:pt idx="28">
                  <c:v>0.74576815188324708</c:v>
                </c:pt>
                <c:pt idx="29">
                  <c:v>0.73688103891876211</c:v>
                </c:pt>
                <c:pt idx="30">
                  <c:v>0.72809983122342026</c:v>
                </c:pt>
                <c:pt idx="31">
                  <c:v>0.71942326675339718</c:v>
                </c:pt>
                <c:pt idx="32">
                  <c:v>0.71085009850429615</c:v>
                </c:pt>
                <c:pt idx="33">
                  <c:v>0.70237909433192713</c:v>
                </c:pt>
                <c:pt idx="34">
                  <c:v>0.69400903677522197</c:v>
                </c:pt>
                <c:pt idx="35">
                  <c:v>0.68573872288125937</c:v>
                </c:pt>
                <c:pt idx="36">
                  <c:v>0.67756696403237593</c:v>
                </c:pt>
                <c:pt idx="37">
                  <c:v>0.6694925857753361</c:v>
                </c:pt>
                <c:pt idx="38">
                  <c:v>0.66151442765253921</c:v>
                </c:pt>
                <c:pt idx="39">
                  <c:v>0.65363134303523707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03-BD4F-B1E2-419431C74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152063"/>
        <c:axId val="225164607"/>
      </c:lineChart>
      <c:catAx>
        <c:axId val="21334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3347711"/>
        <c:crosses val="autoZero"/>
        <c:auto val="1"/>
        <c:lblAlgn val="ctr"/>
        <c:lblOffset val="100"/>
        <c:noMultiLvlLbl val="0"/>
      </c:catAx>
      <c:valAx>
        <c:axId val="213347711"/>
        <c:scaling>
          <c:orientation val="minMax"/>
          <c:min val="3.4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3346815"/>
        <c:crosses val="autoZero"/>
        <c:crossBetween val="between"/>
      </c:valAx>
      <c:valAx>
        <c:axId val="225164607"/>
        <c:scaling>
          <c:orientation val="minMax"/>
          <c:max val="1"/>
          <c:min val="0.6"/>
        </c:scaling>
        <c:delete val="0"/>
        <c:axPos val="r"/>
        <c:numFmt formatCode="0.000000_);[Red]\(0.0000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25152063"/>
        <c:crosses val="max"/>
        <c:crossBetween val="between"/>
      </c:valAx>
      <c:catAx>
        <c:axId val="2251520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51646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490780</xdr:colOff>
      <xdr:row>43</xdr:row>
      <xdr:rowOff>205137</xdr:rowOff>
    </xdr:from>
    <xdr:to>
      <xdr:col>7</xdr:col>
      <xdr:colOff>596254</xdr:colOff>
      <xdr:row>56</xdr:row>
      <xdr:rowOff>10117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421C5966-5910-2A7A-79BE-9390CD26D3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1023533</xdr:colOff>
      <xdr:row>43</xdr:row>
      <xdr:rowOff>172849</xdr:rowOff>
    </xdr:from>
    <xdr:to>
      <xdr:col>11</xdr:col>
      <xdr:colOff>429432</xdr:colOff>
      <xdr:row>55</xdr:row>
      <xdr:rowOff>203846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840767FF-45BC-B878-1DF2-2BF394F64E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722178</xdr:colOff>
      <xdr:row>58</xdr:row>
      <xdr:rowOff>86748</xdr:rowOff>
    </xdr:from>
    <xdr:to>
      <xdr:col>7</xdr:col>
      <xdr:colOff>827652</xdr:colOff>
      <xdr:row>70</xdr:row>
      <xdr:rowOff>117745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50D5D6C7-41E0-B218-05AB-3DAE6B074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1260313</xdr:colOff>
      <xdr:row>58</xdr:row>
      <xdr:rowOff>97510</xdr:rowOff>
    </xdr:from>
    <xdr:to>
      <xdr:col>11</xdr:col>
      <xdr:colOff>666212</xdr:colOff>
      <xdr:row>70</xdr:row>
      <xdr:rowOff>128507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E171443F-92D7-B631-6218-D3B5A9C08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439013</xdr:colOff>
      <xdr:row>26</xdr:row>
      <xdr:rowOff>94075</xdr:rowOff>
    </xdr:from>
    <xdr:to>
      <xdr:col>17</xdr:col>
      <xdr:colOff>1364075</xdr:colOff>
      <xdr:row>57</xdr:row>
      <xdr:rowOff>78395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A456C06B-932D-B791-E72A-138EABB420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473506</xdr:colOff>
      <xdr:row>58</xdr:row>
      <xdr:rowOff>78708</xdr:rowOff>
    </xdr:from>
    <xdr:to>
      <xdr:col>18</xdr:col>
      <xdr:colOff>15679</xdr:colOff>
      <xdr:row>82</xdr:row>
      <xdr:rowOff>94073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DC30F903-F38A-6855-D4A9-CAA938685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622300</xdr:colOff>
      <xdr:row>20</xdr:row>
      <xdr:rowOff>184150</xdr:rowOff>
    </xdr:from>
    <xdr:to>
      <xdr:col>20</xdr:col>
      <xdr:colOff>977900</xdr:colOff>
      <xdr:row>47</xdr:row>
      <xdr:rowOff>215900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E659B70-A7A8-1345-B6F0-176D796724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628650</xdr:colOff>
      <xdr:row>48</xdr:row>
      <xdr:rowOff>247650</xdr:rowOff>
    </xdr:from>
    <xdr:to>
      <xdr:col>20</xdr:col>
      <xdr:colOff>939800</xdr:colOff>
      <xdr:row>77</xdr:row>
      <xdr:rowOff>63500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35DC49F-1394-A74C-B6EE-9B874DCD28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44450-97A6-EA4F-AC41-0769A22F1296}">
  <dimension ref="B2:N55"/>
  <sheetViews>
    <sheetView tabSelected="1" topLeftCell="B28" zoomScale="59" zoomScaleNormal="64" workbookViewId="0">
      <selection activeCell="M63" sqref="M63"/>
    </sheetView>
  </sheetViews>
  <sheetFormatPr defaultColWidth="15.69140625" defaultRowHeight="17.5"/>
  <cols>
    <col min="1" max="1" width="3.69140625" style="2" customWidth="1"/>
    <col min="2" max="4" width="15.69140625" style="29"/>
    <col min="5" max="5" width="22.84375" style="29" bestFit="1" customWidth="1"/>
    <col min="6" max="16384" width="15.69140625" style="2"/>
  </cols>
  <sheetData>
    <row r="2" spans="2:14" s="29" customFormat="1">
      <c r="B2" s="29" t="s">
        <v>1</v>
      </c>
      <c r="C2" s="29" t="s">
        <v>116</v>
      </c>
      <c r="D2" s="29" t="s">
        <v>117</v>
      </c>
      <c r="E2" s="29" t="s">
        <v>118</v>
      </c>
      <c r="F2" s="29" t="s">
        <v>109</v>
      </c>
      <c r="G2" s="29" t="s">
        <v>112</v>
      </c>
      <c r="H2" s="29" t="s">
        <v>115</v>
      </c>
      <c r="I2" s="29" t="s">
        <v>110</v>
      </c>
      <c r="J2" s="29" t="s">
        <v>113</v>
      </c>
      <c r="K2" s="29" t="s">
        <v>115</v>
      </c>
      <c r="L2" s="29" t="s">
        <v>111</v>
      </c>
      <c r="M2" s="29" t="s">
        <v>114</v>
      </c>
      <c r="N2" s="29" t="s">
        <v>115</v>
      </c>
    </row>
    <row r="3" spans="2:14">
      <c r="B3" s="29" cm="1">
        <f t="array" ref="B3:B42">_xlfn.SEQUENCE(40,1,0.25,0.25)</f>
        <v>0.25</v>
      </c>
      <c r="C3" s="2">
        <f>-LN(F3)/B3</f>
        <v>3.6534696111140748E-2</v>
      </c>
      <c r="D3" s="2">
        <f>VLOOKUP(B3,'Treasury DF Log Linear'!$G$5:$H$18,2,0)</f>
        <v>3.6999999999999998E-2</v>
      </c>
      <c r="E3" s="2">
        <f>C3-D3</f>
        <v>-4.6530388885925034E-4</v>
      </c>
      <c r="F3" s="2">
        <f>'OIS DF Log Linear'!G63</f>
        <v>0.99090791126768507</v>
      </c>
      <c r="G3" s="2">
        <f>'Treasury DF Log Linear'!G46</f>
        <v>0.99087639662191229</v>
      </c>
      <c r="H3" s="2">
        <f>F3-G3</f>
        <v>3.1514645772778849E-5</v>
      </c>
      <c r="I3" s="2">
        <f>'OIS DF Log Linear'!I63</f>
        <v>3.6534696111140748E-2</v>
      </c>
      <c r="J3" s="2">
        <f>'Treasury DF Log Linear'!I46</f>
        <v>3.6661913369446707E-2</v>
      </c>
      <c r="K3" s="2">
        <f>I3-J3</f>
        <v>-1.2721725830595887E-4</v>
      </c>
      <c r="L3" s="2">
        <f>'OIS DF Log Linear'!J63</f>
        <v>3.6534696111140748E-2</v>
      </c>
      <c r="M3" s="2">
        <f>'Treasury DF Log Linear'!K46</f>
        <v>3.6661913369446707E-2</v>
      </c>
      <c r="N3" s="2">
        <f>L3-M3</f>
        <v>-1.2721725830595887E-4</v>
      </c>
    </row>
    <row r="4" spans="2:14">
      <c r="B4" s="29">
        <v>0.5</v>
      </c>
      <c r="C4" s="2">
        <f t="shared" ref="C4:C5" si="0">-LN(F4)/B4</f>
        <v>3.6228089330315606E-2</v>
      </c>
      <c r="D4" s="2">
        <f>VLOOKUP(B4,'Treasury DF Log Linear'!$G$5:$H$18,2,0)</f>
        <v>3.61E-2</v>
      </c>
      <c r="E4" s="2">
        <f t="shared" ref="E4:E42" si="1">C4-D4</f>
        <v>1.280893303156061E-4</v>
      </c>
      <c r="F4" s="2">
        <f>'OIS DF Log Linear'!G64</f>
        <v>0.98204902851907594</v>
      </c>
      <c r="G4" s="2">
        <f>'Treasury DF Log Linear'!G47</f>
        <v>0.98227002603015579</v>
      </c>
      <c r="H4" s="2">
        <f t="shared" ref="H4:H42" si="2">F4-G4</f>
        <v>-2.2099751107984567E-4</v>
      </c>
      <c r="I4" s="2">
        <f>'OIS DF Log Linear'!I64</f>
        <v>3.6228089330315606E-2</v>
      </c>
      <c r="J4" s="2">
        <f>'Treasury DF Log Linear'!I47</f>
        <v>3.5778065671479814E-2</v>
      </c>
      <c r="K4" s="2">
        <f t="shared" ref="K4:K42" si="3">I4-J4</f>
        <v>4.5002365883579226E-4</v>
      </c>
      <c r="L4" s="2">
        <f>'OIS DF Log Linear'!J64</f>
        <v>3.5921482549490465E-2</v>
      </c>
      <c r="M4" s="2">
        <f>'Treasury DF Log Linear'!K47</f>
        <v>3.4894217973512921E-2</v>
      </c>
      <c r="N4" s="2">
        <f>L4-M4</f>
        <v>1.0272645759775434E-3</v>
      </c>
    </row>
    <row r="5" spans="2:14">
      <c r="B5" s="29">
        <v>0.75</v>
      </c>
      <c r="C5" s="2">
        <f t="shared" si="0"/>
        <v>3.5723704512331443E-2</v>
      </c>
      <c r="D5" s="2">
        <f>AVERAGE(D4,D6)</f>
        <v>3.5699999999999996E-2</v>
      </c>
      <c r="E5" s="2">
        <f t="shared" si="1"/>
        <v>2.3704512331447491E-5</v>
      </c>
      <c r="F5" s="2">
        <f>'OIS DF Log Linear'!G65</f>
        <v>0.97356296391341313</v>
      </c>
      <c r="G5" s="2">
        <f>'Treasury DF Log Linear'!G48</f>
        <v>0.97390930408271614</v>
      </c>
      <c r="H5" s="2">
        <f t="shared" si="2"/>
        <v>-3.4634016930301659E-4</v>
      </c>
      <c r="I5" s="2">
        <f>'OIS DF Log Linear'!I65</f>
        <v>3.5723704512331443E-2</v>
      </c>
      <c r="J5" s="2">
        <f>'Treasury DF Log Linear'!I48</f>
        <v>3.5249462177936043E-2</v>
      </c>
      <c r="K5" s="2">
        <f t="shared" si="3"/>
        <v>4.7424233439539998E-4</v>
      </c>
      <c r="L5" s="2">
        <f>'OIS DF Log Linear'!J65</f>
        <v>3.471493487636311E-2</v>
      </c>
      <c r="M5" s="2">
        <f>'Treasury DF Log Linear'!K48</f>
        <v>3.4192255190848508E-2</v>
      </c>
      <c r="N5" s="2">
        <f>L5-M5</f>
        <v>5.2267968551460153E-4</v>
      </c>
    </row>
    <row r="6" spans="2:14">
      <c r="B6" s="29">
        <v>1</v>
      </c>
      <c r="C6" s="2">
        <v>3.524E-2</v>
      </c>
      <c r="D6" s="2">
        <f>VLOOKUP(B6,'Treasury DF Log Linear'!$G$5:$H$18,2,0)</f>
        <v>3.5299999999999998E-2</v>
      </c>
      <c r="E6" s="2">
        <f t="shared" si="1"/>
        <v>-5.9999999999997555E-5</v>
      </c>
      <c r="F6" s="2">
        <f>'OIS DF Log Linear'!G66</f>
        <v>0.96595958425099504</v>
      </c>
      <c r="G6" s="2">
        <f>'Treasury DF Log Linear'!G49</f>
        <v>0.9656197455319292</v>
      </c>
      <c r="H6" s="2">
        <f t="shared" si="2"/>
        <v>3.3983871906584362E-4</v>
      </c>
      <c r="I6" s="2">
        <f>'OIS DF Log Linear'!I66</f>
        <v>3.4633283894350567E-2</v>
      </c>
      <c r="J6" s="2">
        <f>'Treasury DF Log Linear'!I49</f>
        <v>3.498516043116412E-2</v>
      </c>
      <c r="K6" s="2">
        <f t="shared" si="3"/>
        <v>-3.5187653681355291E-4</v>
      </c>
      <c r="L6" s="2">
        <f>'OIS DF Log Linear'!J66</f>
        <v>3.1362022040407944E-2</v>
      </c>
      <c r="M6" s="2">
        <f>'Treasury DF Log Linear'!K49</f>
        <v>3.4192255190848342E-2</v>
      </c>
      <c r="N6" s="2">
        <f>L6-M6</f>
        <v>-2.8302331504403977E-3</v>
      </c>
    </row>
    <row r="7" spans="2:14">
      <c r="B7" s="29">
        <v>1.25</v>
      </c>
      <c r="C7" s="2">
        <f>$C$6 + (B7 - $B$6) * ($C$10 - $C$6) / ($B$10 - $B$6)</f>
        <v>3.5022499999999998E-2</v>
      </c>
      <c r="D7" s="2" cm="1">
        <f t="array" ref="D7:D9">TREND(CHOOSE({1,2}, D6, D10), CHOOSE({1,2}, B6, B10), B7:B9)</f>
        <v>3.5475E-2</v>
      </c>
      <c r="E7" s="2">
        <f>C7-D7</f>
        <v>-4.5250000000000151E-4</v>
      </c>
      <c r="F7" s="2">
        <f>'OIS DF Log Linear'!G67</f>
        <v>0.95804166061412643</v>
      </c>
      <c r="G7" s="2">
        <f>'Treasury DF Log Linear'!G50</f>
        <v>0.95687427920538104</v>
      </c>
      <c r="H7" s="2">
        <f t="shared" si="2"/>
        <v>1.1673814087453938E-3</v>
      </c>
      <c r="I7" s="2">
        <f>'OIS DF Log Linear'!I67</f>
        <v>3.4291211908558869E-2</v>
      </c>
      <c r="J7" s="2">
        <f>'Treasury DF Log Linear'!I50</f>
        <v>3.5266612680226697E-2</v>
      </c>
      <c r="K7" s="2">
        <f t="shared" si="3"/>
        <v>-9.7540077166782813E-4</v>
      </c>
      <c r="L7" s="2">
        <f>'OIS DF Log Linear'!J67</f>
        <v>3.2922923965392065E-2</v>
      </c>
      <c r="M7" s="2">
        <f>'Treasury DF Log Linear'!K50</f>
        <v>3.6392421676476994E-2</v>
      </c>
      <c r="N7" s="2">
        <f>L7-M7</f>
        <v>-3.469497711084929E-3</v>
      </c>
    </row>
    <row r="8" spans="2:14">
      <c r="B8" s="29">
        <v>1.5</v>
      </c>
      <c r="C8" s="2">
        <f t="shared" ref="C8:C9" si="4">$C$6 + (B8 - $B$6) * ($C$10 - $C$6) / ($B$10 - $B$6)</f>
        <v>3.4805000000000003E-2</v>
      </c>
      <c r="D8" s="2">
        <v>3.5650000000000001E-2</v>
      </c>
      <c r="E8" s="2">
        <f>C8-D8</f>
        <v>-8.4499999999999853E-4</v>
      </c>
      <c r="F8" s="2">
        <f>'OIS DF Log Linear'!G68</f>
        <v>0.95018863981143586</v>
      </c>
      <c r="G8" s="2">
        <f>'Treasury DF Log Linear'!G51</f>
        <v>0.94820801919335018</v>
      </c>
      <c r="H8" s="2">
        <f t="shared" si="2"/>
        <v>1.9806206180856822E-3</v>
      </c>
      <c r="I8" s="2">
        <f>'OIS DF Log Linear'!I68</f>
        <v>3.4063163918031041E-2</v>
      </c>
      <c r="J8" s="2">
        <f>'Treasury DF Log Linear'!I51</f>
        <v>3.5454247512935126E-2</v>
      </c>
      <c r="K8" s="2">
        <f t="shared" si="3"/>
        <v>-1.3910835949040856E-3</v>
      </c>
      <c r="L8" s="2">
        <f>'OIS DF Log Linear'!J68</f>
        <v>3.2922923965391898E-2</v>
      </c>
      <c r="M8" s="2">
        <f>'Treasury DF Log Linear'!K51</f>
        <v>3.6392421676477271E-2</v>
      </c>
      <c r="N8" s="2">
        <f>L8-M8</f>
        <v>-3.4694977110853731E-3</v>
      </c>
    </row>
    <row r="9" spans="2:14">
      <c r="B9" s="29">
        <v>1.75</v>
      </c>
      <c r="C9" s="2">
        <f t="shared" si="4"/>
        <v>3.45875E-2</v>
      </c>
      <c r="D9" s="2">
        <v>3.5824999999999996E-2</v>
      </c>
      <c r="E9" s="2">
        <f t="shared" si="1"/>
        <v>-1.2374999999999955E-3</v>
      </c>
      <c r="F9" s="2">
        <f>'OIS DF Log Linear'!G69</f>
        <v>0.94239998983755457</v>
      </c>
      <c r="G9" s="2">
        <f>'Treasury DF Log Linear'!G52</f>
        <v>0.93962024813669032</v>
      </c>
      <c r="H9" s="2">
        <f t="shared" si="2"/>
        <v>2.7797417008642578E-3</v>
      </c>
      <c r="I9" s="2">
        <f>'OIS DF Log Linear'!I69</f>
        <v>3.390027249622541E-2</v>
      </c>
      <c r="J9" s="2">
        <f>'Treasury DF Log Linear'!I52</f>
        <v>3.558827239344111E-2</v>
      </c>
      <c r="K9" s="2">
        <f t="shared" si="3"/>
        <v>-1.6879998972157001E-3</v>
      </c>
      <c r="L9" s="2">
        <f>'OIS DF Log Linear'!J69</f>
        <v>3.2922923965391621E-2</v>
      </c>
      <c r="M9" s="2">
        <f>'Treasury DF Log Linear'!K52</f>
        <v>3.6392421676477021E-2</v>
      </c>
      <c r="N9" s="2">
        <f>L9-M9</f>
        <v>-3.4694977110854008E-3</v>
      </c>
    </row>
    <row r="10" spans="2:14">
      <c r="B10" s="29">
        <v>2</v>
      </c>
      <c r="C10" s="2">
        <v>3.4369999999999998E-2</v>
      </c>
      <c r="D10" s="2">
        <f>VLOOKUP(B10,'Treasury DF Log Linear'!$G$5:$H$18,2,0)</f>
        <v>3.5999999999999997E-2</v>
      </c>
      <c r="E10" s="2">
        <f t="shared" si="1"/>
        <v>-1.6299999999999995E-3</v>
      </c>
      <c r="F10" s="2">
        <f>'OIS DF Log Linear'!G70</f>
        <v>0.93467518304793573</v>
      </c>
      <c r="G10" s="2">
        <f>'Treasury DF Log Linear'!G53</f>
        <v>0.93111025517326396</v>
      </c>
      <c r="H10" s="2">
        <f t="shared" si="2"/>
        <v>3.564927874671775E-3</v>
      </c>
      <c r="I10" s="2">
        <f>'OIS DF Log Linear'!I70</f>
        <v>3.3778103929871225E-2</v>
      </c>
      <c r="J10" s="2">
        <f>'Treasury DF Log Linear'!I53</f>
        <v>3.5688791053820605E-2</v>
      </c>
      <c r="K10" s="2">
        <f t="shared" si="3"/>
        <v>-1.9106871239493797E-3</v>
      </c>
      <c r="L10" s="2">
        <f>'OIS DF Log Linear'!J70</f>
        <v>3.2922923965391954E-2</v>
      </c>
      <c r="M10" s="2">
        <f>'Treasury DF Log Linear'!K53</f>
        <v>3.6392421676477077E-2</v>
      </c>
      <c r="N10" s="2">
        <f>L10-M10</f>
        <v>-3.4694977110851233E-3</v>
      </c>
    </row>
    <row r="11" spans="2:14">
      <c r="B11" s="29">
        <v>2.25</v>
      </c>
      <c r="C11" s="2">
        <f>$C$10 + (B11 - $B$10) * ($C$14 - $C$10) / ($B$14 - $B$10)</f>
        <v>3.4442500000000001E-2</v>
      </c>
      <c r="D11" s="2" cm="1">
        <f t="array" ref="D11:D13">TREND(CHOOSE({1,2}, D10, D14), CHOOSE({1,2}, B10, B14), B11:B13)</f>
        <v>3.6174999999999999E-2</v>
      </c>
      <c r="E11" s="2">
        <f t="shared" si="1"/>
        <v>-1.7324999999999979E-3</v>
      </c>
      <c r="F11" s="2">
        <f>'OIS DF Log Linear'!G71</f>
        <v>0.92661057296606908</v>
      </c>
      <c r="G11" s="2">
        <f>'Treasury DF Log Linear'!G54</f>
        <v>0.92234807306108957</v>
      </c>
      <c r="H11" s="2">
        <f t="shared" si="2"/>
        <v>4.2624999049795109E-3</v>
      </c>
      <c r="I11" s="2">
        <f>'OIS DF Log Linear'!I71</f>
        <v>3.3876398030300056E-2</v>
      </c>
      <c r="J11" s="2">
        <f>'Treasury DF Log Linear'!I54</f>
        <v>3.5925603146266347E-2</v>
      </c>
      <c r="K11" s="2">
        <f t="shared" si="3"/>
        <v>-2.0492051159662905E-3</v>
      </c>
      <c r="L11" s="2">
        <f>'OIS DF Log Linear'!J71</f>
        <v>3.4662750833730716E-2</v>
      </c>
      <c r="M11" s="2">
        <f>'Treasury DF Log Linear'!K54</f>
        <v>3.7820099885832292E-2</v>
      </c>
      <c r="N11" s="2">
        <f>L11-M11</f>
        <v>-3.1573490521015768E-3</v>
      </c>
    </row>
    <row r="12" spans="2:14">
      <c r="B12" s="29">
        <v>2.5</v>
      </c>
      <c r="C12" s="2">
        <f t="shared" ref="C12:C13" si="5">$C$10 + (B12 - $B$10) * ($C$14 - $C$10) / ($B$14 - $B$10)</f>
        <v>3.4515000000000004E-2</v>
      </c>
      <c r="D12" s="2">
        <v>3.635E-2</v>
      </c>
      <c r="E12" s="2">
        <f t="shared" si="1"/>
        <v>-1.8349999999999964E-3</v>
      </c>
      <c r="F12" s="2">
        <f>'OIS DF Log Linear'!G72</f>
        <v>0.91861554634694131</v>
      </c>
      <c r="G12" s="2">
        <f>'Treasury DF Log Linear'!G55</f>
        <v>0.91366834717248313</v>
      </c>
      <c r="H12" s="2">
        <f t="shared" si="2"/>
        <v>4.9471991744581834E-3</v>
      </c>
      <c r="I12" s="2">
        <f>'OIS DF Log Linear'!I72</f>
        <v>3.3955033310643104E-2</v>
      </c>
      <c r="J12" s="2">
        <f>'Treasury DF Log Linear'!I55</f>
        <v>3.6115052820222912E-2</v>
      </c>
      <c r="K12" s="2">
        <f t="shared" si="3"/>
        <v>-2.160019509579808E-3</v>
      </c>
      <c r="L12" s="2">
        <f>'OIS DF Log Linear'!J72</f>
        <v>3.4662750833730549E-2</v>
      </c>
      <c r="M12" s="2">
        <f>'Treasury DF Log Linear'!K55</f>
        <v>3.7820099885832015E-2</v>
      </c>
      <c r="N12" s="2">
        <f>L12-M12</f>
        <v>-3.1573490521014658E-3</v>
      </c>
    </row>
    <row r="13" spans="2:14">
      <c r="B13" s="29">
        <v>2.75</v>
      </c>
      <c r="C13" s="2">
        <f t="shared" si="5"/>
        <v>3.45875E-2</v>
      </c>
      <c r="D13" s="2">
        <v>3.6525000000000002E-2</v>
      </c>
      <c r="E13" s="2">
        <f t="shared" si="1"/>
        <v>-1.9375000000000017E-3</v>
      </c>
      <c r="F13" s="2">
        <f>'OIS DF Log Linear'!G73</f>
        <v>0.91068950280711936</v>
      </c>
      <c r="G13" s="2">
        <f>'Treasury DF Log Linear'!G56</f>
        <v>0.90507030155589296</v>
      </c>
      <c r="H13" s="2">
        <f t="shared" si="2"/>
        <v>5.6192012512263911E-3</v>
      </c>
      <c r="I13" s="2">
        <f>'OIS DF Log Linear'!I73</f>
        <v>3.4019371267287442E-2</v>
      </c>
      <c r="J13" s="2">
        <f>'Treasury DF Log Linear'!I56</f>
        <v>3.6270057098914656E-2</v>
      </c>
      <c r="K13" s="2">
        <f t="shared" si="3"/>
        <v>-2.2506858316272138E-3</v>
      </c>
      <c r="L13" s="2">
        <f>'OIS DF Log Linear'!J73</f>
        <v>3.4662750833730771E-2</v>
      </c>
      <c r="M13" s="2">
        <f>'Treasury DF Log Linear'!K56</f>
        <v>3.782009988583207E-2</v>
      </c>
      <c r="N13" s="2">
        <f>L13-M13</f>
        <v>-3.1573490521012992E-3</v>
      </c>
    </row>
    <row r="14" spans="2:14">
      <c r="B14" s="29">
        <v>3</v>
      </c>
      <c r="C14" s="2">
        <v>3.4660000000000003E-2</v>
      </c>
      <c r="D14" s="2">
        <f>VLOOKUP(B14,'Treasury DF Log Linear'!$G$5:$H$18,2,0)</f>
        <v>3.6700000000000003E-2</v>
      </c>
      <c r="E14" s="2">
        <f t="shared" si="1"/>
        <v>-2.0400000000000001E-3</v>
      </c>
      <c r="F14" s="2">
        <f>'OIS DF Log Linear'!G74</f>
        <v>0.9028318471434279</v>
      </c>
      <c r="G14" s="2">
        <f>'Treasury DF Log Linear'!G57</f>
        <v>0.89655316756183379</v>
      </c>
      <c r="H14" s="2">
        <f t="shared" si="2"/>
        <v>6.2786795815941154E-3</v>
      </c>
      <c r="I14" s="2">
        <f>'OIS DF Log Linear'!I74</f>
        <v>3.4072986231157724E-2</v>
      </c>
      <c r="J14" s="2">
        <f>'Treasury DF Log Linear'!I57</f>
        <v>3.6399227331157795E-2</v>
      </c>
      <c r="K14" s="2">
        <f t="shared" si="3"/>
        <v>-2.3262411000000704E-3</v>
      </c>
      <c r="L14" s="2">
        <f>'OIS DF Log Linear'!J74</f>
        <v>3.4662750833730882E-2</v>
      </c>
      <c r="M14" s="2">
        <f>'Treasury DF Log Linear'!K57</f>
        <v>3.7820099885832292E-2</v>
      </c>
      <c r="N14" s="2">
        <f>L14-M14</f>
        <v>-3.1573490521014103E-3</v>
      </c>
    </row>
    <row r="15" spans="2:14">
      <c r="B15" s="29">
        <v>3.25</v>
      </c>
      <c r="C15" s="2">
        <f>$C$14 + (B15 - $B$14) * ($C$22 - $C$14) / ($B$22 - $B$14)</f>
        <v>3.4801250000000006E-2</v>
      </c>
      <c r="D15" s="2" cm="1">
        <f t="array" ref="D15:D21">TREND(CHOOSE({1,2}, D14, D22), CHOOSE({1,2}, B14, B22), B15:B21)</f>
        <v>3.6912500000000001E-2</v>
      </c>
      <c r="E15" s="2">
        <f t="shared" si="1"/>
        <v>-2.1112499999999951E-3</v>
      </c>
      <c r="F15" s="2">
        <f>'OIS DF Log Linear'!G75</f>
        <v>0.89447571831157713</v>
      </c>
      <c r="G15" s="2">
        <f>'Treasury DF Log Linear'!G58</f>
        <v>0.88745645400764417</v>
      </c>
      <c r="H15" s="2">
        <f t="shared" si="2"/>
        <v>7.0192643039329594E-3</v>
      </c>
      <c r="I15" s="2">
        <f>'OIS DF Log Linear'!I75</f>
        <v>3.4313083675398211E-2</v>
      </c>
      <c r="J15" s="2">
        <f>'Treasury DF Log Linear'!I58</f>
        <v>3.6737176844066764E-2</v>
      </c>
      <c r="K15" s="2">
        <f t="shared" si="3"/>
        <v>-2.4240931686685535E-3</v>
      </c>
      <c r="L15" s="2">
        <f>'OIS DF Log Linear'!J75</f>
        <v>3.7194253006284039E-2</v>
      </c>
      <c r="M15" s="2">
        <f>'Treasury DF Log Linear'!K58</f>
        <v>4.0792570998974431E-2</v>
      </c>
      <c r="N15" s="2">
        <f>L15-M15</f>
        <v>-3.5983179926903919E-3</v>
      </c>
    </row>
    <row r="16" spans="2:14">
      <c r="B16" s="29">
        <v>3.5</v>
      </c>
      <c r="C16" s="2">
        <f t="shared" ref="C16:C21" si="6">$C$14 + (B16 - $B$14) * ($C$22 - $C$14) / ($B$22 - $B$14)</f>
        <v>3.4942500000000001E-2</v>
      </c>
      <c r="D16" s="2">
        <v>3.7125000000000005E-2</v>
      </c>
      <c r="E16" s="2">
        <f t="shared" si="1"/>
        <v>-2.1825000000000039E-3</v>
      </c>
      <c r="F16" s="2">
        <f>'OIS DF Log Linear'!G76</f>
        <v>0.88619692934016148</v>
      </c>
      <c r="G16" s="2">
        <f>'Treasury DF Log Linear'!G59</f>
        <v>0.87845203860205401</v>
      </c>
      <c r="H16" s="2">
        <f t="shared" si="2"/>
        <v>7.7448907381074683E-3</v>
      </c>
      <c r="I16" s="2">
        <f>'OIS DF Log Linear'!I76</f>
        <v>3.4518881484747209E-2</v>
      </c>
      <c r="J16" s="2">
        <f>'Treasury DF Log Linear'!I59</f>
        <v>3.7026847855131613E-2</v>
      </c>
      <c r="K16" s="2">
        <f t="shared" si="3"/>
        <v>-2.5079663703844041E-3</v>
      </c>
      <c r="L16" s="2">
        <f>'OIS DF Log Linear'!J76</f>
        <v>3.7194253006284206E-2</v>
      </c>
      <c r="M16" s="2">
        <f>'Treasury DF Log Linear'!K59</f>
        <v>4.0792570998974653E-2</v>
      </c>
      <c r="N16" s="2">
        <f>L16-M16</f>
        <v>-3.5983179926904474E-3</v>
      </c>
    </row>
    <row r="17" spans="2:14">
      <c r="B17" s="29">
        <v>3.75</v>
      </c>
      <c r="C17" s="2">
        <f t="shared" si="6"/>
        <v>3.5083750000000004E-2</v>
      </c>
      <c r="D17" s="2">
        <v>3.7337500000000003E-2</v>
      </c>
      <c r="E17" s="2">
        <f t="shared" si="1"/>
        <v>-2.2537499999999988E-3</v>
      </c>
      <c r="F17" s="2">
        <f>'OIS DF Log Linear'!G77</f>
        <v>0.87799476441278657</v>
      </c>
      <c r="G17" s="2">
        <f>'Treasury DF Log Linear'!G60</f>
        <v>0.86953898485869563</v>
      </c>
      <c r="H17" s="2">
        <f t="shared" si="2"/>
        <v>8.4557795540909364E-3</v>
      </c>
      <c r="I17" s="2">
        <f>'OIS DF Log Linear'!I77</f>
        <v>3.4697239586182996E-2</v>
      </c>
      <c r="J17" s="2">
        <f>'Treasury DF Log Linear'!I60</f>
        <v>3.7277896064721136E-2</v>
      </c>
      <c r="K17" s="2">
        <f t="shared" si="3"/>
        <v>-2.5806564785381403E-3</v>
      </c>
      <c r="L17" s="2">
        <f>'OIS DF Log Linear'!J77</f>
        <v>3.7194253006283984E-2</v>
      </c>
      <c r="M17" s="2">
        <f>'Treasury DF Log Linear'!K60</f>
        <v>4.0792570998974487E-2</v>
      </c>
      <c r="N17" s="2">
        <f>L17-M17</f>
        <v>-3.5983179926905029E-3</v>
      </c>
    </row>
    <row r="18" spans="2:14">
      <c r="B18" s="29">
        <v>4</v>
      </c>
      <c r="C18" s="2">
        <f t="shared" si="6"/>
        <v>3.5225000000000006E-2</v>
      </c>
      <c r="D18" s="2">
        <v>3.755E-2</v>
      </c>
      <c r="E18" s="2">
        <f t="shared" si="1"/>
        <v>-2.3249999999999937E-3</v>
      </c>
      <c r="F18" s="2">
        <f>'OIS DF Log Linear'!G78</f>
        <v>0.86986851433827173</v>
      </c>
      <c r="G18" s="2">
        <f>'Treasury DF Log Linear'!G61</f>
        <v>0.86071636579308963</v>
      </c>
      <c r="H18" s="2">
        <f t="shared" si="2"/>
        <v>9.1521485451820928E-3</v>
      </c>
      <c r="I18" s="2">
        <f>'OIS DF Log Linear'!I78</f>
        <v>3.4853302924939294E-2</v>
      </c>
      <c r="J18" s="2">
        <f>'Treasury DF Log Linear'!I61</f>
        <v>3.7497563248112001E-2</v>
      </c>
      <c r="K18" s="2">
        <f t="shared" si="3"/>
        <v>-2.6442603231727063E-3</v>
      </c>
      <c r="L18" s="2">
        <f>'OIS DF Log Linear'!J78</f>
        <v>3.7194253006283762E-2</v>
      </c>
      <c r="M18" s="2">
        <f>'Treasury DF Log Linear'!K61</f>
        <v>4.0792570998974931E-2</v>
      </c>
      <c r="N18" s="2">
        <f>L18-M18</f>
        <v>-3.598317992691169E-3</v>
      </c>
    </row>
    <row r="19" spans="2:14">
      <c r="B19" s="29">
        <v>4.25</v>
      </c>
      <c r="C19" s="2">
        <f t="shared" si="6"/>
        <v>3.5366250000000002E-2</v>
      </c>
      <c r="D19" s="2">
        <v>3.7762499999999997E-2</v>
      </c>
      <c r="E19" s="2">
        <f t="shared" si="1"/>
        <v>-2.3962499999999956E-3</v>
      </c>
      <c r="F19" s="2">
        <f>'OIS DF Log Linear'!G79</f>
        <v>0.86181747648933049</v>
      </c>
      <c r="G19" s="2">
        <f>'Treasury DF Log Linear'!G62</f>
        <v>0.85198326382623624</v>
      </c>
      <c r="H19" s="2">
        <f t="shared" si="2"/>
        <v>9.834212663094255E-3</v>
      </c>
      <c r="I19" s="2">
        <f>'OIS DF Log Linear'!I79</f>
        <v>3.499100587090076E-2</v>
      </c>
      <c r="J19" s="2">
        <f>'Treasury DF Log Linear'!I62</f>
        <v>3.7691387233456872E-2</v>
      </c>
      <c r="K19" s="2">
        <f t="shared" si="3"/>
        <v>-2.7003813625561118E-3</v>
      </c>
      <c r="L19" s="2">
        <f>'OIS DF Log Linear'!J79</f>
        <v>3.7194253006284206E-2</v>
      </c>
      <c r="M19" s="2">
        <f>'Treasury DF Log Linear'!K62</f>
        <v>4.079257099897482E-2</v>
      </c>
      <c r="N19" s="2">
        <f>L19-M19</f>
        <v>-3.5983179926906139E-3</v>
      </c>
    </row>
    <row r="20" spans="2:14">
      <c r="B20" s="29">
        <v>4.5</v>
      </c>
      <c r="C20" s="2">
        <f t="shared" si="6"/>
        <v>3.5507500000000004E-2</v>
      </c>
      <c r="D20" s="2">
        <v>3.7974999999999995E-2</v>
      </c>
      <c r="E20" s="2">
        <f t="shared" si="1"/>
        <v>-2.4674999999999905E-3</v>
      </c>
      <c r="F20" s="2">
        <f>'OIS DF Log Linear'!G80</f>
        <v>0.8538409547418192</v>
      </c>
      <c r="G20" s="2">
        <f>'Treasury DF Log Linear'!G63</f>
        <v>0.84333877068918384</v>
      </c>
      <c r="H20" s="2">
        <f t="shared" si="2"/>
        <v>1.0502184052635366E-2</v>
      </c>
      <c r="I20" s="2">
        <f>'OIS DF Log Linear'!I80</f>
        <v>3.5113408489533163E-2</v>
      </c>
      <c r="J20" s="2">
        <f>'Treasury DF Log Linear'!I63</f>
        <v>3.7863675220430076E-2</v>
      </c>
      <c r="K20" s="2">
        <f t="shared" si="3"/>
        <v>-2.7502667308969136E-3</v>
      </c>
      <c r="L20" s="2">
        <f>'OIS DF Log Linear'!J80</f>
        <v>3.7194253006283984E-2</v>
      </c>
      <c r="M20" s="2">
        <f>'Treasury DF Log Linear'!K63</f>
        <v>4.0792570998974598E-2</v>
      </c>
      <c r="N20" s="2">
        <f>L20-M20</f>
        <v>-3.5983179926906139E-3</v>
      </c>
    </row>
    <row r="21" spans="2:14">
      <c r="B21" s="29">
        <v>4.75</v>
      </c>
      <c r="C21" s="2">
        <f t="shared" si="6"/>
        <v>3.564875E-2</v>
      </c>
      <c r="D21" s="2">
        <v>3.8187499999999999E-2</v>
      </c>
      <c r="E21" s="2">
        <f t="shared" si="1"/>
        <v>-2.5387499999999993E-3</v>
      </c>
      <c r="F21" s="2">
        <f>'OIS DF Log Linear'!G81</f>
        <v>0.8459382594145467</v>
      </c>
      <c r="G21" s="2">
        <f>'Treasury DF Log Linear'!G64</f>
        <v>0.83478198732856634</v>
      </c>
      <c r="H21" s="2">
        <f t="shared" si="2"/>
        <v>1.1156272085980357E-2</v>
      </c>
      <c r="I21" s="2">
        <f>'OIS DF Log Linear'!I81</f>
        <v>3.522292662199375E-2</v>
      </c>
      <c r="J21" s="2">
        <f>'Treasury DF Log Linear'!I64</f>
        <v>3.8017827629827174E-2</v>
      </c>
      <c r="K21" s="2">
        <f t="shared" si="3"/>
        <v>-2.7949010078334238E-3</v>
      </c>
      <c r="L21" s="2">
        <f>'OIS DF Log Linear'!J81</f>
        <v>3.7194253006284317E-2</v>
      </c>
      <c r="M21" s="2">
        <f>'Treasury DF Log Linear'!K64</f>
        <v>4.079257099897482E-2</v>
      </c>
      <c r="N21" s="2">
        <f>L21-M21</f>
        <v>-3.5983179926905029E-3</v>
      </c>
    </row>
    <row r="22" spans="2:14">
      <c r="B22" s="29">
        <v>5</v>
      </c>
      <c r="C22" s="2">
        <v>3.5790000000000002E-2</v>
      </c>
      <c r="D22" s="2">
        <f>VLOOKUP(B22,'Treasury DF Log Linear'!$G$5:$H$18,2,0)</f>
        <v>3.8399999999999997E-2</v>
      </c>
      <c r="E22" s="2">
        <f t="shared" si="1"/>
        <v>-2.6099999999999943E-3</v>
      </c>
      <c r="F22" s="2">
        <f>'OIS DF Log Linear'!G82</f>
        <v>0.83810870720964248</v>
      </c>
      <c r="G22" s="2">
        <f>'Treasury DF Log Linear'!G65</f>
        <v>0.82631202381309932</v>
      </c>
      <c r="H22" s="2">
        <f t="shared" si="2"/>
        <v>1.1796683396543162E-2</v>
      </c>
      <c r="I22" s="2">
        <f>'OIS DF Log Linear'!I82</f>
        <v>3.5321492941208274E-2</v>
      </c>
      <c r="J22" s="2">
        <f>'Treasury DF Log Linear'!I65</f>
        <v>3.815656479828454E-2</v>
      </c>
      <c r="K22" s="2">
        <f t="shared" si="3"/>
        <v>-2.8350718570762656E-3</v>
      </c>
      <c r="L22" s="2">
        <f>'OIS DF Log Linear'!J82</f>
        <v>3.7194253006284206E-2</v>
      </c>
      <c r="M22" s="2">
        <f>'Treasury DF Log Linear'!K65</f>
        <v>4.0792570998974598E-2</v>
      </c>
      <c r="N22" s="2">
        <f>L22-M22</f>
        <v>-3.5983179926903919E-3</v>
      </c>
    </row>
    <row r="23" spans="2:14">
      <c r="B23" s="29">
        <v>5.25</v>
      </c>
      <c r="C23" s="2">
        <f>$C$22 + (B23 - $B$22) * ($C$30 - $C$22) / ($B$30 - $B$22)</f>
        <v>3.595375E-2</v>
      </c>
      <c r="D23" s="2" cm="1">
        <f t="array" ref="D23:D29">TREND(CHOOSE({1,2}, D22, D30), CHOOSE({1,2}, B22, B30), B23:B29)</f>
        <v>3.8637499999999991E-2</v>
      </c>
      <c r="E23" s="2">
        <f t="shared" si="1"/>
        <v>-2.6837499999999917E-3</v>
      </c>
      <c r="F23" s="2">
        <f>'OIS DF Log Linear'!G83</f>
        <v>0.82980339579755025</v>
      </c>
      <c r="G23" s="2">
        <f>'Treasury DF Log Linear'!G66</f>
        <v>0.81700995587610103</v>
      </c>
      <c r="H23" s="2">
        <f t="shared" si="2"/>
        <v>1.2793439921449212E-2</v>
      </c>
      <c r="I23" s="2">
        <f>'OIS DF Log Linear'!I83</f>
        <v>3.5536472149199028E-2</v>
      </c>
      <c r="J23" s="2">
        <f>'Treasury DF Log Linear'!I66</f>
        <v>3.8495999676480201E-2</v>
      </c>
      <c r="K23" s="2">
        <f t="shared" si="3"/>
        <v>-2.9595275272811736E-3</v>
      </c>
      <c r="L23" s="2">
        <f>'OIS DF Log Linear'!J83</f>
        <v>3.9836056309014101E-2</v>
      </c>
      <c r="M23" s="2">
        <f>'Treasury DF Log Linear'!K66</f>
        <v>4.5284697240393412E-2</v>
      </c>
      <c r="N23" s="2">
        <f>L23-M23</f>
        <v>-5.4486409313793116E-3</v>
      </c>
    </row>
    <row r="24" spans="2:14">
      <c r="B24" s="29">
        <v>5.5</v>
      </c>
      <c r="C24" s="2">
        <f t="shared" ref="C24:C29" si="7">$C$22 + (B24 - $B$22) * ($C$30 - $C$22) / ($B$30 - $B$22)</f>
        <v>3.6117500000000004E-2</v>
      </c>
      <c r="D24" s="2">
        <v>3.8874999999999993E-2</v>
      </c>
      <c r="E24" s="2">
        <f t="shared" si="1"/>
        <v>-2.7574999999999891E-3</v>
      </c>
      <c r="F24" s="2">
        <f>'OIS DF Log Linear'!G84</f>
        <v>0.82158038659405985</v>
      </c>
      <c r="G24" s="2">
        <f>'Treasury DF Log Linear'!G67</f>
        <v>0.80781260439657998</v>
      </c>
      <c r="H24" s="2">
        <f t="shared" si="2"/>
        <v>1.3767782197479872E-2</v>
      </c>
      <c r="I24" s="2">
        <f>'OIS DF Log Linear'!I84</f>
        <v>3.5731907792826992E-2</v>
      </c>
      <c r="J24" s="2">
        <f>'Treasury DF Log Linear'!I67</f>
        <v>3.8804576838476261E-2</v>
      </c>
      <c r="K24" s="2">
        <f t="shared" si="3"/>
        <v>-3.0726690456492692E-3</v>
      </c>
      <c r="L24" s="2">
        <f>'OIS DF Log Linear'!J84</f>
        <v>3.9836056309014323E-2</v>
      </c>
      <c r="M24" s="2">
        <f>'Treasury DF Log Linear'!K67</f>
        <v>4.5284697240393523E-2</v>
      </c>
      <c r="N24" s="2">
        <f>L24-M24</f>
        <v>-5.4486409313792006E-3</v>
      </c>
    </row>
    <row r="25" spans="2:14">
      <c r="B25" s="29">
        <v>5.75</v>
      </c>
      <c r="C25" s="2">
        <f t="shared" si="7"/>
        <v>3.6281250000000001E-2</v>
      </c>
      <c r="D25" s="2">
        <v>3.9112499999999994E-2</v>
      </c>
      <c r="E25" s="2">
        <f t="shared" si="1"/>
        <v>-2.8312499999999935E-3</v>
      </c>
      <c r="F25" s="2">
        <f>'OIS DF Log Linear'!G85</f>
        <v>0.81343886401824916</v>
      </c>
      <c r="G25" s="2">
        <f>'Treasury DF Log Linear'!G68</f>
        <v>0.79871879054671624</v>
      </c>
      <c r="H25" s="2">
        <f t="shared" si="2"/>
        <v>1.4720073471532924E-2</v>
      </c>
      <c r="I25" s="2">
        <f>'OIS DF Log Linear'!I85</f>
        <v>3.5910349032661222E-2</v>
      </c>
      <c r="J25" s="2">
        <f>'Treasury DF Log Linear'!I68</f>
        <v>3.9086321203777002E-2</v>
      </c>
      <c r="K25" s="2">
        <f t="shared" si="3"/>
        <v>-3.1759721711157804E-3</v>
      </c>
      <c r="L25" s="2">
        <f>'OIS DF Log Linear'!J85</f>
        <v>3.9836056309014212E-2</v>
      </c>
      <c r="M25" s="2">
        <f>'Treasury DF Log Linear'!K68</f>
        <v>4.5284697240393301E-2</v>
      </c>
      <c r="N25" s="2">
        <f>L25-M25</f>
        <v>-5.4486409313790896E-3</v>
      </c>
    </row>
    <row r="26" spans="2:14">
      <c r="B26" s="29">
        <v>6</v>
      </c>
      <c r="C26" s="2">
        <f t="shared" si="7"/>
        <v>3.6445000000000005E-2</v>
      </c>
      <c r="D26" s="2">
        <v>3.9349999999999996E-2</v>
      </c>
      <c r="E26" s="2">
        <f t="shared" si="1"/>
        <v>-2.9049999999999909E-3</v>
      </c>
      <c r="F26" s="2">
        <f>'OIS DF Log Linear'!G86</f>
        <v>0.80537802057126628</v>
      </c>
      <c r="G26" s="2">
        <f>'Treasury DF Log Linear'!G69</f>
        <v>0.78972734876914485</v>
      </c>
      <c r="H26" s="2">
        <f t="shared" si="2"/>
        <v>1.565067180212143E-2</v>
      </c>
      <c r="I26" s="2">
        <f>'OIS DF Log Linear'!I86</f>
        <v>3.6073920169175933E-2</v>
      </c>
      <c r="J26" s="2">
        <f>'Treasury DF Log Linear'!I69</f>
        <v>3.9344586871969359E-2</v>
      </c>
      <c r="K26" s="2">
        <f t="shared" si="3"/>
        <v>-3.2706667027934261E-3</v>
      </c>
      <c r="L26" s="2">
        <f>'OIS DF Log Linear'!J86</f>
        <v>3.9836056309014323E-2</v>
      </c>
      <c r="M26" s="2">
        <f>'Treasury DF Log Linear'!K69</f>
        <v>4.5284697240393523E-2</v>
      </c>
      <c r="N26" s="2">
        <f>L26-M26</f>
        <v>-5.4486409313792006E-3</v>
      </c>
    </row>
    <row r="27" spans="2:14">
      <c r="B27" s="29">
        <v>6.25</v>
      </c>
      <c r="C27" s="2">
        <f t="shared" si="7"/>
        <v>3.6608750000000002E-2</v>
      </c>
      <c r="D27" s="2">
        <v>3.9587499999999998E-2</v>
      </c>
      <c r="E27" s="2">
        <f t="shared" si="1"/>
        <v>-2.9787499999999953E-3</v>
      </c>
      <c r="F27" s="2">
        <f>'OIS DF Log Linear'!G87</f>
        <v>0.79739705675623973</v>
      </c>
      <c r="G27" s="2">
        <f>'Treasury DF Log Linear'!G70</f>
        <v>0.78083712662756588</v>
      </c>
      <c r="H27" s="2">
        <f t="shared" si="2"/>
        <v>1.655993012867385E-2</v>
      </c>
      <c r="I27" s="2">
        <f>'OIS DF Log Linear'!I87</f>
        <v>3.6224405614769466E-2</v>
      </c>
      <c r="J27" s="2">
        <f>'Treasury DF Log Linear'!I70</f>
        <v>3.9582191286706328E-2</v>
      </c>
      <c r="K27" s="2">
        <f t="shared" si="3"/>
        <v>-3.3577856719368623E-3</v>
      </c>
      <c r="L27" s="2">
        <f>'OIS DF Log Linear'!J87</f>
        <v>3.9836056309014323E-2</v>
      </c>
      <c r="M27" s="2">
        <f>'Treasury DF Log Linear'!K70</f>
        <v>4.5284697240393634E-2</v>
      </c>
      <c r="N27" s="2">
        <f>L27-M27</f>
        <v>-5.4486409313793116E-3</v>
      </c>
    </row>
    <row r="28" spans="2:14">
      <c r="B28" s="29">
        <v>6.5</v>
      </c>
      <c r="C28" s="2">
        <f t="shared" si="7"/>
        <v>3.67725E-2</v>
      </c>
      <c r="D28" s="2">
        <v>3.9824999999999999E-2</v>
      </c>
      <c r="E28" s="2">
        <f t="shared" si="1"/>
        <v>-3.0524999999999997E-3</v>
      </c>
      <c r="F28" s="2">
        <f>'OIS DF Log Linear'!G88</f>
        <v>0.78949518099898219</v>
      </c>
      <c r="G28" s="2">
        <f>'Treasury DF Log Linear'!G71</f>
        <v>0.77204698465903632</v>
      </c>
      <c r="H28" s="2">
        <f t="shared" si="2"/>
        <v>1.7448196339945876E-2</v>
      </c>
      <c r="I28" s="2">
        <f>'OIS DF Log Linear'!I88</f>
        <v>3.6363315256855794E-2</v>
      </c>
      <c r="J28" s="2">
        <f>'Treasury DF Log Linear'!I71</f>
        <v>3.9801518438771215E-2</v>
      </c>
      <c r="K28" s="2">
        <f t="shared" si="3"/>
        <v>-3.438203181915421E-3</v>
      </c>
      <c r="L28" s="2">
        <f>'OIS DF Log Linear'!J88</f>
        <v>3.983605630901399E-2</v>
      </c>
      <c r="M28" s="2">
        <f>'Treasury DF Log Linear'!K71</f>
        <v>4.5284697240393301E-2</v>
      </c>
      <c r="N28" s="2">
        <f>L28-M28</f>
        <v>-5.4486409313793116E-3</v>
      </c>
    </row>
    <row r="29" spans="2:14">
      <c r="B29" s="29">
        <v>6.75</v>
      </c>
      <c r="C29" s="2">
        <f t="shared" si="7"/>
        <v>3.6936250000000004E-2</v>
      </c>
      <c r="D29" s="2">
        <v>4.0062500000000001E-2</v>
      </c>
      <c r="E29" s="2">
        <f t="shared" si="1"/>
        <v>-3.1262499999999971E-3</v>
      </c>
      <c r="F29" s="2">
        <f>'OIS DF Log Linear'!G89</f>
        <v>0.78167160956947968</v>
      </c>
      <c r="G29" s="2">
        <f>'Treasury DF Log Linear'!G72</f>
        <v>0.76335579622792449</v>
      </c>
      <c r="H29" s="2">
        <f t="shared" si="2"/>
        <v>1.8315813341555187E-2</v>
      </c>
      <c r="I29" s="2">
        <f>'OIS DF Log Linear'!I89</f>
        <v>3.6491935295824618E-2</v>
      </c>
      <c r="J29" s="2">
        <f>'Treasury DF Log Linear'!I72</f>
        <v>4.0004599135127585E-2</v>
      </c>
      <c r="K29" s="2">
        <f t="shared" si="3"/>
        <v>-3.5126638393029666E-3</v>
      </c>
      <c r="L29" s="2">
        <f>'OIS DF Log Linear'!J89</f>
        <v>3.983605630901399E-2</v>
      </c>
      <c r="M29" s="2">
        <f>'Treasury DF Log Linear'!K72</f>
        <v>4.5284697240393301E-2</v>
      </c>
      <c r="N29" s="2">
        <f>L29-M29</f>
        <v>-5.4486409313793116E-3</v>
      </c>
    </row>
    <row r="30" spans="2:14">
      <c r="B30" s="29">
        <v>7</v>
      </c>
      <c r="C30" s="2">
        <v>3.7100000000000001E-2</v>
      </c>
      <c r="D30" s="2">
        <f>VLOOKUP(B30,'Treasury DF Log Linear'!$G$5:$H$18,2,0)</f>
        <v>4.0300000000000002E-2</v>
      </c>
      <c r="E30" s="2">
        <f t="shared" si="1"/>
        <v>-3.2000000000000015E-3</v>
      </c>
      <c r="F30" s="2">
        <f>'OIS DF Log Linear'!G90</f>
        <v>0.77392556650415922</v>
      </c>
      <c r="G30" s="2">
        <f>'Treasury DF Log Linear'!G73</f>
        <v>0.75476244738150899</v>
      </c>
      <c r="H30" s="2">
        <f t="shared" si="2"/>
        <v>1.916311912265023E-2</v>
      </c>
      <c r="I30" s="2">
        <f>'OIS DF Log Linear'!I90</f>
        <v>3.6611368189152824E-2</v>
      </c>
      <c r="J30" s="2">
        <f>'Treasury DF Log Linear'!I73</f>
        <v>4.0193174067458502E-2</v>
      </c>
      <c r="K30" s="2">
        <f t="shared" si="3"/>
        <v>-3.5818058783056786E-3</v>
      </c>
      <c r="L30" s="2">
        <f>'OIS DF Log Linear'!J90</f>
        <v>3.9836056309014323E-2</v>
      </c>
      <c r="M30" s="2">
        <f>'Treasury DF Log Linear'!K73</f>
        <v>4.5284697240393301E-2</v>
      </c>
      <c r="N30" s="2">
        <f>L30-M30</f>
        <v>-5.4486409313789785E-3</v>
      </c>
    </row>
    <row r="31" spans="2:14">
      <c r="B31" s="29">
        <v>7.25</v>
      </c>
      <c r="C31" s="2">
        <f>$C$30 + (B31 - $B$30) * ($C$42 - $C$30) / ($B$42 - $B$30)</f>
        <v>3.7244166666666668E-2</v>
      </c>
      <c r="D31" s="2" cm="1">
        <f t="array" ref="D31:D41">TREND(CHOOSE({1,2}, D30, D42), CHOOSE({1,2}, B30, B42), B31:B41)</f>
        <v>4.0474999999999997E-2</v>
      </c>
      <c r="E31" s="2">
        <f t="shared" si="1"/>
        <v>-3.2308333333333286E-3</v>
      </c>
      <c r="F31" s="2">
        <f>'OIS DF Log Linear'!G91</f>
        <v>0.76568449583309939</v>
      </c>
      <c r="G31" s="2">
        <f>'Treasury DF Log Linear'!G74</f>
        <v>0.74576815188324708</v>
      </c>
      <c r="H31" s="2">
        <f t="shared" si="2"/>
        <v>1.9916343949852311E-2</v>
      </c>
      <c r="I31" s="2">
        <f>'OIS DF Log Linear'!I91</f>
        <v>3.6825528196550224E-2</v>
      </c>
      <c r="J31" s="2">
        <f>'Treasury DF Log Linear'!I74</f>
        <v>4.0460760750806332E-2</v>
      </c>
      <c r="K31" s="2">
        <f t="shared" si="3"/>
        <v>-3.6352325542561084E-3</v>
      </c>
      <c r="L31" s="2">
        <f>'OIS DF Log Linear'!J91</f>
        <v>4.2822008403677447E-2</v>
      </c>
      <c r="M31" s="2">
        <f>'Treasury DF Log Linear'!K74</f>
        <v>4.795318788454539E-2</v>
      </c>
      <c r="N31" s="2">
        <f>L31-M31</f>
        <v>-5.1311794808679423E-3</v>
      </c>
    </row>
    <row r="32" spans="2:14">
      <c r="B32" s="29">
        <v>7.5</v>
      </c>
      <c r="C32" s="2">
        <f t="shared" ref="C32:C41" si="8">$C$30 + (B32 - $B$30) * ($C$42 - $C$30) / ($B$42 - $B$30)</f>
        <v>3.7388333333333336E-2</v>
      </c>
      <c r="D32" s="2">
        <v>4.0649999999999992E-2</v>
      </c>
      <c r="E32" s="2">
        <f t="shared" si="1"/>
        <v>-3.2616666666666558E-3</v>
      </c>
      <c r="F32" s="2">
        <f>'OIS DF Log Linear'!G92</f>
        <v>0.75753117939674219</v>
      </c>
      <c r="G32" s="2">
        <f>'Treasury DF Log Linear'!G75</f>
        <v>0.73688103891876211</v>
      </c>
      <c r="H32" s="2">
        <f t="shared" si="2"/>
        <v>2.0650140477980083E-2</v>
      </c>
      <c r="I32" s="2">
        <f>'OIS DF Log Linear'!I92</f>
        <v>3.7025410870121143E-2</v>
      </c>
      <c r="J32" s="2">
        <f>'Treasury DF Log Linear'!I75</f>
        <v>4.0710508321930967E-2</v>
      </c>
      <c r="K32" s="2">
        <f t="shared" si="3"/>
        <v>-3.685097451809824E-3</v>
      </c>
      <c r="L32" s="2">
        <f>'OIS DF Log Linear'!J92</f>
        <v>4.2822008403677891E-2</v>
      </c>
      <c r="M32" s="2">
        <f>'Treasury DF Log Linear'!K75</f>
        <v>4.795318788454539E-2</v>
      </c>
      <c r="N32" s="2">
        <f>L32-M32</f>
        <v>-5.1311794808674982E-3</v>
      </c>
    </row>
    <row r="33" spans="2:14">
      <c r="B33" s="29">
        <v>7.75</v>
      </c>
      <c r="C33" s="2">
        <f t="shared" si="8"/>
        <v>3.7532500000000003E-2</v>
      </c>
      <c r="D33" s="2">
        <v>4.0824999999999993E-2</v>
      </c>
      <c r="E33" s="2">
        <f t="shared" si="1"/>
        <v>-3.2924999999999899E-3</v>
      </c>
      <c r="F33" s="2">
        <f>'OIS DF Log Linear'!G93</f>
        <v>0.74946468275270561</v>
      </c>
      <c r="G33" s="2">
        <f>'Treasury DF Log Linear'!G76</f>
        <v>0.72809983122342026</v>
      </c>
      <c r="H33" s="2">
        <f t="shared" si="2"/>
        <v>2.1364851529285356E-2</v>
      </c>
      <c r="I33" s="2">
        <f>'OIS DF Log Linear'!I93</f>
        <v>3.7212397887332653E-2</v>
      </c>
      <c r="J33" s="2">
        <f>'Treasury DF Log Linear'!I76</f>
        <v>4.0944143146531414E-2</v>
      </c>
      <c r="K33" s="2">
        <f t="shared" si="3"/>
        <v>-3.7317452591987613E-3</v>
      </c>
      <c r="L33" s="2">
        <f>'OIS DF Log Linear'!J93</f>
        <v>4.2822008403677891E-2</v>
      </c>
      <c r="M33" s="2">
        <f>'Treasury DF Log Linear'!K76</f>
        <v>4.7953187884544946E-2</v>
      </c>
      <c r="N33" s="2">
        <f>L33-M33</f>
        <v>-5.1311794808670541E-3</v>
      </c>
    </row>
    <row r="34" spans="2:14">
      <c r="B34" s="29">
        <v>8</v>
      </c>
      <c r="C34" s="2">
        <f t="shared" si="8"/>
        <v>3.7676666666666671E-2</v>
      </c>
      <c r="D34" s="2">
        <v>4.0999999999999995E-2</v>
      </c>
      <c r="E34" s="2">
        <f t="shared" si="1"/>
        <v>-3.323333333333324E-3</v>
      </c>
      <c r="F34" s="2">
        <f>'OIS DF Log Linear'!G94</f>
        <v>0.74148408140892597</v>
      </c>
      <c r="G34" s="2">
        <f>'Treasury DF Log Linear'!G77</f>
        <v>0.71942326675339718</v>
      </c>
      <c r="H34" s="2">
        <f t="shared" si="2"/>
        <v>2.2060814655528782E-2</v>
      </c>
      <c r="I34" s="2">
        <f>'OIS DF Log Linear'!I94</f>
        <v>3.7387698215968442E-2</v>
      </c>
      <c r="J34" s="2">
        <f>'Treasury DF Log Linear'!I77</f>
        <v>4.1163175794594352E-2</v>
      </c>
      <c r="K34" s="2">
        <f t="shared" si="3"/>
        <v>-3.7754775786259104E-3</v>
      </c>
      <c r="L34" s="2">
        <f>'OIS DF Log Linear'!J94</f>
        <v>4.2822008403677891E-2</v>
      </c>
      <c r="M34" s="2">
        <f>'Treasury DF Log Linear'!K77</f>
        <v>4.795318788454539E-2</v>
      </c>
      <c r="N34" s="2">
        <f>L34-M34</f>
        <v>-5.1311794808674982E-3</v>
      </c>
    </row>
    <row r="35" spans="2:14">
      <c r="B35" s="29">
        <v>8.25</v>
      </c>
      <c r="C35" s="2">
        <f t="shared" si="8"/>
        <v>3.7820833333333338E-2</v>
      </c>
      <c r="D35" s="2">
        <v>4.1174999999999996E-2</v>
      </c>
      <c r="E35" s="2">
        <f t="shared" si="1"/>
        <v>-3.3541666666666581E-3</v>
      </c>
      <c r="F35" s="2">
        <f>'OIS DF Log Linear'!G95</f>
        <v>0.73358846071770278</v>
      </c>
      <c r="G35" s="2">
        <f>'Treasury DF Log Linear'!G78</f>
        <v>0.71085009850429615</v>
      </c>
      <c r="H35" s="2">
        <f t="shared" si="2"/>
        <v>2.2738362213406638E-2</v>
      </c>
      <c r="I35" s="2">
        <f>'OIS DF Log Linear'!I95</f>
        <v>3.7552374282262664E-2</v>
      </c>
      <c r="J35" s="2">
        <f>'Treasury DF Log Linear'!I78</f>
        <v>4.1368933736714075E-2</v>
      </c>
      <c r="K35" s="2">
        <f t="shared" si="3"/>
        <v>-3.8165594544514111E-3</v>
      </c>
      <c r="L35" s="2">
        <f>'OIS DF Log Linear'!J95</f>
        <v>4.2822008403677891E-2</v>
      </c>
      <c r="M35" s="2">
        <f>'Treasury DF Log Linear'!K78</f>
        <v>4.7953187884545168E-2</v>
      </c>
      <c r="N35" s="2">
        <f>L35-M35</f>
        <v>-5.1311794808672762E-3</v>
      </c>
    </row>
    <row r="36" spans="2:14">
      <c r="B36" s="29">
        <v>8.5</v>
      </c>
      <c r="C36" s="2">
        <f t="shared" si="8"/>
        <v>3.7964999999999999E-2</v>
      </c>
      <c r="D36" s="2">
        <v>4.1349999999999998E-2</v>
      </c>
      <c r="E36" s="2">
        <f t="shared" si="1"/>
        <v>-3.3849999999999991E-3</v>
      </c>
      <c r="F36" s="2">
        <f>'OIS DF Log Linear'!G96</f>
        <v>0.72577691577087211</v>
      </c>
      <c r="G36" s="2">
        <f>'Treasury DF Log Linear'!G79</f>
        <v>0.70237909433192713</v>
      </c>
      <c r="H36" s="2">
        <f t="shared" si="2"/>
        <v>2.3397821438944977E-2</v>
      </c>
      <c r="I36" s="2">
        <f>'OIS DF Log Linear'!I96</f>
        <v>3.7707363521127822E-2</v>
      </c>
      <c r="J36" s="2">
        <f>'Treasury DF Log Linear'!I79</f>
        <v>4.1562588270473814E-2</v>
      </c>
      <c r="K36" s="2">
        <f t="shared" si="3"/>
        <v>-3.8552247493459924E-3</v>
      </c>
      <c r="L36" s="2">
        <f>'OIS DF Log Linear'!J96</f>
        <v>4.2822008403677891E-2</v>
      </c>
      <c r="M36" s="2">
        <f>'Treasury DF Log Linear'!K79</f>
        <v>4.7953187884545168E-2</v>
      </c>
      <c r="N36" s="2">
        <f>L36-M36</f>
        <v>-5.1311794808672762E-3</v>
      </c>
    </row>
    <row r="37" spans="2:14">
      <c r="B37" s="29">
        <v>8.75</v>
      </c>
      <c r="C37" s="2">
        <f t="shared" si="8"/>
        <v>3.8109166666666666E-2</v>
      </c>
      <c r="D37" s="2">
        <v>4.1524999999999992E-2</v>
      </c>
      <c r="E37" s="2">
        <f t="shared" si="1"/>
        <v>-3.4158333333333263E-3</v>
      </c>
      <c r="F37" s="2">
        <f>'OIS DF Log Linear'!G97</f>
        <v>0.71804855129609613</v>
      </c>
      <c r="G37" s="2">
        <f>'Treasury DF Log Linear'!G80</f>
        <v>0.69400903677522197</v>
      </c>
      <c r="H37" s="2">
        <f t="shared" si="2"/>
        <v>2.4039514520874161E-2</v>
      </c>
      <c r="I37" s="2">
        <f>'OIS DF Log Linear'!I97</f>
        <v>3.7853496232057818E-2</v>
      </c>
      <c r="J37" s="2">
        <f>'Treasury DF Log Linear'!I80</f>
        <v>4.1745176830875842E-2</v>
      </c>
      <c r="K37" s="2">
        <f t="shared" si="3"/>
        <v>-3.8916805988180245E-3</v>
      </c>
      <c r="L37" s="2">
        <f>'OIS DF Log Linear'!J97</f>
        <v>4.2822008403677669E-2</v>
      </c>
      <c r="M37" s="2">
        <f>'Treasury DF Log Linear'!K80</f>
        <v>4.7953187884544946E-2</v>
      </c>
      <c r="N37" s="2">
        <f>L37-M37</f>
        <v>-5.1311794808672762E-3</v>
      </c>
    </row>
    <row r="38" spans="2:14">
      <c r="B38" s="29">
        <v>9</v>
      </c>
      <c r="C38" s="2">
        <f t="shared" si="8"/>
        <v>3.8253333333333334E-2</v>
      </c>
      <c r="D38" s="2">
        <v>4.1699999999999994E-2</v>
      </c>
      <c r="E38" s="2">
        <f t="shared" si="1"/>
        <v>-3.4466666666666604E-3</v>
      </c>
      <c r="F38" s="2">
        <f>'OIS DF Log Linear'!G98</f>
        <v>0.71040248155425689</v>
      </c>
      <c r="G38" s="2">
        <f>'Treasury DF Log Linear'!G81</f>
        <v>0.68573872288125937</v>
      </c>
      <c r="H38" s="2">
        <f t="shared" si="2"/>
        <v>2.4663758672997527E-2</v>
      </c>
      <c r="I38" s="2">
        <f>'OIS DF Log Linear'!I98</f>
        <v>3.7991510459047251E-2</v>
      </c>
      <c r="J38" s="2">
        <f>'Treasury DF Log Linear'!I81</f>
        <v>4.1917621582366671E-2</v>
      </c>
      <c r="K38" s="2">
        <f t="shared" si="3"/>
        <v>-3.9261111233194201E-3</v>
      </c>
      <c r="L38" s="2">
        <f>'OIS DF Log Linear'!J98</f>
        <v>4.2822008403677447E-2</v>
      </c>
      <c r="M38" s="2">
        <f>'Treasury DF Log Linear'!K81</f>
        <v>4.7953187884545612E-2</v>
      </c>
      <c r="N38" s="2">
        <f>L38-M38</f>
        <v>-5.1311794808681643E-3</v>
      </c>
    </row>
    <row r="39" spans="2:14">
      <c r="B39" s="29">
        <v>9.25</v>
      </c>
      <c r="C39" s="2">
        <f t="shared" si="8"/>
        <v>3.8397500000000001E-2</v>
      </c>
      <c r="D39" s="2">
        <v>4.1874999999999996E-2</v>
      </c>
      <c r="E39" s="2">
        <f t="shared" si="1"/>
        <v>-3.4774999999999945E-3</v>
      </c>
      <c r="F39" s="2">
        <f>'OIS DF Log Linear'!G99</f>
        <v>0.70283783023794266</v>
      </c>
      <c r="G39" s="2">
        <f>'Treasury DF Log Linear'!G82</f>
        <v>0.67756696403237593</v>
      </c>
      <c r="H39" s="2">
        <f t="shared" si="2"/>
        <v>2.5270866205566733E-2</v>
      </c>
      <c r="I39" s="2">
        <f>'OIS DF Log Linear'!I99</f>
        <v>3.8122064457550772E-2</v>
      </c>
      <c r="J39" s="2">
        <f>'Treasury DF Log Linear'!I82</f>
        <v>4.2080744995939064E-2</v>
      </c>
      <c r="K39" s="2">
        <f t="shared" si="3"/>
        <v>-3.9586805383882914E-3</v>
      </c>
      <c r="L39" s="2">
        <f>'OIS DF Log Linear'!J99</f>
        <v>4.2822008403677669E-2</v>
      </c>
      <c r="M39" s="2">
        <f>'Treasury DF Log Linear'!K82</f>
        <v>4.7953187884545168E-2</v>
      </c>
      <c r="N39" s="2">
        <f>L39-M39</f>
        <v>-5.1311794808674982E-3</v>
      </c>
    </row>
    <row r="40" spans="2:14">
      <c r="B40" s="29">
        <v>9.5</v>
      </c>
      <c r="C40" s="2">
        <f t="shared" si="8"/>
        <v>3.8541666666666669E-2</v>
      </c>
      <c r="D40" s="2">
        <v>4.204999999999999E-2</v>
      </c>
      <c r="E40" s="2">
        <f t="shared" si="1"/>
        <v>-3.5083333333333216E-3</v>
      </c>
      <c r="F40" s="2">
        <f>'OIS DF Log Linear'!G100</f>
        <v>0.69535373037101555</v>
      </c>
      <c r="G40" s="2">
        <f>'Treasury DF Log Linear'!G83</f>
        <v>0.6694925857753361</v>
      </c>
      <c r="H40" s="2">
        <f t="shared" si="2"/>
        <v>2.5861144595679453E-2</v>
      </c>
      <c r="I40" s="2">
        <f>'OIS DF Log Linear'!I100</f>
        <v>3.8245747192975174E-2</v>
      </c>
      <c r="J40" s="2">
        <f>'Treasury DF Log Linear'!I83</f>
        <v>4.2235282966691857E-2</v>
      </c>
      <c r="K40" s="2">
        <f t="shared" si="3"/>
        <v>-3.9895357737166834E-3</v>
      </c>
      <c r="L40" s="2">
        <f>'OIS DF Log Linear'!J100</f>
        <v>4.2822008403677891E-2</v>
      </c>
      <c r="M40" s="2">
        <f>'Treasury DF Log Linear'!K83</f>
        <v>4.7953187884545168E-2</v>
      </c>
      <c r="N40" s="2">
        <f>L40-M40</f>
        <v>-5.1311794808672762E-3</v>
      </c>
    </row>
    <row r="41" spans="2:14">
      <c r="B41" s="29">
        <v>9.75</v>
      </c>
      <c r="C41" s="2">
        <f t="shared" si="8"/>
        <v>3.8685833333333336E-2</v>
      </c>
      <c r="D41" s="2">
        <v>4.2224999999999992E-2</v>
      </c>
      <c r="E41" s="2">
        <f t="shared" si="1"/>
        <v>-3.5391666666666557E-3</v>
      </c>
      <c r="F41" s="2">
        <f>'OIS DF Log Linear'!G101</f>
        <v>0.68794932420924826</v>
      </c>
      <c r="G41" s="2">
        <f>'Treasury DF Log Linear'!G84</f>
        <v>0.66151442765253921</v>
      </c>
      <c r="H41" s="2">
        <f t="shared" si="2"/>
        <v>2.6434896556709053E-2</v>
      </c>
      <c r="I41" s="2">
        <f>'OIS DF Log Linear'!I101</f>
        <v>3.8363087224018828E-2</v>
      </c>
      <c r="J41" s="2">
        <f>'Treasury DF Log Linear'!I84</f>
        <v>4.2381895913303491E-2</v>
      </c>
      <c r="K41" s="2">
        <f t="shared" si="3"/>
        <v>-4.0188086892846628E-3</v>
      </c>
      <c r="L41" s="2">
        <f>'OIS DF Log Linear'!J101</f>
        <v>4.2822008403677669E-2</v>
      </c>
      <c r="M41" s="2">
        <f>'Treasury DF Log Linear'!K84</f>
        <v>4.7953187884545612E-2</v>
      </c>
      <c r="N41" s="2">
        <f>L41-M41</f>
        <v>-5.1311794808679423E-3</v>
      </c>
    </row>
    <row r="42" spans="2:14">
      <c r="B42" s="29">
        <v>10</v>
      </c>
      <c r="C42" s="2">
        <v>3.8830000000000003E-2</v>
      </c>
      <c r="D42" s="2">
        <f>VLOOKUP(B42,'Treasury DF Log Linear'!$G$5:$H$18,2,0)</f>
        <v>4.24E-2</v>
      </c>
      <c r="E42" s="2">
        <f t="shared" si="1"/>
        <v>-3.5699999999999968E-3</v>
      </c>
      <c r="F42" s="2">
        <f>'OIS DF Log Linear'!G102</f>
        <v>0.68062376314201889</v>
      </c>
      <c r="G42" s="2">
        <f>'Treasury DF Log Linear'!G85</f>
        <v>0.65363134303523707</v>
      </c>
      <c r="H42" s="2">
        <f t="shared" si="2"/>
        <v>2.6992420106781823E-2</v>
      </c>
      <c r="I42" s="2">
        <f>'OIS DF Log Linear'!I102</f>
        <v>3.8474560253510301E-2</v>
      </c>
      <c r="J42" s="2">
        <f>'Treasury DF Log Linear'!I85</f>
        <v>4.2521178212584526E-2</v>
      </c>
      <c r="K42" s="2">
        <f t="shared" si="3"/>
        <v>-4.0466179590742252E-3</v>
      </c>
      <c r="L42" s="2">
        <f>'OIS DF Log Linear'!J102</f>
        <v>4.2822008403677891E-2</v>
      </c>
      <c r="M42" s="2">
        <f>'Treasury DF Log Linear'!K85</f>
        <v>4.7953187884544946E-2</v>
      </c>
      <c r="N42" s="2">
        <f>L42-M42</f>
        <v>-5.1311794808670541E-3</v>
      </c>
    </row>
    <row r="55" spans="13:13">
      <c r="M55" s="32" t="s">
        <v>155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9FD86-023F-E840-8EC6-218B36D7A4A6}">
  <dimension ref="A1:W95"/>
  <sheetViews>
    <sheetView zoomScale="85" workbookViewId="0">
      <selection activeCell="H96" sqref="H96"/>
    </sheetView>
  </sheetViews>
  <sheetFormatPr defaultColWidth="15.69140625" defaultRowHeight="15.5"/>
  <cols>
    <col min="1" max="1" width="3.69140625" style="16" customWidth="1"/>
    <col min="2" max="5" width="3.69140625" style="3" customWidth="1"/>
    <col min="6" max="6" width="19.53515625" style="3" bestFit="1" customWidth="1"/>
    <col min="7" max="7" width="15.69140625" style="10"/>
    <col min="8" max="22" width="15.69140625" style="3"/>
    <col min="23" max="23" width="15.69140625" style="5"/>
    <col min="24" max="16384" width="15.69140625" style="3"/>
  </cols>
  <sheetData>
    <row r="1" spans="1:23">
      <c r="C1" s="4"/>
      <c r="G1" s="4"/>
    </row>
    <row r="2" spans="1:23" s="13" customFormat="1">
      <c r="A2" s="17" t="s">
        <v>52</v>
      </c>
      <c r="B2" s="13" t="s">
        <v>3</v>
      </c>
      <c r="E2" s="19"/>
      <c r="G2" s="19"/>
      <c r="W2" s="15"/>
    </row>
    <row r="3" spans="1:23">
      <c r="C3" s="4"/>
      <c r="E3" s="4"/>
      <c r="G3" s="4"/>
    </row>
    <row r="4" spans="1:23">
      <c r="C4" s="3" t="s">
        <v>4</v>
      </c>
      <c r="E4" s="4"/>
      <c r="G4" s="4"/>
    </row>
    <row r="5" spans="1:23">
      <c r="C5" s="4"/>
      <c r="E5" s="4"/>
      <c r="G5" s="4"/>
    </row>
    <row r="6" spans="1:23" s="13" customFormat="1">
      <c r="A6" s="17" t="s">
        <v>52</v>
      </c>
      <c r="B6" s="13" t="s">
        <v>5</v>
      </c>
      <c r="E6" s="19"/>
      <c r="G6" s="19"/>
      <c r="W6" s="15"/>
    </row>
    <row r="7" spans="1:23">
      <c r="E7" s="4"/>
      <c r="G7" s="4"/>
    </row>
    <row r="8" spans="1:23" ht="17.5">
      <c r="E8" s="4"/>
      <c r="F8" s="3" t="s">
        <v>6</v>
      </c>
      <c r="G8" s="4">
        <v>46045</v>
      </c>
      <c r="H8" s="3" t="s">
        <v>130</v>
      </c>
    </row>
    <row r="9" spans="1:23" ht="17.5">
      <c r="E9" s="4"/>
      <c r="F9" s="3" t="s">
        <v>7</v>
      </c>
      <c r="G9" s="8">
        <v>96.327500000000001</v>
      </c>
      <c r="H9" s="3" t="s">
        <v>119</v>
      </c>
    </row>
    <row r="10" spans="1:23" ht="17.5">
      <c r="E10" s="4"/>
      <c r="F10" s="3" t="s">
        <v>8</v>
      </c>
      <c r="G10" s="4">
        <v>46024</v>
      </c>
      <c r="H10" s="3" t="s">
        <v>120</v>
      </c>
    </row>
    <row r="11" spans="1:23" ht="17.5">
      <c r="E11" s="4"/>
      <c r="F11" s="3" t="s">
        <v>9</v>
      </c>
      <c r="G11" s="4">
        <v>46045</v>
      </c>
      <c r="H11" s="3" t="s">
        <v>121</v>
      </c>
    </row>
    <row r="12" spans="1:23">
      <c r="E12" s="4"/>
      <c r="G12" s="4"/>
    </row>
    <row r="13" spans="1:23" ht="17.5">
      <c r="E13" s="4"/>
      <c r="F13" s="3" t="s">
        <v>10</v>
      </c>
      <c r="G13" s="6">
        <f>NETWORKDAYS(G10,G11)</f>
        <v>16</v>
      </c>
      <c r="H13" s="3" t="s">
        <v>122</v>
      </c>
    </row>
    <row r="14" spans="1:23" ht="17.5">
      <c r="E14" s="4"/>
      <c r="F14" s="3" t="s">
        <v>11</v>
      </c>
      <c r="G14" s="6">
        <f>NETWORKDAYS(G10,G8-1)</f>
        <v>15</v>
      </c>
      <c r="H14" s="3" t="s">
        <v>123</v>
      </c>
    </row>
    <row r="15" spans="1:23" ht="17.5">
      <c r="E15" s="4"/>
      <c r="F15" s="3" t="s">
        <v>12</v>
      </c>
      <c r="G15" s="6">
        <f>G13-G14</f>
        <v>1</v>
      </c>
      <c r="H15" s="3" t="s">
        <v>124</v>
      </c>
    </row>
    <row r="16" spans="1:23">
      <c r="E16" s="4"/>
      <c r="G16" s="6"/>
    </row>
    <row r="17" spans="1:23" ht="17.5">
      <c r="E17" s="4"/>
      <c r="F17" s="3" t="s">
        <v>13</v>
      </c>
      <c r="G17" s="10">
        <f>(100 - G9) / 100</f>
        <v>3.6724999999999994E-2</v>
      </c>
      <c r="H17" s="3" t="s">
        <v>125</v>
      </c>
    </row>
    <row r="18" spans="1:23" ht="17.5">
      <c r="E18" s="4"/>
      <c r="F18" s="3" t="s">
        <v>14</v>
      </c>
      <c r="G18" s="10">
        <f>SUMPRODUCT('Market Data'!B3:B17, 'Market Data'!C3:C17) / SUM('Market Data'!C3:C17) / 100</f>
        <v>3.6628571428571427E-2</v>
      </c>
      <c r="H18" s="3" t="s">
        <v>126</v>
      </c>
      <c r="J18" s="31" t="s">
        <v>154</v>
      </c>
    </row>
    <row r="19" spans="1:23" ht="17.5">
      <c r="E19" s="4"/>
      <c r="F19" s="3" t="s">
        <v>17</v>
      </c>
      <c r="G19" s="10">
        <f>(G17 * G13 - G18 * G14) / G15</f>
        <v>3.8171428571428523E-2</v>
      </c>
      <c r="H19" s="3" t="s">
        <v>127</v>
      </c>
    </row>
    <row r="20" spans="1:23" ht="17.5">
      <c r="E20" s="4"/>
      <c r="F20" s="3" t="s">
        <v>18</v>
      </c>
      <c r="G20" s="10">
        <f xml:space="preserve"> 1 / (1 + (G19 * 8 / 360))</f>
        <v>0.99915246495670973</v>
      </c>
      <c r="H20" s="3" t="s">
        <v>128</v>
      </c>
    </row>
    <row r="21" spans="1:23">
      <c r="G21" s="6"/>
    </row>
    <row r="22" spans="1:23" s="13" customFormat="1">
      <c r="A22" s="17" t="s">
        <v>52</v>
      </c>
      <c r="B22" s="13" t="s">
        <v>19</v>
      </c>
      <c r="G22" s="18"/>
      <c r="W22" s="15"/>
    </row>
    <row r="23" spans="1:23">
      <c r="G23" s="6"/>
    </row>
    <row r="24" spans="1:23">
      <c r="F24" s="3" t="s">
        <v>20</v>
      </c>
      <c r="G24" s="8">
        <v>96.334999999999994</v>
      </c>
    </row>
    <row r="25" spans="1:23">
      <c r="F25" s="3" t="s">
        <v>21</v>
      </c>
      <c r="G25" s="8">
        <v>96.344999999999999</v>
      </c>
    </row>
    <row r="26" spans="1:23">
      <c r="F26" s="3" t="s">
        <v>22</v>
      </c>
      <c r="G26" s="4">
        <v>46099</v>
      </c>
    </row>
    <row r="27" spans="1:23">
      <c r="G27" s="6"/>
    </row>
    <row r="28" spans="1:23" s="13" customFormat="1" ht="17.5">
      <c r="A28" s="17"/>
      <c r="C28" s="13" t="s">
        <v>65</v>
      </c>
      <c r="G28" s="18"/>
      <c r="W28" s="15"/>
    </row>
    <row r="29" spans="1:23">
      <c r="G29" s="6"/>
    </row>
    <row r="30" spans="1:23">
      <c r="F30" s="3" t="s">
        <v>23</v>
      </c>
      <c r="G30" s="10">
        <f>(100 - G24) / 100</f>
        <v>3.6650000000000064E-2</v>
      </c>
    </row>
    <row r="31" spans="1:23">
      <c r="F31" s="3" t="s">
        <v>24</v>
      </c>
      <c r="G31" s="6">
        <v>28</v>
      </c>
    </row>
    <row r="32" spans="1:23">
      <c r="F32" s="3" t="s">
        <v>25</v>
      </c>
      <c r="G32" s="10">
        <f>G20 * (1 / (1 + (G30 * G31 / 360)))</f>
        <v>0.9963124210498171</v>
      </c>
    </row>
    <row r="33" spans="1:23">
      <c r="G33" s="6"/>
    </row>
    <row r="34" spans="1:23" s="13" customFormat="1" ht="17.5">
      <c r="A34" s="17"/>
      <c r="C34" s="13" t="s">
        <v>64</v>
      </c>
      <c r="G34" s="18"/>
      <c r="W34" s="15"/>
    </row>
    <row r="35" spans="1:23" ht="17.5">
      <c r="D35" s="3" t="s">
        <v>29</v>
      </c>
      <c r="G35" s="6"/>
    </row>
    <row r="36" spans="1:23" ht="17.5">
      <c r="D36" s="3" t="s">
        <v>30</v>
      </c>
      <c r="G36" s="6"/>
    </row>
    <row r="37" spans="1:23">
      <c r="G37" s="6"/>
    </row>
    <row r="38" spans="1:23">
      <c r="F38" s="3" t="s">
        <v>26</v>
      </c>
      <c r="G38" s="10">
        <f>(100 - G25) / 100</f>
        <v>3.6550000000000013E-2</v>
      </c>
    </row>
    <row r="39" spans="1:23">
      <c r="F39" s="3" t="s">
        <v>27</v>
      </c>
      <c r="G39" s="6">
        <f>G26-DATE(2026,2,28)</f>
        <v>18</v>
      </c>
    </row>
    <row r="40" spans="1:23">
      <c r="F40" s="3" t="s">
        <v>28</v>
      </c>
      <c r="G40" s="10">
        <f>G32 * (1 / (1 + (G38 * G39 / 360)))</f>
        <v>0.99449498147117843</v>
      </c>
    </row>
    <row r="41" spans="1:23">
      <c r="G41" s="6"/>
    </row>
    <row r="42" spans="1:23" s="13" customFormat="1">
      <c r="A42" s="17" t="s">
        <v>52</v>
      </c>
      <c r="B42" s="13" t="s">
        <v>31</v>
      </c>
      <c r="G42" s="18"/>
      <c r="W42" s="15"/>
    </row>
    <row r="43" spans="1:23">
      <c r="F43" s="3" t="s">
        <v>32</v>
      </c>
      <c r="G43" s="7">
        <v>96.37</v>
      </c>
    </row>
    <row r="44" spans="1:23">
      <c r="F44" s="3" t="s">
        <v>33</v>
      </c>
      <c r="G44" s="7">
        <v>96.525000000000006</v>
      </c>
    </row>
    <row r="45" spans="1:23">
      <c r="F45" s="3" t="s">
        <v>34</v>
      </c>
      <c r="G45" s="7">
        <v>96.685000000000002</v>
      </c>
    </row>
    <row r="46" spans="1:23">
      <c r="F46" s="3" t="s">
        <v>35</v>
      </c>
      <c r="G46" s="4">
        <v>46190</v>
      </c>
    </row>
    <row r="47" spans="1:23">
      <c r="F47" s="3" t="s">
        <v>36</v>
      </c>
      <c r="G47" s="4">
        <v>46281</v>
      </c>
    </row>
    <row r="48" spans="1:23">
      <c r="F48" s="3" t="s">
        <v>37</v>
      </c>
      <c r="G48" s="4">
        <v>46372</v>
      </c>
    </row>
    <row r="49" spans="1:23">
      <c r="G49" s="6"/>
    </row>
    <row r="50" spans="1:23" s="13" customFormat="1" ht="17.5">
      <c r="A50" s="17"/>
      <c r="C50" s="13" t="s">
        <v>61</v>
      </c>
      <c r="G50" s="18"/>
      <c r="W50" s="15"/>
    </row>
    <row r="51" spans="1:23">
      <c r="G51" s="6"/>
    </row>
    <row r="52" spans="1:23">
      <c r="F52" s="3" t="s">
        <v>38</v>
      </c>
      <c r="G52" s="10">
        <f>(100 - G43) / 100</f>
        <v>3.6299999999999957E-2</v>
      </c>
    </row>
    <row r="53" spans="1:23">
      <c r="F53" s="3" t="s">
        <v>15</v>
      </c>
      <c r="G53" s="6">
        <f>G46-G26</f>
        <v>91</v>
      </c>
    </row>
    <row r="54" spans="1:23">
      <c r="F54" s="3" t="s">
        <v>39</v>
      </c>
      <c r="G54" s="10">
        <f>G40 * (1 / (1 + (G52 * G53 / 360)))</f>
        <v>0.98545263235875979</v>
      </c>
    </row>
    <row r="56" spans="1:23" s="13" customFormat="1" ht="17.5">
      <c r="A56" s="17"/>
      <c r="C56" s="13" t="s">
        <v>62</v>
      </c>
      <c r="G56" s="14"/>
      <c r="W56" s="15"/>
    </row>
    <row r="58" spans="1:23">
      <c r="F58" s="3" t="s">
        <v>40</v>
      </c>
      <c r="G58" s="10">
        <f>(100 - G44) / 100</f>
        <v>3.4749999999999941E-2</v>
      </c>
    </row>
    <row r="59" spans="1:23">
      <c r="F59" s="3" t="s">
        <v>15</v>
      </c>
      <c r="G59" s="6">
        <f>G47-G46</f>
        <v>91</v>
      </c>
    </row>
    <row r="60" spans="1:23">
      <c r="F60" s="3" t="s">
        <v>41</v>
      </c>
      <c r="G60" s="10">
        <f>G54 * (1 / (1 + (G58 * G59 / 360)))</f>
        <v>0.97687176365151807</v>
      </c>
    </row>
    <row r="62" spans="1:23" s="13" customFormat="1" ht="17.5">
      <c r="A62" s="17"/>
      <c r="C62" s="13" t="s">
        <v>63</v>
      </c>
      <c r="G62" s="14"/>
      <c r="W62" s="15"/>
    </row>
    <row r="64" spans="1:23">
      <c r="F64" s="3" t="s">
        <v>42</v>
      </c>
      <c r="G64" s="10">
        <f>(100 - G45) / 100</f>
        <v>3.3149999999999978E-2</v>
      </c>
    </row>
    <row r="65" spans="1:23">
      <c r="F65" s="3" t="s">
        <v>15</v>
      </c>
      <c r="G65" s="6">
        <f>G48-G47</f>
        <v>91</v>
      </c>
    </row>
    <row r="66" spans="1:23">
      <c r="F66" s="3" t="s">
        <v>41</v>
      </c>
      <c r="G66" s="10">
        <f>G60 * (1 / (1 + (G64 * G65 / 360)))</f>
        <v>0.96875400870606487</v>
      </c>
    </row>
    <row r="68" spans="1:23" s="13" customFormat="1">
      <c r="A68" s="17" t="s">
        <v>52</v>
      </c>
      <c r="B68" s="13" t="s">
        <v>43</v>
      </c>
      <c r="G68" s="14"/>
      <c r="W68" s="15"/>
    </row>
    <row r="69" spans="1:23">
      <c r="F69" s="3" t="s">
        <v>44</v>
      </c>
      <c r="G69" s="4">
        <f>G8</f>
        <v>46045</v>
      </c>
    </row>
    <row r="70" spans="1:23" s="13" customFormat="1">
      <c r="A70" s="17"/>
      <c r="G70" s="19" t="s">
        <v>53</v>
      </c>
      <c r="W70" s="15"/>
    </row>
    <row r="71" spans="1:23" ht="17.5">
      <c r="F71" s="12" t="s">
        <v>45</v>
      </c>
      <c r="G71" s="10">
        <f>G20</f>
        <v>0.99915246495670973</v>
      </c>
      <c r="H71" s="3" t="s">
        <v>129</v>
      </c>
    </row>
    <row r="72" spans="1:23">
      <c r="F72" s="12" t="s">
        <v>46</v>
      </c>
      <c r="G72" s="10">
        <f>G32</f>
        <v>0.9963124210498171</v>
      </c>
    </row>
    <row r="73" spans="1:23">
      <c r="F73" s="12" t="s">
        <v>50</v>
      </c>
      <c r="G73" s="10">
        <f>G40</f>
        <v>0.99449498147117843</v>
      </c>
    </row>
    <row r="74" spans="1:23">
      <c r="F74" s="12" t="s">
        <v>48</v>
      </c>
      <c r="G74" s="10">
        <f>G54</f>
        <v>0.98545263235875979</v>
      </c>
    </row>
    <row r="75" spans="1:23">
      <c r="F75" s="12" t="s">
        <v>47</v>
      </c>
      <c r="G75" s="10">
        <f>G60</f>
        <v>0.97687176365151807</v>
      </c>
    </row>
    <row r="76" spans="1:23">
      <c r="F76" s="12" t="s">
        <v>49</v>
      </c>
      <c r="G76" s="10">
        <f>G66</f>
        <v>0.96875400870606487</v>
      </c>
    </row>
    <row r="78" spans="1:23" s="13" customFormat="1">
      <c r="A78" s="17" t="s">
        <v>52</v>
      </c>
      <c r="B78" s="13" t="s">
        <v>51</v>
      </c>
      <c r="G78" s="14"/>
      <c r="W78" s="15"/>
    </row>
    <row r="80" spans="1:23" s="13" customFormat="1">
      <c r="A80" s="17"/>
      <c r="C80" s="13" t="s">
        <v>55</v>
      </c>
      <c r="G80" s="14"/>
      <c r="W80" s="15"/>
    </row>
    <row r="82" spans="1:23" s="13" customFormat="1">
      <c r="A82" s="17"/>
      <c r="G82" s="13" t="s">
        <v>0</v>
      </c>
      <c r="H82" s="14" t="s">
        <v>53</v>
      </c>
      <c r="I82" s="13" t="s">
        <v>54</v>
      </c>
      <c r="W82" s="15"/>
    </row>
    <row r="83" spans="1:23">
      <c r="F83" s="3" t="str">
        <f>F71</f>
        <v>- 1/31</v>
      </c>
      <c r="G83" s="4">
        <v>46053</v>
      </c>
      <c r="H83" s="3">
        <f t="shared" ref="H83:H88" si="0">G71</f>
        <v>0.99915246495670973</v>
      </c>
      <c r="I83" s="3">
        <f>LN(H83)</f>
        <v>-8.478944041767167E-4</v>
      </c>
    </row>
    <row r="84" spans="1:23">
      <c r="F84" s="3" t="str">
        <f t="shared" ref="F84" si="1">F72</f>
        <v>- 2/28</v>
      </c>
      <c r="G84" s="4">
        <v>46081</v>
      </c>
      <c r="H84" s="3">
        <f t="shared" si="0"/>
        <v>0.9963124210498171</v>
      </c>
      <c r="I84" s="3">
        <f t="shared" ref="I84:I87" si="2">LN(H84)</f>
        <v>-3.6943948306640039E-3</v>
      </c>
    </row>
    <row r="85" spans="1:23">
      <c r="F85" s="3" t="str">
        <f>F73</f>
        <v>- 3/18 (Mar IMM)</v>
      </c>
      <c r="G85" s="4">
        <v>46099</v>
      </c>
      <c r="H85" s="3">
        <f t="shared" si="0"/>
        <v>0.99449498147117843</v>
      </c>
      <c r="I85" s="3">
        <f>LN(H85)</f>
        <v>-5.5202269842228547E-3</v>
      </c>
    </row>
    <row r="86" spans="1:23">
      <c r="F86" s="3" t="str">
        <f t="shared" ref="F86" si="3">F74</f>
        <v>- 6/17 (Jun IMM)</v>
      </c>
      <c r="G86" s="4">
        <v>46190</v>
      </c>
      <c r="H86" s="3">
        <f t="shared" si="0"/>
        <v>0.98545263235875979</v>
      </c>
      <c r="I86" s="3">
        <f t="shared" si="2"/>
        <v>-1.4654218122116616E-2</v>
      </c>
    </row>
    <row r="87" spans="1:23">
      <c r="F87" s="3" t="str">
        <f t="shared" ref="F87" si="4">F75</f>
        <v>- 9/16 (Sep IMM)</v>
      </c>
      <c r="G87" s="4">
        <v>46281</v>
      </c>
      <c r="H87" s="3">
        <f t="shared" si="0"/>
        <v>0.97687176365151807</v>
      </c>
      <c r="I87" s="3">
        <f t="shared" si="2"/>
        <v>-2.3399890772581939E-2</v>
      </c>
    </row>
    <row r="88" spans="1:23">
      <c r="F88" s="3" t="str">
        <f t="shared" ref="F88" si="5">F76</f>
        <v>- 12/16 (Dec IMM)</v>
      </c>
      <c r="G88" s="4">
        <v>46372</v>
      </c>
      <c r="H88" s="3">
        <f t="shared" si="0"/>
        <v>0.96875400870606487</v>
      </c>
      <c r="I88" s="3">
        <f>LN(H88)</f>
        <v>-3.1744560303978139E-2</v>
      </c>
    </row>
    <row r="90" spans="1:23" s="13" customFormat="1" ht="17.5">
      <c r="A90" s="17"/>
      <c r="C90" s="13" t="s">
        <v>56</v>
      </c>
      <c r="G90" s="14" t="s">
        <v>131</v>
      </c>
      <c r="W90" s="15"/>
    </row>
    <row r="91" spans="1:23">
      <c r="G91" s="10" t="s">
        <v>0</v>
      </c>
      <c r="H91" s="3" t="s">
        <v>53</v>
      </c>
    </row>
    <row r="92" spans="1:23">
      <c r="F92" s="3" t="s">
        <v>57</v>
      </c>
      <c r="G92" s="4">
        <f>G69</f>
        <v>46045</v>
      </c>
      <c r="H92" s="3">
        <v>1</v>
      </c>
    </row>
    <row r="93" spans="1:23">
      <c r="F93" s="3" t="s">
        <v>58</v>
      </c>
      <c r="G93" s="4">
        <f>EDATE(G92,3)</f>
        <v>46135</v>
      </c>
      <c r="H93" s="3">
        <f>EXP(I85 + (G93-G85)/(G86-G85) * (I86-I85))</f>
        <v>0.99090791126768507</v>
      </c>
    </row>
    <row r="94" spans="1:23">
      <c r="F94" s="3" t="s">
        <v>59</v>
      </c>
      <c r="G94" s="4">
        <f t="shared" ref="G94:G95" si="6">EDATE(G93,3)</f>
        <v>46226</v>
      </c>
      <c r="H94" s="3">
        <f>EXP(I86 + (G94-G86)/(G87-G86) * (I87-I86))</f>
        <v>0.98204902851907594</v>
      </c>
    </row>
    <row r="95" spans="1:23">
      <c r="F95" s="3" t="s">
        <v>60</v>
      </c>
      <c r="G95" s="4">
        <f t="shared" si="6"/>
        <v>46318</v>
      </c>
      <c r="H95" s="3">
        <f>EXP(I87 + (G95-G87)/(G88-G87) * (I88-I87))</f>
        <v>0.97356296391341313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FE2D-285E-0349-8C90-1B3FAE8017B1}">
  <dimension ref="A2:M182"/>
  <sheetViews>
    <sheetView topLeftCell="A2" zoomScale="89" zoomScaleNormal="100" workbookViewId="0">
      <selection activeCell="I63" sqref="I63"/>
    </sheetView>
  </sheetViews>
  <sheetFormatPr defaultColWidth="15.69140625" defaultRowHeight="15.5"/>
  <cols>
    <col min="1" max="1" width="3.69140625" style="16" customWidth="1"/>
    <col min="2" max="5" width="3.69140625" style="3" customWidth="1"/>
    <col min="6" max="16384" width="15.69140625" style="3"/>
  </cols>
  <sheetData>
    <row r="2" spans="1:9" s="13" customFormat="1">
      <c r="A2" s="17" t="s">
        <v>52</v>
      </c>
      <c r="B2" s="13" t="s">
        <v>66</v>
      </c>
    </row>
    <row r="3" spans="1:9" s="13" customFormat="1" ht="17.5">
      <c r="A3" s="17"/>
      <c r="C3" s="13" t="s">
        <v>69</v>
      </c>
      <c r="G3" s="13" t="s">
        <v>132</v>
      </c>
    </row>
    <row r="4" spans="1:9" s="13" customFormat="1">
      <c r="A4" s="17"/>
    </row>
    <row r="5" spans="1:9" s="13" customFormat="1">
      <c r="A5" s="17"/>
      <c r="F5" s="13" t="s">
        <v>6</v>
      </c>
      <c r="G5" s="19">
        <f>'SOFR Swap Bootstrap ( &lt;1Y)'!G8</f>
        <v>46045</v>
      </c>
      <c r="H5" s="19"/>
      <c r="I5" s="19"/>
    </row>
    <row r="7" spans="1:9" s="13" customFormat="1" ht="17.5">
      <c r="A7" s="17"/>
      <c r="F7" s="13" t="s">
        <v>67</v>
      </c>
      <c r="G7" s="13" t="s">
        <v>70</v>
      </c>
      <c r="H7" s="13" t="s">
        <v>153</v>
      </c>
    </row>
    <row r="8" spans="1:9">
      <c r="F8" s="3">
        <v>1</v>
      </c>
      <c r="G8" s="9"/>
      <c r="H8" s="9">
        <v>3.524E-2</v>
      </c>
      <c r="I8" s="9"/>
    </row>
    <row r="9" spans="1:9">
      <c r="F9" s="3">
        <v>2</v>
      </c>
      <c r="G9" s="9"/>
      <c r="H9" s="9">
        <v>3.4369999999999998E-2</v>
      </c>
      <c r="I9" s="9"/>
    </row>
    <row r="10" spans="1:9">
      <c r="F10" s="3">
        <v>3</v>
      </c>
      <c r="G10" s="9"/>
      <c r="H10" s="9">
        <v>3.4660000000000003E-2</v>
      </c>
      <c r="I10" s="9"/>
    </row>
    <row r="11" spans="1:9">
      <c r="F11" s="3">
        <v>5</v>
      </c>
      <c r="G11" s="9"/>
      <c r="H11" s="9">
        <v>3.5790000000000002E-2</v>
      </c>
      <c r="I11" s="9"/>
    </row>
    <row r="12" spans="1:9">
      <c r="F12" s="3">
        <v>7</v>
      </c>
      <c r="G12" s="9"/>
      <c r="H12" s="9">
        <v>3.7100000000000001E-2</v>
      </c>
      <c r="I12" s="9"/>
    </row>
    <row r="13" spans="1:9">
      <c r="F13" s="3">
        <v>10</v>
      </c>
      <c r="G13" s="9"/>
      <c r="H13" s="9">
        <v>3.8830000000000003E-2</v>
      </c>
      <c r="I13" s="9"/>
    </row>
    <row r="14" spans="1:9">
      <c r="F14" s="3">
        <v>15</v>
      </c>
      <c r="G14" s="9"/>
      <c r="H14" s="9">
        <v>4.1099999999999998E-2</v>
      </c>
      <c r="I14" s="9"/>
    </row>
    <row r="15" spans="1:9">
      <c r="F15" s="3">
        <v>30</v>
      </c>
      <c r="G15" s="9"/>
      <c r="H15" s="9">
        <v>4.2070000000000003E-2</v>
      </c>
      <c r="I15" s="9"/>
    </row>
    <row r="17" spans="1:13" s="13" customFormat="1">
      <c r="A17" s="17" t="s">
        <v>52</v>
      </c>
      <c r="B17" s="13" t="s">
        <v>68</v>
      </c>
    </row>
    <row r="19" spans="1:13" s="13" customFormat="1">
      <c r="A19" s="17"/>
      <c r="F19" s="13" t="s">
        <v>1</v>
      </c>
      <c r="G19" s="13" t="s">
        <v>53</v>
      </c>
    </row>
    <row r="20" spans="1:13" s="20" customFormat="1">
      <c r="A20" s="22"/>
      <c r="F20" s="21">
        <v>0.25</v>
      </c>
      <c r="G20" s="21">
        <f>'SOFR Swap Bootstrap ( &lt;1Y)'!H93</f>
        <v>0.99090791126768507</v>
      </c>
      <c r="H20" s="21"/>
      <c r="I20" s="21"/>
    </row>
    <row r="21" spans="1:13" s="20" customFormat="1">
      <c r="A21" s="22"/>
      <c r="F21" s="21">
        <v>0.5</v>
      </c>
      <c r="G21" s="21">
        <f>'SOFR Swap Bootstrap ( &lt;1Y)'!H94</f>
        <v>0.98204902851907594</v>
      </c>
      <c r="H21" s="21"/>
      <c r="I21" s="21"/>
    </row>
    <row r="22" spans="1:13" s="20" customFormat="1">
      <c r="A22" s="22"/>
      <c r="F22" s="21">
        <v>0.75</v>
      </c>
      <c r="G22" s="21">
        <f>'SOFR Swap Bootstrap ( &lt;1Y)'!H95</f>
        <v>0.97356296391341313</v>
      </c>
      <c r="H22" s="21"/>
      <c r="I22" s="21"/>
    </row>
    <row r="23" spans="1:13">
      <c r="F23" s="3">
        <v>1</v>
      </c>
      <c r="G23" s="3">
        <f xml:space="preserve"> 1 / (1 + H8)</f>
        <v>0.96595958425099504</v>
      </c>
    </row>
    <row r="25" spans="1:13" s="13" customFormat="1">
      <c r="A25" s="17" t="s">
        <v>52</v>
      </c>
      <c r="B25" s="13" t="s">
        <v>71</v>
      </c>
    </row>
    <row r="27" spans="1:13" s="13" customFormat="1">
      <c r="A27" s="17"/>
      <c r="F27" s="13" t="s">
        <v>1</v>
      </c>
      <c r="G27" s="13" t="s">
        <v>53</v>
      </c>
      <c r="H27" s="13" t="s">
        <v>54</v>
      </c>
      <c r="I27" s="13" t="s">
        <v>73</v>
      </c>
      <c r="J27" s="13" t="s">
        <v>72</v>
      </c>
      <c r="K27" s="13" t="s">
        <v>74</v>
      </c>
      <c r="L27" s="13" t="s">
        <v>77</v>
      </c>
      <c r="M27" s="13" t="s">
        <v>79</v>
      </c>
    </row>
    <row r="28" spans="1:13">
      <c r="F28" s="3" cm="1">
        <f t="array" ref="F28:F57">_xlfn.SEQUENCE(30,1,1,1)</f>
        <v>1</v>
      </c>
      <c r="G28" s="3">
        <f>G23</f>
        <v>0.96595958425099504</v>
      </c>
      <c r="H28" s="3">
        <f>LN(G28)</f>
        <v>-3.4633283894350567E-2</v>
      </c>
      <c r="J28" s="9"/>
      <c r="K28" s="9">
        <f>I28-J28</f>
        <v>0</v>
      </c>
      <c r="L28" s="3">
        <f>-H28/F28</f>
        <v>3.4633283894350567E-2</v>
      </c>
      <c r="M28" s="3">
        <f>L28</f>
        <v>3.4633283894350567E-2</v>
      </c>
    </row>
    <row r="29" spans="1:13">
      <c r="F29" s="3">
        <v>2</v>
      </c>
      <c r="G29" s="3">
        <f xml:space="preserve"> (1 - H9 * G28) / (1 + H9)</f>
        <v>0.93467518304793573</v>
      </c>
      <c r="H29" s="3">
        <f t="shared" ref="H29:H57" si="0">LN(G29)</f>
        <v>-6.7556207859742451E-2</v>
      </c>
      <c r="J29" s="9"/>
      <c r="K29" s="9">
        <f t="shared" ref="K29:K34" si="1">I29-J29</f>
        <v>0</v>
      </c>
      <c r="L29" s="3">
        <f t="shared" ref="L29:L57" si="2">-H29/F29</f>
        <v>3.3778103929871225E-2</v>
      </c>
      <c r="M29" s="3">
        <f>(H28 - H29) / (F29 - F28)</f>
        <v>3.2922923965391884E-2</v>
      </c>
    </row>
    <row r="30" spans="1:13">
      <c r="F30" s="3">
        <v>3</v>
      </c>
      <c r="G30" s="3">
        <f xml:space="preserve"> (1 - H10 * (G28 + G29)) / (1 + H10)</f>
        <v>0.9028318471434279</v>
      </c>
      <c r="H30" s="3">
        <f t="shared" si="0"/>
        <v>-0.10221895869347318</v>
      </c>
      <c r="J30" s="9"/>
      <c r="K30" s="9">
        <f t="shared" si="1"/>
        <v>0</v>
      </c>
      <c r="L30" s="3">
        <f t="shared" si="2"/>
        <v>3.4072986231157724E-2</v>
      </c>
      <c r="M30" s="3">
        <f t="shared" ref="M30:M57" si="3">(H29 - H30) / (F30 - F29)</f>
        <v>3.4662750833730729E-2</v>
      </c>
    </row>
    <row r="31" spans="1:13">
      <c r="F31" s="3">
        <v>4</v>
      </c>
      <c r="G31" s="3">
        <f>$G$30*(G$32/$G$30)^((F31-$F$30)/($F$32-$F$30))</f>
        <v>0.86986851433827173</v>
      </c>
      <c r="H31" s="3">
        <f t="shared" si="0"/>
        <v>-0.13941321169975718</v>
      </c>
      <c r="J31" s="9"/>
      <c r="L31" s="3">
        <f t="shared" si="2"/>
        <v>3.4853302924939294E-2</v>
      </c>
      <c r="M31" s="3">
        <f t="shared" si="3"/>
        <v>3.7194253006283998E-2</v>
      </c>
    </row>
    <row r="32" spans="1:13">
      <c r="F32" s="3">
        <v>5</v>
      </c>
      <c r="G32" s="3">
        <v>0.83810870720964248</v>
      </c>
      <c r="H32" s="3">
        <f t="shared" si="0"/>
        <v>-0.17660746470604136</v>
      </c>
      <c r="I32" s="3">
        <f>(1-G32)/SUM($G$28:G32)</f>
        <v>3.5884585661659245E-2</v>
      </c>
      <c r="J32" s="9">
        <f>$H$11</f>
        <v>3.5790000000000002E-2</v>
      </c>
      <c r="K32" s="9">
        <f t="shared" si="1"/>
        <v>9.4585661659242481E-5</v>
      </c>
      <c r="L32" s="3">
        <f t="shared" si="2"/>
        <v>3.5321492941208274E-2</v>
      </c>
      <c r="M32" s="3">
        <f t="shared" si="3"/>
        <v>3.7194253006284178E-2</v>
      </c>
    </row>
    <row r="33" spans="6:13">
      <c r="F33" s="3">
        <v>6</v>
      </c>
      <c r="G33" s="3">
        <f>$G$32*(G$34/$G$32)^((F33-$F$32)/($F$34-$F$32))</f>
        <v>0.80537802057126628</v>
      </c>
      <c r="H33" s="3">
        <f t="shared" si="0"/>
        <v>-0.2164435210150556</v>
      </c>
      <c r="J33" s="9"/>
      <c r="L33" s="3">
        <f t="shared" si="2"/>
        <v>3.6073920169175933E-2</v>
      </c>
      <c r="M33" s="3">
        <f t="shared" si="3"/>
        <v>3.9836056309014239E-2</v>
      </c>
    </row>
    <row r="34" spans="6:13">
      <c r="F34" s="3">
        <v>7</v>
      </c>
      <c r="G34" s="3">
        <v>0.77392556650415922</v>
      </c>
      <c r="H34" s="3">
        <f t="shared" si="0"/>
        <v>-0.25627957732406975</v>
      </c>
      <c r="I34" s="3">
        <f>(1-G34)/SUM($G$28:G34)</f>
        <v>3.7117683232060404E-2</v>
      </c>
      <c r="J34" s="9">
        <v>3.7100000000000001E-2</v>
      </c>
      <c r="K34" s="9">
        <f t="shared" si="1"/>
        <v>1.768323206040312E-5</v>
      </c>
      <c r="L34" s="3">
        <f t="shared" si="2"/>
        <v>3.6611368189152824E-2</v>
      </c>
      <c r="M34" s="3">
        <f t="shared" si="3"/>
        <v>3.9836056309014156E-2</v>
      </c>
    </row>
    <row r="35" spans="6:13">
      <c r="F35" s="3">
        <v>8</v>
      </c>
      <c r="G35" s="3">
        <f>$G$34*(G$37/$G$34)^((F35-$F$34)/($F$37-$F$34))</f>
        <v>0.74148408140892597</v>
      </c>
      <c r="H35" s="3">
        <f t="shared" si="0"/>
        <v>-0.29910158572774753</v>
      </c>
      <c r="J35" s="9"/>
      <c r="L35" s="3">
        <f t="shared" si="2"/>
        <v>3.7387698215968442E-2</v>
      </c>
      <c r="M35" s="3">
        <f t="shared" si="3"/>
        <v>4.282200840367778E-2</v>
      </c>
    </row>
    <row r="36" spans="6:13">
      <c r="F36" s="3">
        <v>9</v>
      </c>
      <c r="G36" s="3">
        <f>$G$34*(G$37/$G$34)^((F36-$F$34)/($F$37-$F$34))</f>
        <v>0.71040248155425689</v>
      </c>
      <c r="H36" s="3">
        <f t="shared" si="0"/>
        <v>-0.34192359413142526</v>
      </c>
      <c r="J36" s="9"/>
      <c r="L36" s="3">
        <f t="shared" si="2"/>
        <v>3.7991510459047251E-2</v>
      </c>
      <c r="M36" s="3">
        <f t="shared" si="3"/>
        <v>4.2822008403677725E-2</v>
      </c>
    </row>
    <row r="37" spans="6:13">
      <c r="F37" s="3">
        <v>10</v>
      </c>
      <c r="G37" s="3">
        <v>0.68062376314201889</v>
      </c>
      <c r="H37" s="3">
        <f t="shared" si="0"/>
        <v>-0.38474560253510304</v>
      </c>
      <c r="I37" s="3">
        <f>(1-G37)/SUM($G$28:G37)</f>
        <v>3.8838164459843408E-2</v>
      </c>
      <c r="J37" s="9">
        <v>3.8830000000000003E-2</v>
      </c>
      <c r="K37" s="9">
        <f t="shared" ref="K37" si="4">I37-J37</f>
        <v>8.1644598434044147E-6</v>
      </c>
      <c r="L37" s="3">
        <f t="shared" si="2"/>
        <v>3.8474560253510301E-2</v>
      </c>
      <c r="M37" s="3">
        <f t="shared" si="3"/>
        <v>4.282200840367778E-2</v>
      </c>
    </row>
    <row r="38" spans="6:13">
      <c r="F38" s="3">
        <v>11</v>
      </c>
      <c r="G38" s="3">
        <f>$G$37*(G$42/$G$37)^((F38-$F$37)/($F$42-$F$37))</f>
        <v>0.64960471162980216</v>
      </c>
      <c r="H38" s="3">
        <f t="shared" si="0"/>
        <v>-0.43139123703627719</v>
      </c>
      <c r="J38" s="9"/>
      <c r="L38" s="3">
        <f t="shared" si="2"/>
        <v>3.921738518511611E-2</v>
      </c>
      <c r="M38" s="3">
        <f t="shared" si="3"/>
        <v>4.6645634501174149E-2</v>
      </c>
    </row>
    <row r="39" spans="6:13">
      <c r="F39" s="3">
        <v>12</v>
      </c>
      <c r="G39" s="3">
        <f t="shared" ref="G39:G41" si="5">$G$37*(G$42/$G$37)^((F39-$F$37)/($F$42-$F$37))</f>
        <v>0.61999933623179537</v>
      </c>
      <c r="H39" s="3">
        <f t="shared" si="0"/>
        <v>-0.47803687153745134</v>
      </c>
      <c r="J39" s="9"/>
      <c r="L39" s="3">
        <f t="shared" si="2"/>
        <v>3.9836405961454276E-2</v>
      </c>
      <c r="M39" s="3">
        <f t="shared" si="3"/>
        <v>4.6645634501174149E-2</v>
      </c>
    </row>
    <row r="40" spans="6:13">
      <c r="F40" s="3">
        <v>13</v>
      </c>
      <c r="G40" s="3">
        <f t="shared" si="5"/>
        <v>0.59174320944108061</v>
      </c>
      <c r="H40" s="3">
        <f t="shared" si="0"/>
        <v>-0.52468250603862565</v>
      </c>
      <c r="J40" s="9"/>
      <c r="L40" s="3">
        <f t="shared" si="2"/>
        <v>4.0360192772201972E-2</v>
      </c>
      <c r="M40" s="3">
        <f t="shared" si="3"/>
        <v>4.6645634501174316E-2</v>
      </c>
    </row>
    <row r="41" spans="6:13">
      <c r="F41" s="3">
        <v>14</v>
      </c>
      <c r="G41" s="3">
        <f t="shared" si="5"/>
        <v>0.56477483999872935</v>
      </c>
      <c r="H41" s="3">
        <f t="shared" si="0"/>
        <v>-0.57132814053979974</v>
      </c>
      <c r="J41" s="9"/>
      <c r="L41" s="3">
        <f t="shared" si="2"/>
        <v>4.0809152895699981E-2</v>
      </c>
      <c r="M41" s="3">
        <f t="shared" si="3"/>
        <v>4.6645634501174094E-2</v>
      </c>
    </row>
    <row r="42" spans="6:13">
      <c r="F42" s="3">
        <v>15</v>
      </c>
      <c r="G42" s="3">
        <v>0.53903553907592416</v>
      </c>
      <c r="H42" s="3">
        <f t="shared" si="0"/>
        <v>-0.61797377504097384</v>
      </c>
      <c r="I42" s="3">
        <f>(1-G42)/SUM($G$28:G42)</f>
        <v>4.1200156147177994E-2</v>
      </c>
      <c r="J42" s="9">
        <v>4.1099999999999998E-2</v>
      </c>
      <c r="K42" s="9">
        <f t="shared" ref="K42" si="6">I42-J42</f>
        <v>1.0015614717799604E-4</v>
      </c>
      <c r="L42" s="3">
        <f t="shared" si="2"/>
        <v>4.1198251669398257E-2</v>
      </c>
      <c r="M42" s="3">
        <f t="shared" si="3"/>
        <v>4.6645634501174094E-2</v>
      </c>
    </row>
    <row r="43" spans="6:13">
      <c r="F43" s="3">
        <v>16</v>
      </c>
      <c r="G43" s="3">
        <f>$G$42*(G$57/$G$42)^((F43-$F$42)/($F$57-$F$42))</f>
        <v>0.51563615550070974</v>
      </c>
      <c r="H43" s="3">
        <f t="shared" si="0"/>
        <v>-0.66235388721675559</v>
      </c>
      <c r="J43" s="9"/>
      <c r="L43" s="3">
        <f t="shared" si="2"/>
        <v>4.1397117951047224E-2</v>
      </c>
      <c r="M43" s="3">
        <f t="shared" si="3"/>
        <v>4.438011217578175E-2</v>
      </c>
    </row>
    <row r="44" spans="6:13">
      <c r="F44" s="3">
        <v>17</v>
      </c>
      <c r="G44" s="3">
        <f t="shared" ref="G44:G56" si="7">$G$42*(G$57/$G$42)^((F44-$F$42)/($F$57-$F$42))</f>
        <v>0.49325253269080332</v>
      </c>
      <c r="H44" s="3">
        <f t="shared" si="0"/>
        <v>-0.70673399939253745</v>
      </c>
      <c r="J44" s="9"/>
      <c r="L44" s="3">
        <f t="shared" si="2"/>
        <v>4.1572588199561028E-2</v>
      </c>
      <c r="M44" s="3">
        <f t="shared" si="3"/>
        <v>4.4380112175781861E-2</v>
      </c>
    </row>
    <row r="45" spans="6:13">
      <c r="F45" s="3">
        <v>18</v>
      </c>
      <c r="G45" s="3">
        <f t="shared" si="7"/>
        <v>0.47184057675249103</v>
      </c>
      <c r="H45" s="3">
        <f t="shared" si="0"/>
        <v>-0.7511141115683192</v>
      </c>
      <c r="J45" s="9"/>
      <c r="L45" s="3">
        <f t="shared" si="2"/>
        <v>4.1728561753795509E-2</v>
      </c>
      <c r="M45" s="3">
        <f t="shared" si="3"/>
        <v>4.438011217578175E-2</v>
      </c>
    </row>
    <row r="46" spans="6:13">
      <c r="F46" s="3">
        <v>19</v>
      </c>
      <c r="G46" s="3">
        <f t="shared" si="7"/>
        <v>0.45135810789578201</v>
      </c>
      <c r="H46" s="3">
        <f t="shared" si="0"/>
        <v>-0.79549422374410106</v>
      </c>
      <c r="J46" s="9"/>
      <c r="L46" s="3">
        <f t="shared" si="2"/>
        <v>4.1868117039163211E-2</v>
      </c>
      <c r="M46" s="3">
        <f t="shared" si="3"/>
        <v>4.4380112175781861E-2</v>
      </c>
    </row>
    <row r="47" spans="6:13">
      <c r="F47" s="3">
        <v>20</v>
      </c>
      <c r="G47" s="3">
        <f t="shared" si="7"/>
        <v>0.43176477734369606</v>
      </c>
      <c r="H47" s="3">
        <f t="shared" si="0"/>
        <v>-0.83987433591988281</v>
      </c>
      <c r="J47" s="9"/>
      <c r="L47" s="3">
        <f t="shared" si="2"/>
        <v>4.1993716795994139E-2</v>
      </c>
      <c r="M47" s="3">
        <f t="shared" si="3"/>
        <v>4.438011217578175E-2</v>
      </c>
    </row>
    <row r="48" spans="6:13">
      <c r="F48" s="3">
        <v>21</v>
      </c>
      <c r="G48" s="3">
        <f t="shared" si="7"/>
        <v>0.41302198784849509</v>
      </c>
      <c r="H48" s="3">
        <f t="shared" si="0"/>
        <v>-0.88425444809566467</v>
      </c>
      <c r="J48" s="9"/>
      <c r="L48" s="3">
        <f t="shared" si="2"/>
        <v>4.2107354671222126E-2</v>
      </c>
      <c r="M48" s="3">
        <f t="shared" si="3"/>
        <v>4.4380112175781861E-2</v>
      </c>
    </row>
    <row r="49" spans="1:13">
      <c r="F49" s="3">
        <v>22</v>
      </c>
      <c r="G49" s="3">
        <f t="shared" si="7"/>
        <v>0.39509281765828386</v>
      </c>
      <c r="H49" s="3">
        <f t="shared" si="0"/>
        <v>-0.92863456027144653</v>
      </c>
      <c r="J49" s="9"/>
      <c r="L49" s="3">
        <f t="shared" si="2"/>
        <v>4.2210661830520295E-2</v>
      </c>
      <c r="M49" s="3">
        <f t="shared" si="3"/>
        <v>4.4380112175781861E-2</v>
      </c>
    </row>
    <row r="50" spans="1:13">
      <c r="F50" s="3">
        <v>23</v>
      </c>
      <c r="G50" s="3">
        <f t="shared" si="7"/>
        <v>0.37794194778419882</v>
      </c>
      <c r="H50" s="3">
        <f t="shared" si="0"/>
        <v>-0.97301467244722828</v>
      </c>
      <c r="J50" s="9"/>
      <c r="L50" s="3">
        <f t="shared" si="2"/>
        <v>4.2304985758575143E-2</v>
      </c>
      <c r="M50" s="3">
        <f t="shared" si="3"/>
        <v>4.438011217578175E-2</v>
      </c>
    </row>
    <row r="51" spans="1:13">
      <c r="F51" s="3">
        <v>24</v>
      </c>
      <c r="G51" s="3">
        <f t="shared" si="7"/>
        <v>0.36153559242490868</v>
      </c>
      <c r="H51" s="3">
        <f t="shared" si="0"/>
        <v>-1.01739478462301</v>
      </c>
      <c r="J51" s="9"/>
      <c r="L51" s="3">
        <f t="shared" si="2"/>
        <v>4.2391449359292087E-2</v>
      </c>
      <c r="M51" s="3">
        <f t="shared" si="3"/>
        <v>4.438011217578175E-2</v>
      </c>
    </row>
    <row r="52" spans="1:13">
      <c r="F52" s="3">
        <v>25</v>
      </c>
      <c r="G52" s="3">
        <f t="shared" si="7"/>
        <v>0.34584143241136778</v>
      </c>
      <c r="H52" s="3">
        <f t="shared" si="0"/>
        <v>-1.0617748967987919</v>
      </c>
      <c r="J52" s="9"/>
      <c r="L52" s="3">
        <f t="shared" si="2"/>
        <v>4.2470995871951675E-2</v>
      </c>
      <c r="M52" s="3">
        <f t="shared" si="3"/>
        <v>4.4380112175781861E-2</v>
      </c>
    </row>
    <row r="53" spans="1:13">
      <c r="F53" s="3">
        <v>26</v>
      </c>
      <c r="G53" s="3">
        <f t="shared" si="7"/>
        <v>0.33082855154071455</v>
      </c>
      <c r="H53" s="3">
        <f t="shared" si="0"/>
        <v>-1.1061550089745735</v>
      </c>
      <c r="J53" s="9"/>
      <c r="L53" s="3">
        <f t="shared" si="2"/>
        <v>4.2544423422098979E-2</v>
      </c>
      <c r="M53" s="3">
        <f t="shared" si="3"/>
        <v>4.4380112175781639E-2</v>
      </c>
    </row>
    <row r="54" spans="1:13">
      <c r="F54" s="3">
        <v>27</v>
      </c>
      <c r="G54" s="3">
        <f t="shared" si="7"/>
        <v>0.31646737567389766</v>
      </c>
      <c r="H54" s="3">
        <f t="shared" si="0"/>
        <v>-1.1505351211503556</v>
      </c>
      <c r="J54" s="9"/>
      <c r="L54" s="3">
        <f t="shared" si="2"/>
        <v>4.2612411894457615E-2</v>
      </c>
      <c r="M54" s="3">
        <f t="shared" si="3"/>
        <v>4.4380112175782083E-2</v>
      </c>
    </row>
    <row r="55" spans="1:13">
      <c r="F55" s="3">
        <v>28</v>
      </c>
      <c r="G55" s="3">
        <f t="shared" si="7"/>
        <v>0.30272961447705754</v>
      </c>
      <c r="H55" s="3">
        <f t="shared" si="0"/>
        <v>-1.1949152333261372</v>
      </c>
      <c r="J55" s="9"/>
      <c r="L55" s="3">
        <f t="shared" si="2"/>
        <v>4.2675544047362048E-2</v>
      </c>
      <c r="M55" s="3">
        <f t="shared" si="3"/>
        <v>4.4380112175781639E-2</v>
      </c>
    </row>
    <row r="56" spans="1:13">
      <c r="F56" s="3">
        <v>29</v>
      </c>
      <c r="G56" s="3">
        <f t="shared" si="7"/>
        <v>0.28958820569189814</v>
      </c>
      <c r="H56" s="3">
        <f t="shared" si="0"/>
        <v>-1.2392953455019193</v>
      </c>
      <c r="J56" s="9"/>
      <c r="L56" s="3">
        <f t="shared" si="2"/>
        <v>4.2734322258686876E-2</v>
      </c>
      <c r="M56" s="3">
        <f t="shared" si="3"/>
        <v>4.4380112175782083E-2</v>
      </c>
    </row>
    <row r="57" spans="1:13">
      <c r="F57" s="3">
        <v>30</v>
      </c>
      <c r="G57" s="3">
        <v>0.27701726182526681</v>
      </c>
      <c r="H57" s="3">
        <f t="shared" si="0"/>
        <v>-1.2836754576777007</v>
      </c>
      <c r="I57" s="3">
        <f>(1-G57)/SUM($G$28:G57)</f>
        <v>4.2622837732728396E-2</v>
      </c>
      <c r="J57" s="9">
        <v>4.2070000000000003E-2</v>
      </c>
      <c r="K57" s="9">
        <f t="shared" ref="K57" si="8">I57-J57</f>
        <v>5.5283773272839232E-4</v>
      </c>
      <c r="L57" s="3">
        <f t="shared" si="2"/>
        <v>4.2789181922590028E-2</v>
      </c>
      <c r="M57" s="3">
        <f t="shared" si="3"/>
        <v>4.4380112175781417E-2</v>
      </c>
    </row>
    <row r="60" spans="1:13" s="13" customFormat="1">
      <c r="A60" s="17" t="s">
        <v>52</v>
      </c>
      <c r="B60" s="13" t="s">
        <v>75</v>
      </c>
    </row>
    <row r="62" spans="1:13" s="13" customFormat="1">
      <c r="A62" s="17"/>
      <c r="F62" s="13" t="s">
        <v>1</v>
      </c>
      <c r="G62" s="13" t="s">
        <v>53</v>
      </c>
      <c r="H62" s="13" t="s">
        <v>76</v>
      </c>
      <c r="I62" s="13" t="s">
        <v>77</v>
      </c>
      <c r="J62" s="13" t="s">
        <v>78</v>
      </c>
    </row>
    <row r="63" spans="1:13">
      <c r="F63" s="3" cm="1">
        <f t="array" ref="F63:F182">_xlfn.SEQUENCE(120,1,0.25,0.25)</f>
        <v>0.25</v>
      </c>
      <c r="G63" s="3">
        <f>G20</f>
        <v>0.99090791126768507</v>
      </c>
      <c r="H63" s="3">
        <f>LN(G63)</f>
        <v>-9.133674027785187E-3</v>
      </c>
      <c r="I63" s="3">
        <f>-H63/F63</f>
        <v>3.6534696111140748E-2</v>
      </c>
      <c r="J63" s="3">
        <f>-H63/F63</f>
        <v>3.6534696111140748E-2</v>
      </c>
    </row>
    <row r="64" spans="1:13">
      <c r="F64" s="3">
        <v>0.5</v>
      </c>
      <c r="G64" s="3">
        <f t="shared" ref="G64:G65" si="9">G21</f>
        <v>0.98204902851907594</v>
      </c>
      <c r="H64" s="3">
        <f t="shared" ref="H64:H127" si="10">LN(G64)</f>
        <v>-1.8114044665157803E-2</v>
      </c>
      <c r="I64" s="3">
        <f t="shared" ref="I64:I127" si="11">-H64/F64</f>
        <v>3.6228089330315606E-2</v>
      </c>
      <c r="J64" s="3">
        <f>(H63-H64)/(F64-F63)</f>
        <v>3.5921482549490465E-2</v>
      </c>
    </row>
    <row r="65" spans="6:10">
      <c r="F65" s="3">
        <v>0.75</v>
      </c>
      <c r="G65" s="3">
        <f t="shared" si="9"/>
        <v>0.97356296391341313</v>
      </c>
      <c r="H65" s="3">
        <f t="shared" si="10"/>
        <v>-2.6792778384248581E-2</v>
      </c>
      <c r="I65" s="3">
        <f t="shared" si="11"/>
        <v>3.5723704512331443E-2</v>
      </c>
      <c r="J65" s="3">
        <f t="shared" ref="J65:J128" si="12">(H64-H65)/(F65-F64)</f>
        <v>3.471493487636311E-2</v>
      </c>
    </row>
    <row r="66" spans="6:10">
      <c r="F66" s="3">
        <v>1</v>
      </c>
      <c r="G66" s="3">
        <f>VLOOKUP(F66,$F$27:$G$57,2,0)</f>
        <v>0.96595958425099504</v>
      </c>
      <c r="H66" s="3">
        <f t="shared" si="10"/>
        <v>-3.4633283894350567E-2</v>
      </c>
      <c r="I66" s="3">
        <f t="shared" si="11"/>
        <v>3.4633283894350567E-2</v>
      </c>
      <c r="J66" s="3">
        <f t="shared" si="12"/>
        <v>3.1362022040407944E-2</v>
      </c>
    </row>
    <row r="67" spans="6:10">
      <c r="F67" s="3">
        <v>1.25</v>
      </c>
      <c r="G67" s="3" cm="1">
        <f t="array" ref="G67">EXP(INDEX($H$28:$H$57, INT(F67)) + (IFERROR(INDEX($H$28:$H$57, INT(F67)+1), INDEX($H$28:$H$57, INT(F67))) - INDEX($H$28:$H$57, INT(F67))) * (F67 - INT(F67)))</f>
        <v>0.95804166061412643</v>
      </c>
      <c r="H67" s="3">
        <f t="shared" si="10"/>
        <v>-4.2864014885698583E-2</v>
      </c>
      <c r="I67" s="3">
        <f t="shared" si="11"/>
        <v>3.4291211908558869E-2</v>
      </c>
      <c r="J67" s="3">
        <f t="shared" si="12"/>
        <v>3.2922923965392065E-2</v>
      </c>
    </row>
    <row r="68" spans="6:10">
      <c r="F68" s="3">
        <v>1.5</v>
      </c>
      <c r="G68" s="3" cm="1">
        <f t="array" ref="G68">EXP(INDEX($H$28:$H$57, INT(F68)) + (IFERROR(INDEX($H$28:$H$57, INT(F68)+1), INDEX($H$28:$H$57, INT(F68))) - INDEX($H$28:$H$57, INT(F68))) * (F68 - INT(F68)))</f>
        <v>0.95018863981143586</v>
      </c>
      <c r="H68" s="3">
        <f t="shared" si="10"/>
        <v>-5.1094745877046557E-2</v>
      </c>
      <c r="I68" s="3">
        <f t="shared" si="11"/>
        <v>3.4063163918031041E-2</v>
      </c>
      <c r="J68" s="3">
        <f t="shared" si="12"/>
        <v>3.2922923965391898E-2</v>
      </c>
    </row>
    <row r="69" spans="6:10">
      <c r="F69" s="3">
        <v>1.75</v>
      </c>
      <c r="G69" s="3" cm="1">
        <f t="array" ref="G69">EXP(INDEX($H$28:$H$57, INT(F69)) + (IFERROR(INDEX($H$28:$H$57, INT(F69)+1), INDEX($H$28:$H$57, INT(F69))) - INDEX($H$28:$H$57, INT(F69))) * (F69 - INT(F69)))</f>
        <v>0.94239998983755457</v>
      </c>
      <c r="H69" s="3">
        <f t="shared" si="10"/>
        <v>-5.9325476868394462E-2</v>
      </c>
      <c r="I69" s="3">
        <f t="shared" si="11"/>
        <v>3.390027249622541E-2</v>
      </c>
      <c r="J69" s="3">
        <f t="shared" si="12"/>
        <v>3.2922923965391621E-2</v>
      </c>
    </row>
    <row r="70" spans="6:10">
      <c r="F70" s="3">
        <v>2</v>
      </c>
      <c r="G70" s="3" cm="1">
        <f t="array" ref="G70">EXP(INDEX($H$28:$H$57, INT(F70)) + (IFERROR(INDEX($H$28:$H$57, INT(F70)+1), INDEX($H$28:$H$57, INT(F70))) - INDEX($H$28:$H$57, INT(F70))) * (F70 - INT(F70)))</f>
        <v>0.93467518304793573</v>
      </c>
      <c r="H70" s="3">
        <f t="shared" si="10"/>
        <v>-6.7556207859742451E-2</v>
      </c>
      <c r="I70" s="3">
        <f t="shared" si="11"/>
        <v>3.3778103929871225E-2</v>
      </c>
      <c r="J70" s="3">
        <f t="shared" si="12"/>
        <v>3.2922923965391954E-2</v>
      </c>
    </row>
    <row r="71" spans="6:10">
      <c r="F71" s="3">
        <v>2.25</v>
      </c>
      <c r="G71" s="3" cm="1">
        <f t="array" ref="G71">EXP(INDEX($H$28:$H$57, INT(F71)) + (IFERROR(INDEX($H$28:$H$57, INT(F71)+1), INDEX($H$28:$H$57, INT(F71))) - INDEX($H$28:$H$57, INT(F71))) * (F71 - INT(F71)))</f>
        <v>0.92661057296606908</v>
      </c>
      <c r="H71" s="3">
        <f t="shared" si="10"/>
        <v>-7.622189556817513E-2</v>
      </c>
      <c r="I71" s="3">
        <f t="shared" si="11"/>
        <v>3.3876398030300056E-2</v>
      </c>
      <c r="J71" s="3">
        <f t="shared" si="12"/>
        <v>3.4662750833730716E-2</v>
      </c>
    </row>
    <row r="72" spans="6:10">
      <c r="F72" s="3">
        <v>2.5</v>
      </c>
      <c r="G72" s="3" cm="1">
        <f t="array" ref="G72">EXP(INDEX($H$28:$H$57, INT(F72)) + (IFERROR(INDEX($H$28:$H$57, INT(F72)+1), INDEX($H$28:$H$57, INT(F72))) - INDEX($H$28:$H$57, INT(F72))) * (F72 - INT(F72)))</f>
        <v>0.91861554634694131</v>
      </c>
      <c r="H72" s="3">
        <f t="shared" si="10"/>
        <v>-8.4887583276607767E-2</v>
      </c>
      <c r="I72" s="3">
        <f t="shared" si="11"/>
        <v>3.3955033310643104E-2</v>
      </c>
      <c r="J72" s="3">
        <f t="shared" si="12"/>
        <v>3.4662750833730549E-2</v>
      </c>
    </row>
    <row r="73" spans="6:10">
      <c r="F73" s="3">
        <v>2.75</v>
      </c>
      <c r="G73" s="3" cm="1">
        <f t="array" ref="G73">EXP(INDEX($H$28:$H$57, INT(F73)) + (IFERROR(INDEX($H$28:$H$57, INT(F73)+1), INDEX($H$28:$H$57, INT(F73))) - INDEX($H$28:$H$57, INT(F73))) * (F73 - INT(F73)))</f>
        <v>0.91068950280711936</v>
      </c>
      <c r="H73" s="3">
        <f t="shared" si="10"/>
        <v>-9.355327098504046E-2</v>
      </c>
      <c r="I73" s="3">
        <f t="shared" si="11"/>
        <v>3.4019371267287442E-2</v>
      </c>
      <c r="J73" s="3">
        <f t="shared" si="12"/>
        <v>3.4662750833730771E-2</v>
      </c>
    </row>
    <row r="74" spans="6:10">
      <c r="F74" s="3">
        <v>3</v>
      </c>
      <c r="G74" s="3" cm="1">
        <f t="array" ref="G74">EXP(INDEX($H$28:$H$57, INT(F74)) + (IFERROR(INDEX($H$28:$H$57, INT(F74)+1), INDEX($H$28:$H$57, INT(F74))) - INDEX($H$28:$H$57, INT(F74))) * (F74 - INT(F74)))</f>
        <v>0.9028318471434279</v>
      </c>
      <c r="H74" s="3">
        <f t="shared" si="10"/>
        <v>-0.10221895869347318</v>
      </c>
      <c r="I74" s="3">
        <f t="shared" si="11"/>
        <v>3.4072986231157724E-2</v>
      </c>
      <c r="J74" s="3">
        <f t="shared" si="12"/>
        <v>3.4662750833730882E-2</v>
      </c>
    </row>
    <row r="75" spans="6:10">
      <c r="F75" s="3">
        <v>3.25</v>
      </c>
      <c r="G75" s="3" cm="1">
        <f t="array" ref="G75">EXP(INDEX($H$28:$H$57, INT(F75)) + (IFERROR(INDEX($H$28:$H$57, INT(F75)+1), INDEX($H$28:$H$57, INT(F75))) - INDEX($H$28:$H$57, INT(F75))) * (F75 - INT(F75)))</f>
        <v>0.89447571831157713</v>
      </c>
      <c r="H75" s="3">
        <f t="shared" si="10"/>
        <v>-0.11151752194504419</v>
      </c>
      <c r="I75" s="3">
        <f t="shared" si="11"/>
        <v>3.4313083675398211E-2</v>
      </c>
      <c r="J75" s="3">
        <f t="shared" si="12"/>
        <v>3.7194253006284039E-2</v>
      </c>
    </row>
    <row r="76" spans="6:10">
      <c r="F76" s="3">
        <v>3.5</v>
      </c>
      <c r="G76" s="3" cm="1">
        <f t="array" ref="G76">EXP(INDEX($H$28:$H$57, INT(F76)) + (IFERROR(INDEX($H$28:$H$57, INT(F76)+1), INDEX($H$28:$H$57, INT(F76))) - INDEX($H$28:$H$57, INT(F76))) * (F76 - INT(F76)))</f>
        <v>0.88619692934016148</v>
      </c>
      <c r="H76" s="3">
        <f t="shared" si="10"/>
        <v>-0.12081608519661524</v>
      </c>
      <c r="I76" s="3">
        <f t="shared" si="11"/>
        <v>3.4518881484747209E-2</v>
      </c>
      <c r="J76" s="3">
        <f t="shared" si="12"/>
        <v>3.7194253006284206E-2</v>
      </c>
    </row>
    <row r="77" spans="6:10">
      <c r="F77" s="3">
        <v>3.75</v>
      </c>
      <c r="G77" s="3" cm="1">
        <f t="array" ref="G77">EXP(INDEX($H$28:$H$57, INT(F77)) + (IFERROR(INDEX($H$28:$H$57, INT(F77)+1), INDEX($H$28:$H$57, INT(F77))) - INDEX($H$28:$H$57, INT(F77))) * (F77 - INT(F77)))</f>
        <v>0.87799476441278657</v>
      </c>
      <c r="H77" s="3">
        <f t="shared" si="10"/>
        <v>-0.13011464844818624</v>
      </c>
      <c r="I77" s="3">
        <f t="shared" si="11"/>
        <v>3.4697239586182996E-2</v>
      </c>
      <c r="J77" s="3">
        <f t="shared" si="12"/>
        <v>3.7194253006283984E-2</v>
      </c>
    </row>
    <row r="78" spans="6:10">
      <c r="F78" s="3">
        <v>4</v>
      </c>
      <c r="G78" s="3" cm="1">
        <f t="array" ref="G78">EXP(INDEX($H$28:$H$57, INT(F78)) + (IFERROR(INDEX($H$28:$H$57, INT(F78)+1), INDEX($H$28:$H$57, INT(F78))) - INDEX($H$28:$H$57, INT(F78))) * (F78 - INT(F78)))</f>
        <v>0.86986851433827173</v>
      </c>
      <c r="H78" s="3">
        <f t="shared" si="10"/>
        <v>-0.13941321169975718</v>
      </c>
      <c r="I78" s="3">
        <f t="shared" si="11"/>
        <v>3.4853302924939294E-2</v>
      </c>
      <c r="J78" s="3">
        <f t="shared" si="12"/>
        <v>3.7194253006283762E-2</v>
      </c>
    </row>
    <row r="79" spans="6:10">
      <c r="F79" s="3">
        <v>4.25</v>
      </c>
      <c r="G79" s="3" cm="1">
        <f t="array" ref="G79">EXP(INDEX($H$28:$H$57, INT(F79)) + (IFERROR(INDEX($H$28:$H$57, INT(F79)+1), INDEX($H$28:$H$57, INT(F79))) - INDEX($H$28:$H$57, INT(F79))) * (F79 - INT(F79)))</f>
        <v>0.86181747648933049</v>
      </c>
      <c r="H79" s="3">
        <f t="shared" si="10"/>
        <v>-0.14871177495132823</v>
      </c>
      <c r="I79" s="3">
        <f t="shared" si="11"/>
        <v>3.499100587090076E-2</v>
      </c>
      <c r="J79" s="3">
        <f t="shared" si="12"/>
        <v>3.7194253006284206E-2</v>
      </c>
    </row>
    <row r="80" spans="6:10">
      <c r="F80" s="3">
        <v>4.5</v>
      </c>
      <c r="G80" s="3" cm="1">
        <f t="array" ref="G80">EXP(INDEX($H$28:$H$57, INT(F80)) + (IFERROR(INDEX($H$28:$H$57, INT(F80)+1), INDEX($H$28:$H$57, INT(F80))) - INDEX($H$28:$H$57, INT(F80))) * (F80 - INT(F80)))</f>
        <v>0.8538409547418192</v>
      </c>
      <c r="H80" s="3">
        <f t="shared" si="10"/>
        <v>-0.15801033820289923</v>
      </c>
      <c r="I80" s="3">
        <f t="shared" si="11"/>
        <v>3.5113408489533163E-2</v>
      </c>
      <c r="J80" s="3">
        <f t="shared" si="12"/>
        <v>3.7194253006283984E-2</v>
      </c>
    </row>
    <row r="81" spans="6:10">
      <c r="F81" s="3">
        <v>4.75</v>
      </c>
      <c r="G81" s="3" cm="1">
        <f t="array" ref="G81">EXP(INDEX($H$28:$H$57, INT(F81)) + (IFERROR(INDEX($H$28:$H$57, INT(F81)+1), INDEX($H$28:$H$57, INT(F81))) - INDEX($H$28:$H$57, INT(F81))) * (F81 - INT(F81)))</f>
        <v>0.8459382594145467</v>
      </c>
      <c r="H81" s="3">
        <f t="shared" si="10"/>
        <v>-0.1673089014544703</v>
      </c>
      <c r="I81" s="3">
        <f t="shared" si="11"/>
        <v>3.522292662199375E-2</v>
      </c>
      <c r="J81" s="3">
        <f t="shared" si="12"/>
        <v>3.7194253006284317E-2</v>
      </c>
    </row>
    <row r="82" spans="6:10">
      <c r="F82" s="3">
        <v>5</v>
      </c>
      <c r="G82" s="3" cm="1">
        <f t="array" ref="G82">EXP(INDEX($H$28:$H$57, INT(F82)) + (IFERROR(INDEX($H$28:$H$57, INT(F82)+1), INDEX($H$28:$H$57, INT(F82))) - INDEX($H$28:$H$57, INT(F82))) * (F82 - INT(F82)))</f>
        <v>0.83810870720964248</v>
      </c>
      <c r="H82" s="3">
        <f t="shared" si="10"/>
        <v>-0.17660746470604136</v>
      </c>
      <c r="I82" s="3">
        <f t="shared" si="11"/>
        <v>3.5321492941208274E-2</v>
      </c>
      <c r="J82" s="3">
        <f t="shared" si="12"/>
        <v>3.7194253006284206E-2</v>
      </c>
    </row>
    <row r="83" spans="6:10">
      <c r="F83" s="3">
        <v>5.25</v>
      </c>
      <c r="G83" s="3" cm="1">
        <f t="array" ref="G83">EXP(INDEX($H$28:$H$57, INT(F83)) + (IFERROR(INDEX($H$28:$H$57, INT(F83)+1), INDEX($H$28:$H$57, INT(F83))) - INDEX($H$28:$H$57, INT(F83))) * (F83 - INT(F83)))</f>
        <v>0.82980339579755025</v>
      </c>
      <c r="H83" s="3">
        <f t="shared" si="10"/>
        <v>-0.18656647878329488</v>
      </c>
      <c r="I83" s="3">
        <f t="shared" si="11"/>
        <v>3.5536472149199028E-2</v>
      </c>
      <c r="J83" s="3">
        <f t="shared" si="12"/>
        <v>3.9836056309014101E-2</v>
      </c>
    </row>
    <row r="84" spans="6:10">
      <c r="F84" s="3">
        <v>5.5</v>
      </c>
      <c r="G84" s="3" cm="1">
        <f t="array" ref="G84">EXP(INDEX($H$28:$H$57, INT(F84)) + (IFERROR(INDEX($H$28:$H$57, INT(F84)+1), INDEX($H$28:$H$57, INT(F84))) - INDEX($H$28:$H$57, INT(F84))) * (F84 - INT(F84)))</f>
        <v>0.82158038659405985</v>
      </c>
      <c r="H84" s="3">
        <f t="shared" si="10"/>
        <v>-0.19652549286054846</v>
      </c>
      <c r="I84" s="3">
        <f t="shared" si="11"/>
        <v>3.5731907792826992E-2</v>
      </c>
      <c r="J84" s="3">
        <f t="shared" si="12"/>
        <v>3.9836056309014323E-2</v>
      </c>
    </row>
    <row r="85" spans="6:10">
      <c r="F85" s="3">
        <v>5.75</v>
      </c>
      <c r="G85" s="3" cm="1">
        <f t="array" ref="G85">EXP(INDEX($H$28:$H$57, INT(F85)) + (IFERROR(INDEX($H$28:$H$57, INT(F85)+1), INDEX($H$28:$H$57, INT(F85))) - INDEX($H$28:$H$57, INT(F85))) * (F85 - INT(F85)))</f>
        <v>0.81343886401824916</v>
      </c>
      <c r="H85" s="3">
        <f t="shared" si="10"/>
        <v>-0.20648450693780201</v>
      </c>
      <c r="I85" s="3">
        <f t="shared" si="11"/>
        <v>3.5910349032661222E-2</v>
      </c>
      <c r="J85" s="3">
        <f t="shared" si="12"/>
        <v>3.9836056309014212E-2</v>
      </c>
    </row>
    <row r="86" spans="6:10">
      <c r="F86" s="3">
        <v>6</v>
      </c>
      <c r="G86" s="3" cm="1">
        <f t="array" ref="G86">EXP(INDEX($H$28:$H$57, INT(F86)) + (IFERROR(INDEX($H$28:$H$57, INT(F86)+1), INDEX($H$28:$H$57, INT(F86))) - INDEX($H$28:$H$57, INT(F86))) * (F86 - INT(F86)))</f>
        <v>0.80537802057126628</v>
      </c>
      <c r="H86" s="3">
        <f t="shared" si="10"/>
        <v>-0.2164435210150556</v>
      </c>
      <c r="I86" s="3">
        <f t="shared" si="11"/>
        <v>3.6073920169175933E-2</v>
      </c>
      <c r="J86" s="3">
        <f t="shared" si="12"/>
        <v>3.9836056309014323E-2</v>
      </c>
    </row>
    <row r="87" spans="6:10">
      <c r="F87" s="3">
        <v>6.25</v>
      </c>
      <c r="G87" s="3" cm="1">
        <f t="array" ref="G87">EXP(INDEX($H$28:$H$57, INT(F87)) + (IFERROR(INDEX($H$28:$H$57, INT(F87)+1), INDEX($H$28:$H$57, INT(F87))) - INDEX($H$28:$H$57, INT(F87))) * (F87 - INT(F87)))</f>
        <v>0.79739705675623973</v>
      </c>
      <c r="H87" s="3">
        <f t="shared" si="10"/>
        <v>-0.22640253509230918</v>
      </c>
      <c r="I87" s="3">
        <f t="shared" si="11"/>
        <v>3.6224405614769466E-2</v>
      </c>
      <c r="J87" s="3">
        <f t="shared" si="12"/>
        <v>3.9836056309014323E-2</v>
      </c>
    </row>
    <row r="88" spans="6:10">
      <c r="F88" s="3">
        <v>6.5</v>
      </c>
      <c r="G88" s="3" cm="1">
        <f t="array" ref="G88">EXP(INDEX($H$28:$H$57, INT(F88)) + (IFERROR(INDEX($H$28:$H$57, INT(F88)+1), INDEX($H$28:$H$57, INT(F88))) - INDEX($H$28:$H$57, INT(F88))) * (F88 - INT(F88)))</f>
        <v>0.78949518099898219</v>
      </c>
      <c r="H88" s="3">
        <f t="shared" si="10"/>
        <v>-0.23636154916956267</v>
      </c>
      <c r="I88" s="3">
        <f t="shared" si="11"/>
        <v>3.6363315256855794E-2</v>
      </c>
      <c r="J88" s="3">
        <f t="shared" si="12"/>
        <v>3.983605630901399E-2</v>
      </c>
    </row>
    <row r="89" spans="6:10">
      <c r="F89" s="3">
        <v>6.75</v>
      </c>
      <c r="G89" s="3" cm="1">
        <f t="array" ref="G89">EXP(INDEX($H$28:$H$57, INT(F89)) + (IFERROR(INDEX($H$28:$H$57, INT(F89)+1), INDEX($H$28:$H$57, INT(F89))) - INDEX($H$28:$H$57, INT(F89))) * (F89 - INT(F89)))</f>
        <v>0.78167160956947968</v>
      </c>
      <c r="H89" s="3">
        <f t="shared" si="10"/>
        <v>-0.24632056324681617</v>
      </c>
      <c r="I89" s="3">
        <f t="shared" si="11"/>
        <v>3.6491935295824618E-2</v>
      </c>
      <c r="J89" s="3">
        <f t="shared" si="12"/>
        <v>3.983605630901399E-2</v>
      </c>
    </row>
    <row r="90" spans="6:10">
      <c r="F90" s="3">
        <v>7</v>
      </c>
      <c r="G90" s="3" cm="1">
        <f t="array" ref="G90">EXP(INDEX($H$28:$H$57, INT(F90)) + (IFERROR(INDEX($H$28:$H$57, INT(F90)+1), INDEX($H$28:$H$57, INT(F90))) - INDEX($H$28:$H$57, INT(F90))) * (F90 - INT(F90)))</f>
        <v>0.77392556650415922</v>
      </c>
      <c r="H90" s="3">
        <f t="shared" si="10"/>
        <v>-0.25627957732406975</v>
      </c>
      <c r="I90" s="3">
        <f t="shared" si="11"/>
        <v>3.6611368189152824E-2</v>
      </c>
      <c r="J90" s="3">
        <f t="shared" si="12"/>
        <v>3.9836056309014323E-2</v>
      </c>
    </row>
    <row r="91" spans="6:10">
      <c r="F91" s="3">
        <v>7.25</v>
      </c>
      <c r="G91" s="3" cm="1">
        <f t="array" ref="G91">EXP(INDEX($H$28:$H$57, INT(F91)) + (IFERROR(INDEX($H$28:$H$57, INT(F91)+1), INDEX($H$28:$H$57, INT(F91))) - INDEX($H$28:$H$57, INT(F91))) * (F91 - INT(F91)))</f>
        <v>0.76568449583309939</v>
      </c>
      <c r="H91" s="3">
        <f t="shared" si="10"/>
        <v>-0.26698507942498911</v>
      </c>
      <c r="I91" s="3">
        <f t="shared" si="11"/>
        <v>3.6825528196550224E-2</v>
      </c>
      <c r="J91" s="3">
        <f t="shared" si="12"/>
        <v>4.2822008403677447E-2</v>
      </c>
    </row>
    <row r="92" spans="6:10">
      <c r="F92" s="3">
        <v>7.5</v>
      </c>
      <c r="G92" s="3" cm="1">
        <f t="array" ref="G92">EXP(INDEX($H$28:$H$57, INT(F92)) + (IFERROR(INDEX($H$28:$H$57, INT(F92)+1), INDEX($H$28:$H$57, INT(F92))) - INDEX($H$28:$H$57, INT(F92))) * (F92 - INT(F92)))</f>
        <v>0.75753117939674219</v>
      </c>
      <c r="H92" s="3">
        <f t="shared" si="10"/>
        <v>-0.27769058152590859</v>
      </c>
      <c r="I92" s="3">
        <f t="shared" si="11"/>
        <v>3.7025410870121143E-2</v>
      </c>
      <c r="J92" s="3">
        <f t="shared" si="12"/>
        <v>4.2822008403677891E-2</v>
      </c>
    </row>
    <row r="93" spans="6:10">
      <c r="F93" s="3">
        <v>7.75</v>
      </c>
      <c r="G93" s="3" cm="1">
        <f t="array" ref="G93">EXP(INDEX($H$28:$H$57, INT(F93)) + (IFERROR(INDEX($H$28:$H$57, INT(F93)+1), INDEX($H$28:$H$57, INT(F93))) - INDEX($H$28:$H$57, INT(F93))) * (F93 - INT(F93)))</f>
        <v>0.74946468275270561</v>
      </c>
      <c r="H93" s="3">
        <f t="shared" si="10"/>
        <v>-0.28839608362682806</v>
      </c>
      <c r="I93" s="3">
        <f t="shared" si="11"/>
        <v>3.7212397887332653E-2</v>
      </c>
      <c r="J93" s="3">
        <f t="shared" si="12"/>
        <v>4.2822008403677891E-2</v>
      </c>
    </row>
    <row r="94" spans="6:10">
      <c r="F94" s="3">
        <v>8</v>
      </c>
      <c r="G94" s="3" cm="1">
        <f t="array" ref="G94">EXP(INDEX($H$28:$H$57, INT(F94)) + (IFERROR(INDEX($H$28:$H$57, INT(F94)+1), INDEX($H$28:$H$57, INT(F94))) - INDEX($H$28:$H$57, INT(F94))) * (F94 - INT(F94)))</f>
        <v>0.74148408140892597</v>
      </c>
      <c r="H94" s="3">
        <f t="shared" si="10"/>
        <v>-0.29910158572774753</v>
      </c>
      <c r="I94" s="3">
        <f t="shared" si="11"/>
        <v>3.7387698215968442E-2</v>
      </c>
      <c r="J94" s="3">
        <f t="shared" si="12"/>
        <v>4.2822008403677891E-2</v>
      </c>
    </row>
    <row r="95" spans="6:10">
      <c r="F95" s="3">
        <v>8.25</v>
      </c>
      <c r="G95" s="3" cm="1">
        <f t="array" ref="G95">EXP(INDEX($H$28:$H$57, INT(F95)) + (IFERROR(INDEX($H$28:$H$57, INT(F95)+1), INDEX($H$28:$H$57, INT(F95))) - INDEX($H$28:$H$57, INT(F95))) * (F95 - INT(F95)))</f>
        <v>0.73358846071770278</v>
      </c>
      <c r="H95" s="3">
        <f t="shared" si="10"/>
        <v>-0.309807087828667</v>
      </c>
      <c r="I95" s="3">
        <f t="shared" si="11"/>
        <v>3.7552374282262664E-2</v>
      </c>
      <c r="J95" s="3">
        <f t="shared" si="12"/>
        <v>4.2822008403677891E-2</v>
      </c>
    </row>
    <row r="96" spans="6:10">
      <c r="F96" s="3">
        <v>8.5</v>
      </c>
      <c r="G96" s="3" cm="1">
        <f t="array" ref="G96">EXP(INDEX($H$28:$H$57, INT(F96)) + (IFERROR(INDEX($H$28:$H$57, INT(F96)+1), INDEX($H$28:$H$57, INT(F96))) - INDEX($H$28:$H$57, INT(F96))) * (F96 - INT(F96)))</f>
        <v>0.72577691577087211</v>
      </c>
      <c r="H96" s="3">
        <f t="shared" si="10"/>
        <v>-0.32051258992958648</v>
      </c>
      <c r="I96" s="3">
        <f t="shared" si="11"/>
        <v>3.7707363521127822E-2</v>
      </c>
      <c r="J96" s="3">
        <f t="shared" si="12"/>
        <v>4.2822008403677891E-2</v>
      </c>
    </row>
    <row r="97" spans="6:10">
      <c r="F97" s="3">
        <v>8.75</v>
      </c>
      <c r="G97" s="3" cm="1">
        <f t="array" ref="G97">EXP(INDEX($H$28:$H$57, INT(F97)) + (IFERROR(INDEX($H$28:$H$57, INT(F97)+1), INDEX($H$28:$H$57, INT(F97))) - INDEX($H$28:$H$57, INT(F97))) * (F97 - INT(F97)))</f>
        <v>0.71804855129609613</v>
      </c>
      <c r="H97" s="3">
        <f t="shared" si="10"/>
        <v>-0.3312180920305059</v>
      </c>
      <c r="I97" s="3">
        <f t="shared" si="11"/>
        <v>3.7853496232057818E-2</v>
      </c>
      <c r="J97" s="3">
        <f t="shared" si="12"/>
        <v>4.2822008403677669E-2</v>
      </c>
    </row>
    <row r="98" spans="6:10">
      <c r="F98" s="3">
        <v>9</v>
      </c>
      <c r="G98" s="3" cm="1">
        <f t="array" ref="G98">EXP(INDEX($H$28:$H$57, INT(F98)) + (IFERROR(INDEX($H$28:$H$57, INT(F98)+1), INDEX($H$28:$H$57, INT(F98))) - INDEX($H$28:$H$57, INT(F98))) * (F98 - INT(F98)))</f>
        <v>0.71040248155425689</v>
      </c>
      <c r="H98" s="3">
        <f t="shared" si="10"/>
        <v>-0.34192359413142526</v>
      </c>
      <c r="I98" s="3">
        <f t="shared" si="11"/>
        <v>3.7991510459047251E-2</v>
      </c>
      <c r="J98" s="3">
        <f t="shared" si="12"/>
        <v>4.2822008403677447E-2</v>
      </c>
    </row>
    <row r="99" spans="6:10">
      <c r="F99" s="3">
        <v>9.25</v>
      </c>
      <c r="G99" s="3" cm="1">
        <f t="array" ref="G99">EXP(INDEX($H$28:$H$57, INT(F99)) + (IFERROR(INDEX($H$28:$H$57, INT(F99)+1), INDEX($H$28:$H$57, INT(F99))) - INDEX($H$28:$H$57, INT(F99))) * (F99 - INT(F99)))</f>
        <v>0.70283783023794266</v>
      </c>
      <c r="H99" s="3">
        <f t="shared" si="10"/>
        <v>-0.35262909623234467</v>
      </c>
      <c r="I99" s="3">
        <f t="shared" si="11"/>
        <v>3.8122064457550772E-2</v>
      </c>
      <c r="J99" s="3">
        <f t="shared" si="12"/>
        <v>4.2822008403677669E-2</v>
      </c>
    </row>
    <row r="100" spans="6:10">
      <c r="F100" s="3">
        <v>9.5</v>
      </c>
      <c r="G100" s="3" cm="1">
        <f t="array" ref="G100">EXP(INDEX($H$28:$H$57, INT(F100)) + (IFERROR(INDEX($H$28:$H$57, INT(F100)+1), INDEX($H$28:$H$57, INT(F100))) - INDEX($H$28:$H$57, INT(F100))) * (F100 - INT(F100)))</f>
        <v>0.69535373037101555</v>
      </c>
      <c r="H100" s="3">
        <f t="shared" si="10"/>
        <v>-0.36333459833326415</v>
      </c>
      <c r="I100" s="3">
        <f t="shared" si="11"/>
        <v>3.8245747192975174E-2</v>
      </c>
      <c r="J100" s="3">
        <f t="shared" si="12"/>
        <v>4.2822008403677891E-2</v>
      </c>
    </row>
    <row r="101" spans="6:10">
      <c r="F101" s="3">
        <v>9.75</v>
      </c>
      <c r="G101" s="3" cm="1">
        <f t="array" ref="G101">EXP(INDEX($H$28:$H$57, INT(F101)) + (IFERROR(INDEX($H$28:$H$57, INT(F101)+1), INDEX($H$28:$H$57, INT(F101))) - INDEX($H$28:$H$57, INT(F101))) * (F101 - INT(F101)))</f>
        <v>0.68794932420924826</v>
      </c>
      <c r="H101" s="3">
        <f t="shared" si="10"/>
        <v>-0.37404010043418356</v>
      </c>
      <c r="I101" s="3">
        <f t="shared" si="11"/>
        <v>3.8363087224018828E-2</v>
      </c>
      <c r="J101" s="3">
        <f t="shared" si="12"/>
        <v>4.2822008403677669E-2</v>
      </c>
    </row>
    <row r="102" spans="6:10">
      <c r="F102" s="3">
        <v>10</v>
      </c>
      <c r="G102" s="3" cm="1">
        <f t="array" ref="G102">EXP(INDEX($H$28:$H$57, INT(F102)) + (IFERROR(INDEX($H$28:$H$57, INT(F102)+1), INDEX($H$28:$H$57, INT(F102))) - INDEX($H$28:$H$57, INT(F102))) * (F102 - INT(F102)))</f>
        <v>0.68062376314201889</v>
      </c>
      <c r="H102" s="3">
        <f t="shared" si="10"/>
        <v>-0.38474560253510304</v>
      </c>
      <c r="I102" s="3">
        <f t="shared" si="11"/>
        <v>3.8474560253510301E-2</v>
      </c>
      <c r="J102" s="3">
        <f t="shared" si="12"/>
        <v>4.2822008403677891E-2</v>
      </c>
    </row>
    <row r="103" spans="6:10">
      <c r="F103" s="3">
        <v>10.25</v>
      </c>
      <c r="G103" s="3" cm="1">
        <f t="array" ref="G103">EXP(INDEX($H$28:$H$57, INT(F103)) + (IFERROR(INDEX($H$28:$H$57, INT(F103)+1), INDEX($H$28:$H$57, INT(F103))) - INDEX($H$28:$H$57, INT(F103))) * (F103 - INT(F103)))</f>
        <v>0.67273283043805632</v>
      </c>
      <c r="H103" s="3">
        <f t="shared" si="10"/>
        <v>-0.39640701116039656</v>
      </c>
      <c r="I103" s="3">
        <f t="shared" si="11"/>
        <v>3.8673854747355761E-2</v>
      </c>
      <c r="J103" s="3">
        <f t="shared" si="12"/>
        <v>4.6645634501174094E-2</v>
      </c>
    </row>
    <row r="104" spans="6:10">
      <c r="F104" s="3">
        <v>10.5</v>
      </c>
      <c r="G104" s="3" cm="1">
        <f t="array" ref="G104">EXP(INDEX($H$28:$H$57, INT(F104)) + (IFERROR(INDEX($H$28:$H$57, INT(F104)+1), INDEX($H$28:$H$57, INT(F104))) - INDEX($H$28:$H$57, INT(F104))) * (F104 - INT(F104)))</f>
        <v>0.66493338266646085</v>
      </c>
      <c r="H104" s="3">
        <f t="shared" si="10"/>
        <v>-0.40806841978569003</v>
      </c>
      <c r="I104" s="3">
        <f t="shared" si="11"/>
        <v>3.8863659027208577E-2</v>
      </c>
      <c r="J104" s="3">
        <f t="shared" si="12"/>
        <v>4.6645634501173872E-2</v>
      </c>
    </row>
    <row r="105" spans="6:10">
      <c r="F105" s="3">
        <v>10.75</v>
      </c>
      <c r="G105" s="3" cm="1">
        <f t="array" ref="G105">EXP(INDEX($H$28:$H$57, INT(F105)) + (IFERROR(INDEX($H$28:$H$57, INT(F105)+1), INDEX($H$28:$H$57, INT(F105))) - INDEX($H$28:$H$57, INT(F105))) * (F105 - INT(F105)))</f>
        <v>0.65722435918039068</v>
      </c>
      <c r="H105" s="3">
        <f t="shared" si="10"/>
        <v>-0.41972982841098361</v>
      </c>
      <c r="I105" s="3">
        <f t="shared" si="11"/>
        <v>3.9044635201021728E-2</v>
      </c>
      <c r="J105" s="3">
        <f t="shared" si="12"/>
        <v>4.6645634501174316E-2</v>
      </c>
    </row>
    <row r="106" spans="6:10">
      <c r="F106" s="3">
        <v>11</v>
      </c>
      <c r="G106" s="3" cm="1">
        <f t="array" ref="G106">EXP(INDEX($H$28:$H$57, INT(F106)) + (IFERROR(INDEX($H$28:$H$57, INT(F106)+1), INDEX($H$28:$H$57, INT(F106))) - INDEX($H$28:$H$57, INT(F106))) * (F106 - INT(F106)))</f>
        <v>0.64960471162980216</v>
      </c>
      <c r="H106" s="3">
        <f t="shared" si="10"/>
        <v>-0.43139123703627719</v>
      </c>
      <c r="I106" s="3">
        <f t="shared" si="11"/>
        <v>3.921738518511611E-2</v>
      </c>
      <c r="J106" s="3">
        <f t="shared" si="12"/>
        <v>4.6645634501174316E-2</v>
      </c>
    </row>
    <row r="107" spans="6:10">
      <c r="F107" s="3">
        <v>11.25</v>
      </c>
      <c r="G107" s="3" cm="1">
        <f t="array" ref="G107">EXP(INDEX($H$28:$H$57, INT(F107)) + (IFERROR(INDEX($H$28:$H$57, INT(F107)+1), INDEX($H$28:$H$57, INT(F107))) - INDEX($H$28:$H$57, INT(F107))) * (F107 - INT(F107)))</f>
        <v>0.64207340381888434</v>
      </c>
      <c r="H107" s="3">
        <f t="shared" si="10"/>
        <v>-0.44305264566157065</v>
      </c>
      <c r="I107" s="3">
        <f t="shared" si="11"/>
        <v>3.9382457392139615E-2</v>
      </c>
      <c r="J107" s="3">
        <f t="shared" si="12"/>
        <v>4.6645634501173872E-2</v>
      </c>
    </row>
    <row r="108" spans="6:10">
      <c r="F108" s="3">
        <v>11.5</v>
      </c>
      <c r="G108" s="3" cm="1">
        <f t="array" ref="G108">EXP(INDEX($H$28:$H$57, INT(F108)) + (IFERROR(INDEX($H$28:$H$57, INT(F108)+1), INDEX($H$28:$H$57, INT(F108))) - INDEX($H$28:$H$57, INT(F108))) * (F108 - INT(F108)))</f>
        <v>0.63462941156514652</v>
      </c>
      <c r="H108" s="3">
        <f t="shared" si="10"/>
        <v>-0.45471405428686434</v>
      </c>
      <c r="I108" s="3">
        <f t="shared" si="11"/>
        <v>3.9540352546683859E-2</v>
      </c>
      <c r="J108" s="3">
        <f t="shared" si="12"/>
        <v>4.664563450117476E-2</v>
      </c>
    </row>
    <row r="109" spans="6:10">
      <c r="F109" s="3">
        <v>11.75</v>
      </c>
      <c r="G109" s="3" cm="1">
        <f t="array" ref="G109">EXP(INDEX($H$28:$H$57, INT(F109)) + (IFERROR(INDEX($H$28:$H$57, INT(F109)+1), INDEX($H$28:$H$57, INT(F109))) - INDEX($H$28:$H$57, INT(F109))) * (F109 - INT(F109)))</f>
        <v>0.62727172256014041</v>
      </c>
      <c r="H109" s="3">
        <f t="shared" si="10"/>
        <v>-0.46637546291215776</v>
      </c>
      <c r="I109" s="3">
        <f t="shared" si="11"/>
        <v>3.969152875848151E-2</v>
      </c>
      <c r="J109" s="3">
        <f t="shared" si="12"/>
        <v>4.664563450117365E-2</v>
      </c>
    </row>
    <row r="110" spans="6:10">
      <c r="F110" s="3">
        <v>12</v>
      </c>
      <c r="G110" s="3" cm="1">
        <f t="array" ref="G110">EXP(INDEX($H$28:$H$57, INT(F110)) + (IFERROR(INDEX($H$28:$H$57, INT(F110)+1), INDEX($H$28:$H$57, INT(F110))) - INDEX($H$28:$H$57, INT(F110))) * (F110 - INT(F110)))</f>
        <v>0.61999933623179537</v>
      </c>
      <c r="H110" s="3">
        <f t="shared" si="10"/>
        <v>-0.47803687153745134</v>
      </c>
      <c r="I110" s="3">
        <f t="shared" si="11"/>
        <v>3.9836405961454276E-2</v>
      </c>
      <c r="J110" s="3">
        <f t="shared" si="12"/>
        <v>4.6645634501174316E-2</v>
      </c>
    </row>
    <row r="111" spans="6:10">
      <c r="F111" s="3">
        <v>12.25</v>
      </c>
      <c r="G111" s="3" cm="1">
        <f t="array" ref="G111">EXP(INDEX($H$28:$H$57, INT(F111)) + (IFERROR(INDEX($H$28:$H$57, INT(F111)+1), INDEX($H$28:$H$57, INT(F111))) - INDEX($H$28:$H$57, INT(F111))) * (F111 - INT(F111)))</f>
        <v>0.61281126360835136</v>
      </c>
      <c r="H111" s="3">
        <f t="shared" si="10"/>
        <v>-0.48969828016274491</v>
      </c>
      <c r="I111" s="3">
        <f t="shared" si="11"/>
        <v>3.9975369809203666E-2</v>
      </c>
      <c r="J111" s="3">
        <f t="shared" si="12"/>
        <v>4.6645634501174316E-2</v>
      </c>
    </row>
    <row r="112" spans="6:10">
      <c r="F112" s="3">
        <v>12.5</v>
      </c>
      <c r="G112" s="3" cm="1">
        <f t="array" ref="G112">EXP(INDEX($H$28:$H$57, INT(F112)) + (IFERROR(INDEX($H$28:$H$57, INT(F112)+1), INDEX($H$28:$H$57, INT(F112))) - INDEX($H$28:$H$57, INT(F112))) * (F112 - INT(F112)))</f>
        <v>0.6057065271838683</v>
      </c>
      <c r="H112" s="3">
        <f t="shared" si="10"/>
        <v>-0.50135968878803849</v>
      </c>
      <c r="I112" s="3">
        <f t="shared" si="11"/>
        <v>4.010877510304308E-2</v>
      </c>
      <c r="J112" s="3">
        <f t="shared" si="12"/>
        <v>4.6645634501174316E-2</v>
      </c>
    </row>
    <row r="113" spans="6:10">
      <c r="F113" s="3">
        <v>12.75</v>
      </c>
      <c r="G113" s="3" cm="1">
        <f t="array" ref="G113">EXP(INDEX($H$28:$H$57, INT(F113)) + (IFERROR(INDEX($H$28:$H$57, INT(F113)+1), INDEX($H$28:$H$57, INT(F113))) - INDEX($H$28:$H$57, INT(F113))) * (F113 - INT(F113)))</f>
        <v>0.59868416078529541</v>
      </c>
      <c r="H113" s="3">
        <f t="shared" si="10"/>
        <v>-0.51302109741333202</v>
      </c>
      <c r="I113" s="3">
        <f t="shared" si="11"/>
        <v>4.023694881673192E-2</v>
      </c>
      <c r="J113" s="3">
        <f t="shared" si="12"/>
        <v>4.6645634501174094E-2</v>
      </c>
    </row>
    <row r="114" spans="6:10">
      <c r="F114" s="3">
        <v>13</v>
      </c>
      <c r="G114" s="3" cm="1">
        <f t="array" ref="G114">EXP(INDEX($H$28:$H$57, INT(F114)) + (IFERROR(INDEX($H$28:$H$57, INT(F114)+1), INDEX($H$28:$H$57, INT(F114))) - INDEX($H$28:$H$57, INT(F114))) * (F114 - INT(F114)))</f>
        <v>0.59174320944108061</v>
      </c>
      <c r="H114" s="3">
        <f t="shared" si="10"/>
        <v>-0.52468250603862565</v>
      </c>
      <c r="I114" s="3">
        <f t="shared" si="11"/>
        <v>4.0360192772201972E-2</v>
      </c>
      <c r="J114" s="3">
        <f t="shared" si="12"/>
        <v>4.6645634501174538E-2</v>
      </c>
    </row>
    <row r="115" spans="6:10">
      <c r="F115" s="3">
        <v>13.25</v>
      </c>
      <c r="G115" s="3" cm="1">
        <f t="array" ref="G115">EXP(INDEX($H$28:$H$57, INT(F115)) + (IFERROR(INDEX($H$28:$H$57, INT(F115)+1), INDEX($H$28:$H$57, INT(F115))) - INDEX($H$28:$H$57, INT(F115))) * (F115 - INT(F115)))</f>
        <v>0.58488272925130491</v>
      </c>
      <c r="H115" s="3">
        <f t="shared" si="10"/>
        <v>-0.53634391466391917</v>
      </c>
      <c r="I115" s="3">
        <f t="shared" si="11"/>
        <v>4.047878601237126E-2</v>
      </c>
      <c r="J115" s="3">
        <f t="shared" si="12"/>
        <v>4.6645634501174094E-2</v>
      </c>
    </row>
    <row r="116" spans="6:10">
      <c r="F116" s="3">
        <v>13.5</v>
      </c>
      <c r="G116" s="3" cm="1">
        <f t="array" ref="G116">EXP(INDEX($H$28:$H$57, INT(F116)) + (IFERROR(INDEX($H$28:$H$57, INT(F116)+1), INDEX($H$28:$H$57, INT(F116))) - INDEX($H$28:$H$57, INT(F116))) * (F116 - INT(F116)))</f>
        <v>0.57810178725932071</v>
      </c>
      <c r="H116" s="3">
        <f t="shared" si="10"/>
        <v>-0.5480053232892127</v>
      </c>
      <c r="I116" s="3">
        <f t="shared" si="11"/>
        <v>4.0592986910312052E-2</v>
      </c>
      <c r="J116" s="3">
        <f t="shared" si="12"/>
        <v>4.6645634501174094E-2</v>
      </c>
    </row>
    <row r="117" spans="6:10">
      <c r="F117" s="3">
        <v>13.75</v>
      </c>
      <c r="G117" s="3" cm="1">
        <f t="array" ref="G117">EXP(INDEX($H$28:$H$57, INT(F117)) + (IFERROR(INDEX($H$28:$H$57, INT(F117)+1), INDEX($H$28:$H$57, INT(F117))) - INDEX($H$28:$H$57, INT(F117))) * (F117 - INT(F117)))</f>
        <v>0.5713994613248794</v>
      </c>
      <c r="H117" s="3">
        <f t="shared" si="10"/>
        <v>-0.55966673191450622</v>
      </c>
      <c r="I117" s="3">
        <f t="shared" si="11"/>
        <v>4.0703035048327722E-2</v>
      </c>
      <c r="J117" s="3">
        <f t="shared" si="12"/>
        <v>4.6645634501174094E-2</v>
      </c>
    </row>
    <row r="118" spans="6:10">
      <c r="F118" s="3">
        <v>14</v>
      </c>
      <c r="G118" s="3" cm="1">
        <f t="array" ref="G118">EXP(INDEX($H$28:$H$57, INT(F118)) + (IFERROR(INDEX($H$28:$H$57, INT(F118)+1), INDEX($H$28:$H$57, INT(F118))) - INDEX($H$28:$H$57, INT(F118))) * (F118 - INT(F118)))</f>
        <v>0.56477483999872935</v>
      </c>
      <c r="H118" s="3">
        <f t="shared" si="10"/>
        <v>-0.57132814053979974</v>
      </c>
      <c r="I118" s="3">
        <f t="shared" si="11"/>
        <v>4.0809152895699981E-2</v>
      </c>
      <c r="J118" s="3">
        <f t="shared" si="12"/>
        <v>4.6645634501174094E-2</v>
      </c>
    </row>
    <row r="119" spans="6:10">
      <c r="F119" s="3">
        <v>14.25</v>
      </c>
      <c r="G119" s="3" cm="1">
        <f t="array" ref="G119">EXP(INDEX($H$28:$H$57, INT(F119)) + (IFERROR(INDEX($H$28:$H$57, INT(F119)+1), INDEX($H$28:$H$57, INT(F119))) - INDEX($H$28:$H$57, INT(F119))) * (F119 - INT(F119)))</f>
        <v>0.55822702239866817</v>
      </c>
      <c r="H119" s="3">
        <f t="shared" si="10"/>
        <v>-0.58298954916509327</v>
      </c>
      <c r="I119" s="3">
        <f t="shared" si="11"/>
        <v>4.0911547309831105E-2</v>
      </c>
      <c r="J119" s="3">
        <f t="shared" si="12"/>
        <v>4.6645634501174094E-2</v>
      </c>
    </row>
    <row r="120" spans="6:10">
      <c r="F120" s="3">
        <v>14.5</v>
      </c>
      <c r="G120" s="3" cm="1">
        <f t="array" ref="G120">EXP(INDEX($H$28:$H$57, INT(F120)) + (IFERROR(INDEX($H$28:$H$57, INT(F120)+1), INDEX($H$28:$H$57, INT(F120))) - INDEX($H$28:$H$57, INT(F120))) * (F120 - INT(F120)))</f>
        <v>0.55175511808703137</v>
      </c>
      <c r="H120" s="3">
        <f t="shared" si="10"/>
        <v>-0.59465095779038668</v>
      </c>
      <c r="I120" s="3">
        <f t="shared" si="11"/>
        <v>4.101041088209563E-2</v>
      </c>
      <c r="J120" s="3">
        <f t="shared" si="12"/>
        <v>4.664563450117365E-2</v>
      </c>
    </row>
    <row r="121" spans="6:10">
      <c r="F121" s="3">
        <v>14.75</v>
      </c>
      <c r="G121" s="3" cm="1">
        <f t="array" ref="G121">EXP(INDEX($H$28:$H$57, INT(F121)) + (IFERROR(INDEX($H$28:$H$57, INT(F121)+1), INDEX($H$28:$H$57, INT(F121))) - INDEX($H$28:$H$57, INT(F121))) * (F121 - INT(F121)))</f>
        <v>0.545358246949602</v>
      </c>
      <c r="H121" s="3">
        <f t="shared" si="10"/>
        <v>-0.60631236641568043</v>
      </c>
      <c r="I121" s="3">
        <f t="shared" si="11"/>
        <v>4.110592314682579E-2</v>
      </c>
      <c r="J121" s="3">
        <f t="shared" si="12"/>
        <v>4.6645634501174982E-2</v>
      </c>
    </row>
    <row r="122" spans="6:10">
      <c r="F122" s="3">
        <v>15</v>
      </c>
      <c r="G122" s="3" cm="1">
        <f t="array" ref="G122">EXP(INDEX($H$28:$H$57, INT(F122)) + (IFERROR(INDEX($H$28:$H$57, INT(F122)+1), INDEX($H$28:$H$57, INT(F122))) - INDEX($H$28:$H$57, INT(F122))) * (F122 - INT(F122)))</f>
        <v>0.53903553907592416</v>
      </c>
      <c r="H122" s="3">
        <f t="shared" si="10"/>
        <v>-0.61797377504097384</v>
      </c>
      <c r="I122" s="3">
        <f t="shared" si="11"/>
        <v>4.1198251669398257E-2</v>
      </c>
      <c r="J122" s="3">
        <f t="shared" si="12"/>
        <v>4.664563450117365E-2</v>
      </c>
    </row>
    <row r="123" spans="6:10">
      <c r="F123" s="3">
        <v>15.25</v>
      </c>
      <c r="G123" s="3" cm="1">
        <f t="array" ref="G123">EXP(INDEX($H$28:$H$57, INT(F123)) + (IFERROR(INDEX($H$28:$H$57, INT(F123)+1), INDEX($H$28:$H$57, INT(F123))) - INDEX($H$28:$H$57, INT(F123))) * (F123 - INT(F123)))</f>
        <v>0.53308797983323408</v>
      </c>
      <c r="H123" s="3">
        <f t="shared" si="10"/>
        <v>-0.6290688030849193</v>
      </c>
      <c r="I123" s="3">
        <f t="shared" si="11"/>
        <v>4.1250413317043891E-2</v>
      </c>
      <c r="J123" s="3">
        <f t="shared" si="12"/>
        <v>4.4380112175781861E-2</v>
      </c>
    </row>
    <row r="124" spans="6:10">
      <c r="F124" s="3">
        <v>15.5</v>
      </c>
      <c r="G124" s="3" cm="1">
        <f t="array" ref="G124">EXP(INDEX($H$28:$H$57, INT(F124)) + (IFERROR(INDEX($H$28:$H$57, INT(F124)+1), INDEX($H$28:$H$57, INT(F124))) - INDEX($H$28:$H$57, INT(F124))) * (F124 - INT(F124)))</f>
        <v>0.52720604420602213</v>
      </c>
      <c r="H124" s="3">
        <f t="shared" si="10"/>
        <v>-0.64016383112886466</v>
      </c>
      <c r="I124" s="3">
        <f t="shared" si="11"/>
        <v>4.1300892330894491E-2</v>
      </c>
      <c r="J124" s="3">
        <f t="shared" si="12"/>
        <v>4.4380112175781417E-2</v>
      </c>
    </row>
    <row r="125" spans="6:10">
      <c r="F125" s="3">
        <v>15.75</v>
      </c>
      <c r="G125" s="3" cm="1">
        <f t="array" ref="G125">EXP(INDEX($H$28:$H$57, INT(F125)) + (IFERROR(INDEX($H$28:$H$57, INT(F125)+1), INDEX($H$28:$H$57, INT(F125))) - INDEX($H$28:$H$57, INT(F125))) * (F125 - INT(F125)))</f>
        <v>0.52138900812265931</v>
      </c>
      <c r="H125" s="3">
        <f t="shared" si="10"/>
        <v>-0.65125885917281001</v>
      </c>
      <c r="I125" s="3">
        <f t="shared" si="11"/>
        <v>4.1349768836368893E-2</v>
      </c>
      <c r="J125" s="3">
        <f t="shared" si="12"/>
        <v>4.4380112175781417E-2</v>
      </c>
    </row>
    <row r="126" spans="6:10">
      <c r="F126" s="3">
        <v>16</v>
      </c>
      <c r="G126" s="3" cm="1">
        <f t="array" ref="G126">EXP(INDEX($H$28:$H$57, INT(F126)) + (IFERROR(INDEX($H$28:$H$57, INT(F126)+1), INDEX($H$28:$H$57, INT(F126))) - INDEX($H$28:$H$57, INT(F126))) * (F126 - INT(F126)))</f>
        <v>0.51563615550070974</v>
      </c>
      <c r="H126" s="3">
        <f t="shared" si="10"/>
        <v>-0.66235388721675559</v>
      </c>
      <c r="I126" s="3">
        <f t="shared" si="11"/>
        <v>4.1397117951047224E-2</v>
      </c>
      <c r="J126" s="3">
        <f t="shared" si="12"/>
        <v>4.4380112175782305E-2</v>
      </c>
    </row>
    <row r="127" spans="6:10">
      <c r="F127" s="3">
        <v>16.25</v>
      </c>
      <c r="G127" s="3" cm="1">
        <f t="array" ref="G127">EXP(INDEX($H$28:$H$57, INT(F127)) + (IFERROR(INDEX($H$28:$H$57, INT(F127)+1), INDEX($H$28:$H$57, INT(F127))) - INDEX($H$28:$H$57, INT(F127))) * (F127 - INT(F127)))</f>
        <v>0.50994677815878009</v>
      </c>
      <c r="H127" s="3">
        <f t="shared" si="10"/>
        <v>-0.67344891526070094</v>
      </c>
      <c r="I127" s="3">
        <f t="shared" si="11"/>
        <v>4.1443010169889286E-2</v>
      </c>
      <c r="J127" s="3">
        <f t="shared" si="12"/>
        <v>4.4380112175781417E-2</v>
      </c>
    </row>
    <row r="128" spans="6:10">
      <c r="F128" s="3">
        <v>16.5</v>
      </c>
      <c r="G128" s="3" cm="1">
        <f t="array" ref="G128">EXP(INDEX($H$28:$H$57, INT(F128)) + (IFERROR(INDEX($H$28:$H$57, INT(F128)+1), INDEX($H$28:$H$57, INT(F128))) - INDEX($H$28:$H$57, INT(F128))) * (F128 - INT(F128)))</f>
        <v>0.50432017572934162</v>
      </c>
      <c r="H128" s="3">
        <f t="shared" ref="H128:H182" si="13">LN(G128)</f>
        <v>-0.68454394330464641</v>
      </c>
      <c r="I128" s="3">
        <f t="shared" ref="I128:I182" si="14">-H128/F128</f>
        <v>4.1487511715433113E-2</v>
      </c>
      <c r="J128" s="3">
        <f t="shared" si="12"/>
        <v>4.4380112175781861E-2</v>
      </c>
    </row>
    <row r="129" spans="6:10">
      <c r="F129" s="3">
        <v>16.75</v>
      </c>
      <c r="G129" s="3" cm="1">
        <f t="array" ref="G129">EXP(INDEX($H$28:$H$57, INT(F129)) + (IFERROR(INDEX($H$28:$H$57, INT(F129)+1), INDEX($H$28:$H$57, INT(F129))) - INDEX($H$28:$H$57, INT(F129))) * (F129 - INT(F129)))</f>
        <v>0.4987556555725145</v>
      </c>
      <c r="H129" s="3">
        <f t="shared" si="13"/>
        <v>-0.69563897134859198</v>
      </c>
      <c r="I129" s="3">
        <f t="shared" si="14"/>
        <v>4.1530684856632361E-2</v>
      </c>
      <c r="J129" s="3">
        <f t="shared" ref="J129:J182" si="15">(H128-H129)/(F129-F128)</f>
        <v>4.4380112175782305E-2</v>
      </c>
    </row>
    <row r="130" spans="6:10">
      <c r="F130" s="3">
        <v>17</v>
      </c>
      <c r="G130" s="3" cm="1">
        <f t="array" ref="G130">EXP(INDEX($H$28:$H$57, INT(F130)) + (IFERROR(INDEX($H$28:$H$57, INT(F130)+1), INDEX($H$28:$H$57, INT(F130))) - INDEX($H$28:$H$57, INT(F130))) * (F130 - INT(F130)))</f>
        <v>0.49325253269080332</v>
      </c>
      <c r="H130" s="3">
        <f t="shared" si="13"/>
        <v>-0.70673399939253745</v>
      </c>
      <c r="I130" s="3">
        <f t="shared" si="14"/>
        <v>4.1572588199561028E-2</v>
      </c>
      <c r="J130" s="3">
        <f t="shared" si="15"/>
        <v>4.4380112175781861E-2</v>
      </c>
    </row>
    <row r="131" spans="6:10">
      <c r="F131" s="3">
        <v>17.25</v>
      </c>
      <c r="G131" s="3" cm="1">
        <f t="array" ref="G131">EXP(INDEX($H$28:$H$57, INT(F131)) + (IFERROR(INDEX($H$28:$H$57, INT(F131)+1), INDEX($H$28:$H$57, INT(F131))) - INDEX($H$28:$H$57, INT(F131))) * (F131 - INT(F131)))</f>
        <v>0.48781012964477288</v>
      </c>
      <c r="H131" s="3">
        <f t="shared" si="13"/>
        <v>-0.71782902743648291</v>
      </c>
      <c r="I131" s="3">
        <f t="shared" si="14"/>
        <v>4.161327695283959E-2</v>
      </c>
      <c r="J131" s="3">
        <f t="shared" si="15"/>
        <v>4.4380112175781861E-2</v>
      </c>
    </row>
    <row r="132" spans="6:10">
      <c r="F132" s="3">
        <v>17.5</v>
      </c>
      <c r="G132" s="3" cm="1">
        <f t="array" ref="G132">EXP(INDEX($H$28:$H$57, INT(F132)) + (IFERROR(INDEX($H$28:$H$57, INT(F132)+1), INDEX($H$28:$H$57, INT(F132))) - INDEX($H$28:$H$57, INT(F132))) * (F132 - INT(F132)))</f>
        <v>0.48242777646965512</v>
      </c>
      <c r="H132" s="3">
        <f t="shared" si="13"/>
        <v>-0.72892405548042838</v>
      </c>
      <c r="I132" s="3">
        <f t="shared" si="14"/>
        <v>4.1652803170310192E-2</v>
      </c>
      <c r="J132" s="3">
        <f t="shared" si="15"/>
        <v>4.4380112175781861E-2</v>
      </c>
    </row>
    <row r="133" spans="6:10">
      <c r="F133" s="3">
        <v>17.75</v>
      </c>
      <c r="G133" s="3" cm="1">
        <f t="array" ref="G133">EXP(INDEX($H$28:$H$57, INT(F133)) + (IFERROR(INDEX($H$28:$H$57, INT(F133)+1), INDEX($H$28:$H$57, INT(F133))) - INDEX($H$28:$H$57, INT(F133))) * (F133 - INT(F133)))</f>
        <v>0.47710481059287585</v>
      </c>
      <c r="H133" s="3">
        <f t="shared" si="13"/>
        <v>-0.74001908352437373</v>
      </c>
      <c r="I133" s="3">
        <f t="shared" si="14"/>
        <v>4.1691215973204153E-2</v>
      </c>
      <c r="J133" s="3">
        <f t="shared" si="15"/>
        <v>4.4380112175781417E-2</v>
      </c>
    </row>
    <row r="134" spans="6:10">
      <c r="F134" s="3">
        <v>18</v>
      </c>
      <c r="G134" s="3" cm="1">
        <f t="array" ref="G134">EXP(INDEX($H$28:$H$57, INT(F134)) + (IFERROR(INDEX($H$28:$H$57, INT(F134)+1), INDEX($H$28:$H$57, INT(F134))) - INDEX($H$28:$H$57, INT(F134))) * (F134 - INT(F134)))</f>
        <v>0.47184057675249103</v>
      </c>
      <c r="H134" s="3">
        <f t="shared" si="13"/>
        <v>-0.7511141115683192</v>
      </c>
      <c r="I134" s="3">
        <f t="shared" si="14"/>
        <v>4.1728561753795509E-2</v>
      </c>
      <c r="J134" s="3">
        <f t="shared" si="15"/>
        <v>4.4380112175781861E-2</v>
      </c>
    </row>
    <row r="135" spans="6:10">
      <c r="F135" s="3">
        <v>18.25</v>
      </c>
      <c r="G135" s="3" cm="1">
        <f t="array" ref="G135">EXP(INDEX($H$28:$H$57, INT(F135)) + (IFERROR(INDEX($H$28:$H$57, INT(F135)+1), INDEX($H$28:$H$57, INT(F135))) - INDEX($H$28:$H$57, INT(F135))) * (F135 - INT(F135)))</f>
        <v>0.46663442691652407</v>
      </c>
      <c r="H135" s="3">
        <f t="shared" si="13"/>
        <v>-0.76220913961226466</v>
      </c>
      <c r="I135" s="3">
        <f t="shared" si="14"/>
        <v>4.1764884362315874E-2</v>
      </c>
      <c r="J135" s="3">
        <f t="shared" si="15"/>
        <v>4.4380112175781861E-2</v>
      </c>
    </row>
    <row r="136" spans="6:10">
      <c r="F136" s="3">
        <v>18.5</v>
      </c>
      <c r="G136" s="3" cm="1">
        <f t="array" ref="G136">EXP(INDEX($H$28:$H$57, INT(F136)) + (IFERROR(INDEX($H$28:$H$57, INT(F136)+1), INDEX($H$28:$H$57, INT(F136))) - INDEX($H$28:$H$57, INT(F136))) * (F136 - INT(F136)))</f>
        <v>0.46148572020319206</v>
      </c>
      <c r="H136" s="3">
        <f t="shared" si="13"/>
        <v>-0.77330416765621013</v>
      </c>
      <c r="I136" s="3">
        <f t="shared" si="14"/>
        <v>4.1800225278714062E-2</v>
      </c>
      <c r="J136" s="3">
        <f t="shared" si="15"/>
        <v>4.4380112175781861E-2</v>
      </c>
    </row>
    <row r="137" spans="6:10">
      <c r="F137" s="3">
        <v>18.75</v>
      </c>
      <c r="G137" s="3" cm="1">
        <f t="array" ref="G137">EXP(INDEX($H$28:$H$57, INT(F137)) + (IFERROR(INDEX($H$28:$H$57, INT(F137)+1), INDEX($H$28:$H$57, INT(F137))) - INDEX($H$28:$H$57, INT(F137))) * (F137 - INT(F137)))</f>
        <v>0.45639382280201274</v>
      </c>
      <c r="H137" s="3">
        <f t="shared" si="13"/>
        <v>-0.78439919570015559</v>
      </c>
      <c r="I137" s="3">
        <f t="shared" si="14"/>
        <v>4.1834623770674963E-2</v>
      </c>
      <c r="J137" s="3">
        <f t="shared" si="15"/>
        <v>4.4380112175781861E-2</v>
      </c>
    </row>
    <row r="138" spans="6:10">
      <c r="F138" s="3">
        <v>19</v>
      </c>
      <c r="G138" s="3" cm="1">
        <f t="array" ref="G138">EXP(INDEX($H$28:$H$57, INT(F138)) + (IFERROR(INDEX($H$28:$H$57, INT(F138)+1), INDEX($H$28:$H$57, INT(F138))) - INDEX($H$28:$H$57, INT(F138))) * (F138 - INT(F138)))</f>
        <v>0.45135810789578201</v>
      </c>
      <c r="H138" s="3">
        <f t="shared" si="13"/>
        <v>-0.79549422374410106</v>
      </c>
      <c r="I138" s="3">
        <f t="shared" si="14"/>
        <v>4.1868117039163211E-2</v>
      </c>
      <c r="J138" s="3">
        <f t="shared" si="15"/>
        <v>4.4380112175781861E-2</v>
      </c>
    </row>
    <row r="139" spans="6:10">
      <c r="F139" s="3">
        <v>19.25</v>
      </c>
      <c r="G139" s="3" cm="1">
        <f t="array" ref="G139">EXP(INDEX($H$28:$H$57, INT(F139)) + (IFERROR(INDEX($H$28:$H$57, INT(F139)+1), INDEX($H$28:$H$57, INT(F139))) - INDEX($H$28:$H$57, INT(F139))) * (F139 - INT(F139)))</f>
        <v>0.44637795558341187</v>
      </c>
      <c r="H139" s="3">
        <f t="shared" si="13"/>
        <v>-0.80658925178804652</v>
      </c>
      <c r="I139" s="3">
        <f t="shared" si="14"/>
        <v>4.1900740352625795E-2</v>
      </c>
      <c r="J139" s="3">
        <f t="shared" si="15"/>
        <v>4.4380112175781861E-2</v>
      </c>
    </row>
    <row r="140" spans="6:10">
      <c r="F140" s="3">
        <v>19.5</v>
      </c>
      <c r="G140" s="3" cm="1">
        <f t="array" ref="G140">EXP(INDEX($H$28:$H$57, INT(F140)) + (IFERROR(INDEX($H$28:$H$57, INT(F140)+1), INDEX($H$28:$H$57, INT(F140))) - INDEX($H$28:$H$57, INT(F140))) * (F140 - INT(F140)))</f>
        <v>0.44145275280362029</v>
      </c>
      <c r="H140" s="3">
        <f t="shared" si="13"/>
        <v>-0.81768427983199188</v>
      </c>
      <c r="I140" s="3">
        <f t="shared" si="14"/>
        <v>4.1932527170871377E-2</v>
      </c>
      <c r="J140" s="3">
        <f t="shared" si="15"/>
        <v>4.4380112175781417E-2</v>
      </c>
    </row>
    <row r="141" spans="6:10">
      <c r="F141" s="3">
        <v>19.75</v>
      </c>
      <c r="G141" s="3" cm="1">
        <f t="array" ref="G141">EXP(INDEX($H$28:$H$57, INT(F141)) + (IFERROR(INDEX($H$28:$H$57, INT(F141)+1), INDEX($H$28:$H$57, INT(F141))) - INDEX($H$28:$H$57, INT(F141))) * (F141 - INT(F141)))</f>
        <v>0.43658189325946262</v>
      </c>
      <c r="H141" s="3">
        <f t="shared" si="13"/>
        <v>-0.82877930787593734</v>
      </c>
      <c r="I141" s="3">
        <f t="shared" si="14"/>
        <v>4.1963509259541135E-2</v>
      </c>
      <c r="J141" s="3">
        <f t="shared" si="15"/>
        <v>4.4380112175781861E-2</v>
      </c>
    </row>
    <row r="142" spans="6:10">
      <c r="F142" s="3">
        <v>20</v>
      </c>
      <c r="G142" s="3" cm="1">
        <f t="array" ref="G142">EXP(INDEX($H$28:$H$57, INT(F142)) + (IFERROR(INDEX($H$28:$H$57, INT(F142)+1), INDEX($H$28:$H$57, INT(F142))) - INDEX($H$28:$H$57, INT(F142))) * (F142 - INT(F142)))</f>
        <v>0.43176477734369606</v>
      </c>
      <c r="H142" s="3">
        <f t="shared" si="13"/>
        <v>-0.83987433591988281</v>
      </c>
      <c r="I142" s="3">
        <f t="shared" si="14"/>
        <v>4.1993716795994139E-2</v>
      </c>
      <c r="J142" s="3">
        <f t="shared" si="15"/>
        <v>4.4380112175781861E-2</v>
      </c>
    </row>
    <row r="143" spans="6:10">
      <c r="F143" s="3">
        <v>20.25</v>
      </c>
      <c r="G143" s="3" cm="1">
        <f t="array" ref="G143">EXP(INDEX($H$28:$H$57, INT(F143)) + (IFERROR(INDEX($H$28:$H$57, INT(F143)+1), INDEX($H$28:$H$57, INT(F143))) - INDEX($H$28:$H$57, INT(F143))) * (F143 - INT(F143)))</f>
        <v>0.42700081206496737</v>
      </c>
      <c r="H143" s="3">
        <f t="shared" si="13"/>
        <v>-0.85096936396382827</v>
      </c>
      <c r="I143" s="3">
        <f t="shared" si="14"/>
        <v>4.2023178467349542E-2</v>
      </c>
      <c r="J143" s="3">
        <f t="shared" si="15"/>
        <v>4.4380112175781861E-2</v>
      </c>
    </row>
    <row r="144" spans="6:10">
      <c r="F144" s="3">
        <v>20.5</v>
      </c>
      <c r="G144" s="3" cm="1">
        <f t="array" ref="G144">EXP(INDEX($H$28:$H$57, INT(F144)) + (IFERROR(INDEX($H$28:$H$57, INT(F144)+1), INDEX($H$28:$H$57, INT(F144))) - INDEX($H$28:$H$57, INT(F144))) * (F144 - INT(F144)))</f>
        <v>0.42228941097481504</v>
      </c>
      <c r="H144" s="3">
        <f t="shared" si="13"/>
        <v>-0.86206439200777374</v>
      </c>
      <c r="I144" s="3">
        <f t="shared" si="14"/>
        <v>4.2051921561354816E-2</v>
      </c>
      <c r="J144" s="3">
        <f t="shared" si="15"/>
        <v>4.4380112175781861E-2</v>
      </c>
    </row>
    <row r="145" spans="6:10">
      <c r="F145" s="3">
        <v>20.75</v>
      </c>
      <c r="G145" s="3" cm="1">
        <f t="array" ref="G145">EXP(INDEX($H$28:$H$57, INT(F145)) + (IFERROR(INDEX($H$28:$H$57, INT(F145)+1), INDEX($H$28:$H$57, INT(F145))) - INDEX($H$28:$H$57, INT(F145))) * (F145 - INT(F145)))</f>
        <v>0.41762999409547708</v>
      </c>
      <c r="H145" s="3">
        <f t="shared" si="13"/>
        <v>-0.8731594200517192</v>
      </c>
      <c r="I145" s="3">
        <f t="shared" si="14"/>
        <v>4.2079972050685262E-2</v>
      </c>
      <c r="J145" s="3">
        <f t="shared" si="15"/>
        <v>4.4380112175781861E-2</v>
      </c>
    </row>
    <row r="146" spans="6:10">
      <c r="F146" s="3">
        <v>21</v>
      </c>
      <c r="G146" s="3" cm="1">
        <f t="array" ref="G146">EXP(INDEX($H$28:$H$57, INT(F146)) + (IFERROR(INDEX($H$28:$H$57, INT(F146)+1), INDEX($H$28:$H$57, INT(F146))) - INDEX($H$28:$H$57, INT(F146))) * (F146 - INT(F146)))</f>
        <v>0.41302198784849509</v>
      </c>
      <c r="H146" s="3">
        <f t="shared" si="13"/>
        <v>-0.88425444809566467</v>
      </c>
      <c r="I146" s="3">
        <f t="shared" si="14"/>
        <v>4.2107354671222126E-2</v>
      </c>
      <c r="J146" s="3">
        <f t="shared" si="15"/>
        <v>4.4380112175781861E-2</v>
      </c>
    </row>
    <row r="147" spans="6:10">
      <c r="F147" s="3">
        <v>21.25</v>
      </c>
      <c r="G147" s="3" cm="1">
        <f t="array" ref="G147">EXP(INDEX($H$28:$H$57, INT(F147)) + (IFERROR(INDEX($H$28:$H$57, INT(F147)+1), INDEX($H$28:$H$57, INT(F147))) - INDEX($H$28:$H$57, INT(F147))) * (F147 - INT(F147)))</f>
        <v>0.40846482498410641</v>
      </c>
      <c r="H147" s="3">
        <f t="shared" si="13"/>
        <v>-0.89534947613961013</v>
      </c>
      <c r="I147" s="3">
        <f t="shared" si="14"/>
        <v>4.2134092994805181E-2</v>
      </c>
      <c r="J147" s="3">
        <f t="shared" si="15"/>
        <v>4.4380112175781861E-2</v>
      </c>
    </row>
    <row r="148" spans="6:10">
      <c r="F148" s="3">
        <v>21.5</v>
      </c>
      <c r="G148" s="3" cm="1">
        <f t="array" ref="G148">EXP(INDEX($H$28:$H$57, INT(F148)) + (IFERROR(INDEX($H$28:$H$57, INT(F148)+1), INDEX($H$28:$H$57, INT(F148))) - INDEX($H$28:$H$57, INT(F148))) * (F148 - INT(F148)))</f>
        <v>0.40395794451141492</v>
      </c>
      <c r="H148" s="3">
        <f t="shared" si="13"/>
        <v>-0.9064445041835556</v>
      </c>
      <c r="I148" s="3">
        <f t="shared" si="14"/>
        <v>4.2160209496909566E-2</v>
      </c>
      <c r="J148" s="3">
        <f t="shared" si="15"/>
        <v>4.4380112175781861E-2</v>
      </c>
    </row>
    <row r="149" spans="6:10">
      <c r="F149" s="3">
        <v>21.75</v>
      </c>
      <c r="G149" s="3" cm="1">
        <f t="array" ref="G149">EXP(INDEX($H$28:$H$57, INT(F149)) + (IFERROR(INDEX($H$28:$H$57, INT(F149)+1), INDEX($H$28:$H$57, INT(F149))) - INDEX($H$28:$H$57, INT(F149))) * (F149 - INT(F149)))</f>
        <v>0.39950079162933283</v>
      </c>
      <c r="H149" s="3">
        <f t="shared" si="13"/>
        <v>-0.91753953222750106</v>
      </c>
      <c r="I149" s="3">
        <f t="shared" si="14"/>
        <v>4.2185725619655223E-2</v>
      </c>
      <c r="J149" s="3">
        <f t="shared" si="15"/>
        <v>4.4380112175781861E-2</v>
      </c>
    </row>
    <row r="150" spans="6:10">
      <c r="F150" s="3">
        <v>22</v>
      </c>
      <c r="G150" s="3" cm="1">
        <f t="array" ref="G150">EXP(INDEX($H$28:$H$57, INT(F150)) + (IFERROR(INDEX($H$28:$H$57, INT(F150)+1), INDEX($H$28:$H$57, INT(F150))) - INDEX($H$28:$H$57, INT(F150))) * (F150 - INT(F150)))</f>
        <v>0.39509281765828386</v>
      </c>
      <c r="H150" s="3">
        <f t="shared" si="13"/>
        <v>-0.92863456027144653</v>
      </c>
      <c r="I150" s="3">
        <f t="shared" si="14"/>
        <v>4.2210661830520295E-2</v>
      </c>
      <c r="J150" s="3">
        <f t="shared" si="15"/>
        <v>4.4380112175781861E-2</v>
      </c>
    </row>
    <row r="151" spans="6:10">
      <c r="F151" s="3">
        <v>22.25</v>
      </c>
      <c r="G151" s="3" cm="1">
        <f t="array" ref="G151">EXP(INDEX($H$28:$H$57, INT(F151)) + (IFERROR(INDEX($H$28:$H$57, INT(F151)+1), INDEX($H$28:$H$57, INT(F151))) - INDEX($H$28:$H$57, INT(F151))) * (F151 - INT(F151)))</f>
        <v>0.39073347997266045</v>
      </c>
      <c r="H151" s="3">
        <f t="shared" si="13"/>
        <v>-0.93972958831539199</v>
      </c>
      <c r="I151" s="3">
        <f t="shared" si="14"/>
        <v>4.2235037677096271E-2</v>
      </c>
      <c r="J151" s="3">
        <f t="shared" si="15"/>
        <v>4.4380112175781861E-2</v>
      </c>
    </row>
    <row r="152" spans="6:10">
      <c r="F152" s="3">
        <v>22.5</v>
      </c>
      <c r="G152" s="3" cm="1">
        <f t="array" ref="G152">EXP(INDEX($H$28:$H$57, INT(F152)) + (IFERROR(INDEX($H$28:$H$57, INT(F152)+1), INDEX($H$28:$H$57, INT(F152))) - INDEX($H$28:$H$57, INT(F152))) * (F152 - INT(F152)))</f>
        <v>0.38642224193402619</v>
      </c>
      <c r="H152" s="3">
        <f t="shared" si="13"/>
        <v>-0.95082461635933746</v>
      </c>
      <c r="I152" s="3">
        <f t="shared" si="14"/>
        <v>4.2258871838192776E-2</v>
      </c>
      <c r="J152" s="3">
        <f t="shared" si="15"/>
        <v>4.4380112175781861E-2</v>
      </c>
    </row>
    <row r="153" spans="6:10">
      <c r="F153" s="3">
        <v>22.75</v>
      </c>
      <c r="G153" s="3" cm="1">
        <f t="array" ref="G153">EXP(INDEX($H$28:$H$57, INT(F153)) + (IFERROR(INDEX($H$28:$H$57, INT(F153)+1), INDEX($H$28:$H$57, INT(F153))) - INDEX($H$28:$H$57, INT(F153))) * (F153 - INT(F153)))</f>
        <v>0.38215857282505489</v>
      </c>
      <c r="H153" s="3">
        <f t="shared" si="13"/>
        <v>-0.96191964440328293</v>
      </c>
      <c r="I153" s="3">
        <f t="shared" si="14"/>
        <v>4.2282182171572875E-2</v>
      </c>
      <c r="J153" s="3">
        <f t="shared" si="15"/>
        <v>4.4380112175781861E-2</v>
      </c>
    </row>
    <row r="154" spans="6:10">
      <c r="F154" s="3">
        <v>23</v>
      </c>
      <c r="G154" s="3" cm="1">
        <f t="array" ref="G154">EXP(INDEX($H$28:$H$57, INT(F154)) + (IFERROR(INDEX($H$28:$H$57, INT(F154)+1), INDEX($H$28:$H$57, INT(F154))) - INDEX($H$28:$H$57, INT(F154))) * (F154 - INT(F154)))</f>
        <v>0.37794194778419882</v>
      </c>
      <c r="H154" s="3">
        <f t="shared" si="13"/>
        <v>-0.97301467244722828</v>
      </c>
      <c r="I154" s="3">
        <f t="shared" si="14"/>
        <v>4.2304985758575143E-2</v>
      </c>
      <c r="J154" s="3">
        <f t="shared" si="15"/>
        <v>4.4380112175781417E-2</v>
      </c>
    </row>
    <row r="155" spans="6:10">
      <c r="F155" s="3">
        <v>23.25</v>
      </c>
      <c r="G155" s="3" cm="1">
        <f t="array" ref="G155">EXP(INDEX($H$28:$H$57, INT(F155)) + (IFERROR(INDEX($H$28:$H$57, INT(F155)+1), INDEX($H$28:$H$57, INT(F155))) - INDEX($H$28:$H$57, INT(F155))) * (F155 - INT(F155)))</f>
        <v>0.37377184774107797</v>
      </c>
      <c r="H155" s="3">
        <f t="shared" si="13"/>
        <v>-0.98410970049117374</v>
      </c>
      <c r="I155" s="3">
        <f t="shared" si="14"/>
        <v>4.2327298945856934E-2</v>
      </c>
      <c r="J155" s="3">
        <f t="shared" si="15"/>
        <v>4.4380112175781861E-2</v>
      </c>
    </row>
    <row r="156" spans="6:10">
      <c r="F156" s="3">
        <v>23.5</v>
      </c>
      <c r="G156" s="3" cm="1">
        <f t="array" ref="G156">EXP(INDEX($H$28:$H$57, INT(F156)) + (IFERROR(INDEX($H$28:$H$57, INT(F156)+1), INDEX($H$28:$H$57, INT(F156))) - INDEX($H$28:$H$57, INT(F156))) * (F156 - INT(F156)))</f>
        <v>0.36964775935258182</v>
      </c>
      <c r="H156" s="3">
        <f t="shared" si="13"/>
        <v>-0.9952047285351191</v>
      </c>
      <c r="I156" s="3">
        <f t="shared" si="14"/>
        <v>4.234913738447315E-2</v>
      </c>
      <c r="J156" s="3">
        <f t="shared" si="15"/>
        <v>4.4380112175781417E-2</v>
      </c>
    </row>
    <row r="157" spans="6:10">
      <c r="F157" s="3">
        <v>23.75</v>
      </c>
      <c r="G157" s="3" cm="1">
        <f t="array" ref="G157">EXP(INDEX($H$28:$H$57, INT(F157)) + (IFERROR(INDEX($H$28:$H$57, INT(F157)+1), INDEX($H$28:$H$57, INT(F157))) - INDEX($H$28:$H$57, INT(F157))) * (F157 - INT(F157)))</f>
        <v>0.36556917493967644</v>
      </c>
      <c r="H157" s="3">
        <f t="shared" si="13"/>
        <v>-1.0062997565790646</v>
      </c>
      <c r="I157" s="3">
        <f t="shared" si="14"/>
        <v>4.2370516066486931E-2</v>
      </c>
      <c r="J157" s="3">
        <f t="shared" si="15"/>
        <v>4.4380112175781861E-2</v>
      </c>
    </row>
    <row r="158" spans="6:10">
      <c r="F158" s="3">
        <v>24</v>
      </c>
      <c r="G158" s="3" cm="1">
        <f t="array" ref="G158">EXP(INDEX($H$28:$H$57, INT(F158)) + (IFERROR(INDEX($H$28:$H$57, INT(F158)+1), INDEX($H$28:$H$57, INT(F158))) - INDEX($H$28:$H$57, INT(F158))) * (F158 - INT(F158)))</f>
        <v>0.36153559242490868</v>
      </c>
      <c r="H158" s="3">
        <f t="shared" si="13"/>
        <v>-1.01739478462301</v>
      </c>
      <c r="I158" s="3">
        <f t="shared" si="14"/>
        <v>4.2391449359292087E-2</v>
      </c>
      <c r="J158" s="3">
        <f t="shared" si="15"/>
        <v>4.4380112175781861E-2</v>
      </c>
    </row>
    <row r="159" spans="6:10">
      <c r="F159" s="3">
        <v>24.25</v>
      </c>
      <c r="G159" s="3" cm="1">
        <f t="array" ref="G159">EXP(INDEX($H$28:$H$57, INT(F159)) + (IFERROR(INDEX($H$28:$H$57, INT(F159)+1), INDEX($H$28:$H$57, INT(F159))) - INDEX($H$28:$H$57, INT(F159))) * (F159 - INT(F159)))</f>
        <v>0.35754651527060011</v>
      </c>
      <c r="H159" s="3">
        <f t="shared" si="13"/>
        <v>-1.0284898126669555</v>
      </c>
      <c r="I159" s="3">
        <f t="shared" si="14"/>
        <v>4.2411951037812597E-2</v>
      </c>
      <c r="J159" s="3">
        <f t="shared" si="15"/>
        <v>4.4380112175781861E-2</v>
      </c>
    </row>
    <row r="160" spans="6:10">
      <c r="F160" s="3">
        <v>24.5</v>
      </c>
      <c r="G160" s="3" cm="1">
        <f t="array" ref="G160">EXP(INDEX($H$28:$H$57, INT(F160)) + (IFERROR(INDEX($H$28:$H$57, INT(F160)+1), INDEX($H$28:$H$57, INT(F160))) - INDEX($H$28:$H$57, INT(F160))) * (F160 - INT(F160)))</f>
        <v>0.35360145241772251</v>
      </c>
      <c r="H160" s="3">
        <f t="shared" si="13"/>
        <v>-1.039584840710901</v>
      </c>
      <c r="I160" s="3">
        <f t="shared" si="14"/>
        <v>4.2432034314730652E-2</v>
      </c>
      <c r="J160" s="3">
        <f t="shared" si="15"/>
        <v>4.4380112175781861E-2</v>
      </c>
    </row>
    <row r="161" spans="6:10">
      <c r="F161" s="3">
        <v>24.75</v>
      </c>
      <c r="G161" s="3" cm="1">
        <f t="array" ref="G161">EXP(INDEX($H$28:$H$57, INT(F161)) + (IFERROR(INDEX($H$28:$H$57, INT(F161)+1), INDEX($H$28:$H$57, INT(F161))) - INDEX($H$28:$H$57, INT(F161))) * (F161 - INT(F161)))</f>
        <v>0.34969991822544833</v>
      </c>
      <c r="H161" s="3">
        <f t="shared" si="13"/>
        <v>-1.0506798687548464</v>
      </c>
      <c r="I161" s="3">
        <f t="shared" si="14"/>
        <v>4.2451711868882684E-2</v>
      </c>
      <c r="J161" s="3">
        <f t="shared" si="15"/>
        <v>4.4380112175781861E-2</v>
      </c>
    </row>
    <row r="162" spans="6:10">
      <c r="F162" s="3">
        <v>25</v>
      </c>
      <c r="G162" s="3" cm="1">
        <f t="array" ref="G162">EXP(INDEX($H$28:$H$57, INT(F162)) + (IFERROR(INDEX($H$28:$H$57, INT(F162)+1), INDEX($H$28:$H$57, INT(F162))) - INDEX($H$28:$H$57, INT(F162))) * (F162 - INT(F162)))</f>
        <v>0.34584143241136778</v>
      </c>
      <c r="H162" s="3">
        <f t="shared" si="13"/>
        <v>-1.0617748967987919</v>
      </c>
      <c r="I162" s="3">
        <f t="shared" si="14"/>
        <v>4.2470995871951675E-2</v>
      </c>
      <c r="J162" s="3">
        <f t="shared" si="15"/>
        <v>4.4380112175781861E-2</v>
      </c>
    </row>
    <row r="163" spans="6:10">
      <c r="F163" s="3">
        <v>25.25</v>
      </c>
      <c r="G163" s="3" cm="1">
        <f t="array" ref="G163">EXP(INDEX($H$28:$H$57, INT(F163)) + (IFERROR(INDEX($H$28:$H$57, INT(F163)+1), INDEX($H$28:$H$57, INT(F163))) - INDEX($H$28:$H$57, INT(F163))) * (F163 - INT(F163)))</f>
        <v>0.34202551999236552</v>
      </c>
      <c r="H163" s="3">
        <f t="shared" si="13"/>
        <v>-1.0728699248427374</v>
      </c>
      <c r="I163" s="3">
        <f t="shared" si="14"/>
        <v>4.2489898013573758E-2</v>
      </c>
      <c r="J163" s="3">
        <f t="shared" si="15"/>
        <v>4.4380112175781861E-2</v>
      </c>
    </row>
    <row r="164" spans="6:10">
      <c r="F164" s="3">
        <v>25.5</v>
      </c>
      <c r="G164" s="3" cm="1">
        <f t="array" ref="G164">EXP(INDEX($H$28:$H$57, INT(F164)) + (IFERROR(INDEX($H$28:$H$57, INT(F164)+1), INDEX($H$28:$H$57, INT(F164))) - INDEX($H$28:$H$57, INT(F164))) * (F164 - INT(F164)))</f>
        <v>0.33825171122614994</v>
      </c>
      <c r="H164" s="3">
        <f t="shared" si="13"/>
        <v>-1.0839649528866828</v>
      </c>
      <c r="I164" s="3">
        <f t="shared" si="14"/>
        <v>4.2508429524967951E-2</v>
      </c>
      <c r="J164" s="3">
        <f t="shared" si="15"/>
        <v>4.4380112175781861E-2</v>
      </c>
    </row>
    <row r="165" spans="6:10">
      <c r="F165" s="3">
        <v>25.75</v>
      </c>
      <c r="G165" s="3" cm="1">
        <f t="array" ref="G165">EXP(INDEX($H$28:$H$57, INT(F165)) + (IFERROR(INDEX($H$28:$H$57, INT(F165)+1), INDEX($H$28:$H$57, INT(F165))) - INDEX($H$28:$H$57, INT(F165))) * (F165 - INT(F165)))</f>
        <v>0.33451954155342745</v>
      </c>
      <c r="H165" s="3">
        <f t="shared" si="13"/>
        <v>-1.0950599809306281</v>
      </c>
      <c r="I165" s="3">
        <f t="shared" si="14"/>
        <v>4.2526601201189437E-2</v>
      </c>
      <c r="J165" s="3">
        <f t="shared" si="15"/>
        <v>4.4380112175780972E-2</v>
      </c>
    </row>
    <row r="166" spans="6:10">
      <c r="F166" s="3">
        <v>26</v>
      </c>
      <c r="G166" s="3" cm="1">
        <f t="array" ref="G166">EXP(INDEX($H$28:$H$57, INT(F166)) + (IFERROR(INDEX($H$28:$H$57, INT(F166)+1), INDEX($H$28:$H$57, INT(F166))) - INDEX($H$28:$H$57, INT(F166))) * (F166 - INT(F166)))</f>
        <v>0.33082855154071461</v>
      </c>
      <c r="H166" s="3">
        <f t="shared" si="13"/>
        <v>-1.1061550089745735</v>
      </c>
      <c r="I166" s="3">
        <f t="shared" si="14"/>
        <v>4.2544423422098979E-2</v>
      </c>
      <c r="J166" s="3">
        <f t="shared" si="15"/>
        <v>4.4380112175781861E-2</v>
      </c>
    </row>
    <row r="167" spans="6:10">
      <c r="F167" s="3">
        <v>26.25</v>
      </c>
      <c r="G167" s="3" cm="1">
        <f t="array" ref="G167">EXP(INDEX($H$28:$H$57, INT(F167)) + (IFERROR(INDEX($H$28:$H$57, INT(F167)+1), INDEX($H$28:$H$57, INT(F167))) - INDEX($H$28:$H$57, INT(F167))) * (F167 - INT(F167)))</f>
        <v>0.32717828682378169</v>
      </c>
      <c r="H167" s="3">
        <f t="shared" si="13"/>
        <v>-1.117250037018519</v>
      </c>
      <c r="I167" s="3">
        <f t="shared" si="14"/>
        <v>4.2561906172134054E-2</v>
      </c>
      <c r="J167" s="3">
        <f t="shared" si="15"/>
        <v>4.4380112175781861E-2</v>
      </c>
    </row>
    <row r="168" spans="6:10">
      <c r="F168" s="3">
        <v>26.5</v>
      </c>
      <c r="G168" s="3" cm="1">
        <f t="array" ref="G168">EXP(INDEX($H$28:$H$57, INT(F168)) + (IFERROR(INDEX($H$28:$H$57, INT(F168)+1), INDEX($H$28:$H$57, INT(F168))) - INDEX($H$28:$H$57, INT(F168))) * (F168 - INT(F168)))</f>
        <v>0.32356829805171999</v>
      </c>
      <c r="H168" s="3">
        <f t="shared" si="13"/>
        <v>-1.1283450650624647</v>
      </c>
      <c r="I168" s="3">
        <f t="shared" si="14"/>
        <v>4.2579059058960929E-2</v>
      </c>
      <c r="J168" s="3">
        <f t="shared" si="15"/>
        <v>4.4380112175782749E-2</v>
      </c>
    </row>
    <row r="169" spans="6:10">
      <c r="F169" s="3">
        <v>26.75</v>
      </c>
      <c r="G169" s="3" cm="1">
        <f t="array" ref="G169">EXP(INDEX($H$28:$H$57, INT(F169)) + (IFERROR(INDEX($H$28:$H$57, INT(F169)+1), INDEX($H$28:$H$57, INT(F169))) - INDEX($H$28:$H$57, INT(F169))) * (F169 - INT(F169)))</f>
        <v>0.31999814083162631</v>
      </c>
      <c r="H169" s="3">
        <f t="shared" si="13"/>
        <v>-1.1394400931064101</v>
      </c>
      <c r="I169" s="3">
        <f t="shared" si="14"/>
        <v>4.259589133108075E-2</v>
      </c>
      <c r="J169" s="3">
        <f t="shared" si="15"/>
        <v>4.4380112175781861E-2</v>
      </c>
    </row>
    <row r="170" spans="6:10">
      <c r="F170" s="3">
        <v>27</v>
      </c>
      <c r="G170" s="3" cm="1">
        <f t="array" ref="G170">EXP(INDEX($H$28:$H$57, INT(F170)) + (IFERROR(INDEX($H$28:$H$57, INT(F170)+1), INDEX($H$28:$H$57, INT(F170))) - INDEX($H$28:$H$57, INT(F170))) * (F170 - INT(F170)))</f>
        <v>0.3164673756738976</v>
      </c>
      <c r="H170" s="3">
        <f t="shared" si="13"/>
        <v>-1.1505351211503556</v>
      </c>
      <c r="I170" s="3">
        <f t="shared" si="14"/>
        <v>4.2612411894457615E-2</v>
      </c>
      <c r="J170" s="3">
        <f t="shared" si="15"/>
        <v>4.4380112175781861E-2</v>
      </c>
    </row>
    <row r="171" spans="6:10">
      <c r="F171" s="3">
        <v>27.25</v>
      </c>
      <c r="G171" s="3" cm="1">
        <f t="array" ref="G171">EXP(INDEX($H$28:$H$57, INT(F171)) + (IFERROR(INDEX($H$28:$H$57, INT(F171)+1), INDEX($H$28:$H$57, INT(F171))) - INDEX($H$28:$H$57, INT(F171))) * (F171 - INT(F171)))</f>
        <v>0.3129755679381297</v>
      </c>
      <c r="H171" s="3">
        <f t="shared" si="13"/>
        <v>-1.1616301491943011</v>
      </c>
      <c r="I171" s="3">
        <f t="shared" si="14"/>
        <v>4.2628629328231235E-2</v>
      </c>
      <c r="J171" s="3">
        <f t="shared" si="15"/>
        <v>4.4380112175781861E-2</v>
      </c>
    </row>
    <row r="172" spans="6:10">
      <c r="F172" s="3">
        <v>27.5</v>
      </c>
      <c r="G172" s="3" cm="1">
        <f t="array" ref="G172">EXP(INDEX($H$28:$H$57, INT(F172)) + (IFERROR(INDEX($H$28:$H$57, INT(F172)+1), INDEX($H$28:$H$57, INT(F172))) - INDEX($H$28:$H$57, INT(F172))) * (F172 - INT(F172)))</f>
        <v>0.30952228777961233</v>
      </c>
      <c r="H172" s="3">
        <f t="shared" si="13"/>
        <v>-1.1727251772382465</v>
      </c>
      <c r="I172" s="3">
        <f t="shared" si="14"/>
        <v>4.26445518995726E-2</v>
      </c>
      <c r="J172" s="3">
        <f t="shared" si="15"/>
        <v>4.4380112175781861E-2</v>
      </c>
    </row>
    <row r="173" spans="6:10">
      <c r="F173" s="3">
        <v>27.75</v>
      </c>
      <c r="G173" s="3" cm="1">
        <f t="array" ref="G173">EXP(INDEX($H$28:$H$57, INT(F173)) + (IFERROR(INDEX($H$28:$H$57, INT(F173)+1), INDEX($H$28:$H$57, INT(F173))) - INDEX($H$28:$H$57, INT(F173))) * (F173 - INT(F173)))</f>
        <v>0.30610711009641534</v>
      </c>
      <c r="H173" s="3">
        <f t="shared" si="13"/>
        <v>-1.1838202052821918</v>
      </c>
      <c r="I173" s="3">
        <f t="shared" si="14"/>
        <v>4.2660187577736638E-2</v>
      </c>
      <c r="J173" s="3">
        <f t="shared" si="15"/>
        <v>4.4380112175780972E-2</v>
      </c>
    </row>
    <row r="174" spans="6:10">
      <c r="F174" s="3">
        <v>28</v>
      </c>
      <c r="G174" s="3" cm="1">
        <f t="array" ref="G174">EXP(INDEX($H$28:$H$57, INT(F174)) + (IFERROR(INDEX($H$28:$H$57, INT(F174)+1), INDEX($H$28:$H$57, INT(F174))) - INDEX($H$28:$H$57, INT(F174))) * (F174 - INT(F174)))</f>
        <v>0.30272961447705754</v>
      </c>
      <c r="H174" s="3">
        <f t="shared" si="13"/>
        <v>-1.1949152333261372</v>
      </c>
      <c r="I174" s="3">
        <f t="shared" si="14"/>
        <v>4.2675544047362048E-2</v>
      </c>
      <c r="J174" s="3">
        <f t="shared" si="15"/>
        <v>4.4380112175781861E-2</v>
      </c>
    </row>
    <row r="175" spans="6:10">
      <c r="F175" s="3">
        <v>28.25</v>
      </c>
      <c r="G175" s="3" cm="1">
        <f t="array" ref="G175">EXP(INDEX($H$28:$H$57, INT(F175)) + (IFERROR(INDEX($H$28:$H$57, INT(F175)+1), INDEX($H$28:$H$57, INT(F175))) - INDEX($H$28:$H$57, INT(F175))) * (F175 - INT(F175)))</f>
        <v>0.29938938514875457</v>
      </c>
      <c r="H175" s="3">
        <f t="shared" si="13"/>
        <v>-1.2060102613700827</v>
      </c>
      <c r="I175" s="3">
        <f t="shared" si="14"/>
        <v>4.2690628721064876E-2</v>
      </c>
      <c r="J175" s="3">
        <f t="shared" si="15"/>
        <v>4.4380112175781861E-2</v>
      </c>
    </row>
    <row r="176" spans="6:10">
      <c r="F176" s="3">
        <v>28.5</v>
      </c>
      <c r="G176" s="3" cm="1">
        <f t="array" ref="G176">EXP(INDEX($H$28:$H$57, INT(F176)) + (IFERROR(INDEX($H$28:$H$57, INT(F176)+1), INDEX($H$28:$H$57, INT(F176))) - INDEX($H$28:$H$57, INT(F176))) * (F176 - INT(F176)))</f>
        <v>0.29608601092623599</v>
      </c>
      <c r="H176" s="3">
        <f t="shared" si="13"/>
        <v>-1.2171052894140284</v>
      </c>
      <c r="I176" s="3">
        <f t="shared" si="14"/>
        <v>4.2705448751369418E-2</v>
      </c>
      <c r="J176" s="3">
        <f t="shared" si="15"/>
        <v>4.4380112175782749E-2</v>
      </c>
    </row>
    <row r="177" spans="6:10">
      <c r="F177" s="3">
        <v>28.75</v>
      </c>
      <c r="G177" s="3" cm="1">
        <f t="array" ref="G177">EXP(INDEX($H$28:$H$57, INT(F177)) + (IFERROR(INDEX($H$28:$H$57, INT(F177)+1), INDEX($H$28:$H$57, INT(F177))) - INDEX($H$28:$H$57, INT(F177))) * (F177 - INT(F177)))</f>
        <v>0.29281908516112881</v>
      </c>
      <c r="H177" s="3">
        <f t="shared" si="13"/>
        <v>-1.2282003174579739</v>
      </c>
      <c r="I177" s="3">
        <f t="shared" si="14"/>
        <v>4.2720011042016483E-2</v>
      </c>
      <c r="J177" s="3">
        <f t="shared" si="15"/>
        <v>4.4380112175781861E-2</v>
      </c>
    </row>
    <row r="178" spans="6:10">
      <c r="F178" s="3">
        <v>29</v>
      </c>
      <c r="G178" s="3" cm="1">
        <f t="array" ref="G178">EXP(INDEX($H$28:$H$57, INT(F178)) + (IFERROR(INDEX($H$28:$H$57, INT(F178)+1), INDEX($H$28:$H$57, INT(F178))) - INDEX($H$28:$H$57, INT(F178))) * (F178 - INT(F178)))</f>
        <v>0.28958820569189808</v>
      </c>
      <c r="H178" s="3">
        <f t="shared" si="13"/>
        <v>-1.2392953455019193</v>
      </c>
      <c r="I178" s="3">
        <f t="shared" si="14"/>
        <v>4.2734322258686876E-2</v>
      </c>
      <c r="J178" s="3">
        <f t="shared" si="15"/>
        <v>4.4380112175781861E-2</v>
      </c>
    </row>
    <row r="179" spans="6:10">
      <c r="F179" s="3">
        <v>29.25</v>
      </c>
      <c r="G179" s="3" cm="1">
        <f t="array" ref="G179">EXP(INDEX($H$28:$H$57, INT(F179)) + (IFERROR(INDEX($H$28:$H$57, INT(F179)+1), INDEX($H$28:$H$57, INT(F179))) - INDEX($H$28:$H$57, INT(F179))) * (F179 - INT(F179)))</f>
        <v>0.28639297479434073</v>
      </c>
      <c r="H179" s="3">
        <f t="shared" si="13"/>
        <v>-1.2503903735458648</v>
      </c>
      <c r="I179" s="3">
        <f t="shared" si="14"/>
        <v>4.2748388839174867E-2</v>
      </c>
      <c r="J179" s="3">
        <f t="shared" si="15"/>
        <v>4.4380112175781861E-2</v>
      </c>
    </row>
    <row r="180" spans="6:10">
      <c r="F180" s="3">
        <v>29.5</v>
      </c>
      <c r="G180" s="3" cm="1">
        <f t="array" ref="G180">EXP(INDEX($H$28:$H$57, INT(F180)) + (IFERROR(INDEX($H$28:$H$57, INT(F180)+1), INDEX($H$28:$H$57, INT(F180))) - INDEX($H$28:$H$57, INT(F180))) * (F180 - INT(F180)))</f>
        <v>0.2832329991326254</v>
      </c>
      <c r="H180" s="3">
        <f t="shared" si="13"/>
        <v>-1.26148540158981</v>
      </c>
      <c r="I180" s="3">
        <f t="shared" si="14"/>
        <v>4.276221700304441E-2</v>
      </c>
      <c r="J180" s="3">
        <f t="shared" si="15"/>
        <v>4.4380112175780972E-2</v>
      </c>
    </row>
    <row r="181" spans="6:10">
      <c r="F181" s="3">
        <v>29.75</v>
      </c>
      <c r="G181" s="3" cm="1">
        <f t="array" ref="G181">EXP(INDEX($H$28:$H$57, INT(F181)) + (IFERROR(INDEX($H$28:$H$57, INT(F181)+1), INDEX($H$28:$H$57, INT(F181))) - INDEX($H$28:$H$57, INT(F181))) * (F181 - INT(F181)))</f>
        <v>0.28010788971087208</v>
      </c>
      <c r="H181" s="3">
        <f t="shared" si="13"/>
        <v>-1.2725804296337553</v>
      </c>
      <c r="I181" s="3">
        <f t="shared" si="14"/>
        <v>4.2775812760798497E-2</v>
      </c>
      <c r="J181" s="3">
        <f t="shared" si="15"/>
        <v>4.4380112175780972E-2</v>
      </c>
    </row>
    <row r="182" spans="6:10">
      <c r="F182" s="3">
        <v>30</v>
      </c>
      <c r="G182" s="3" cm="1">
        <f t="array" ref="G182">EXP(INDEX($H$28:$H$57, INT(F182)) + (IFERROR(INDEX($H$28:$H$57, INT(F182)+1), INDEX($H$28:$H$57, INT(F182))) - INDEX($H$28:$H$57, INT(F182))) * (F182 - INT(F182)))</f>
        <v>0.27701726182526681</v>
      </c>
      <c r="H182" s="3">
        <f t="shared" si="13"/>
        <v>-1.2836754576777007</v>
      </c>
      <c r="I182" s="3">
        <f t="shared" si="14"/>
        <v>4.2789181922590028E-2</v>
      </c>
      <c r="J182" s="3">
        <f t="shared" si="15"/>
        <v>4.4380112175781861E-2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AC5A2-5EB7-2740-84BE-30089BEC45D1}">
  <dimension ref="A1:H20"/>
  <sheetViews>
    <sheetView zoomScale="31" workbookViewId="0">
      <selection activeCell="H25" sqref="H25"/>
    </sheetView>
  </sheetViews>
  <sheetFormatPr defaultColWidth="11.07421875" defaultRowHeight="17.5"/>
  <cols>
    <col min="1" max="1" width="12.765625" style="1" bestFit="1" customWidth="1"/>
    <col min="2" max="2" width="11.15234375" bestFit="1" customWidth="1"/>
    <col min="3" max="3" width="10.765625" style="11" bestFit="1" customWidth="1"/>
    <col min="5" max="5" width="13.69140625" customWidth="1"/>
    <col min="6" max="6" width="10.765625" style="30" bestFit="1" customWidth="1"/>
  </cols>
  <sheetData>
    <row r="1" spans="1:8">
      <c r="A1" s="1" t="s">
        <v>133</v>
      </c>
      <c r="E1" t="s">
        <v>136</v>
      </c>
      <c r="H1" t="s">
        <v>139</v>
      </c>
    </row>
    <row r="2" spans="1:8">
      <c r="A2" s="1" t="s">
        <v>0</v>
      </c>
      <c r="B2" t="s">
        <v>2</v>
      </c>
      <c r="C2" s="11" t="s">
        <v>15</v>
      </c>
      <c r="E2" t="s">
        <v>141</v>
      </c>
      <c r="F2" s="30" t="s">
        <v>142</v>
      </c>
    </row>
    <row r="3" spans="1:8">
      <c r="A3" s="1">
        <v>46024</v>
      </c>
      <c r="B3">
        <v>3.75</v>
      </c>
      <c r="C3" s="11">
        <f>A4-A3</f>
        <v>3</v>
      </c>
      <c r="D3" s="1"/>
      <c r="E3" t="s">
        <v>137</v>
      </c>
      <c r="F3" s="30">
        <v>96.327500000000001</v>
      </c>
    </row>
    <row r="4" spans="1:8">
      <c r="A4" s="1">
        <v>46027</v>
      </c>
      <c r="B4">
        <v>3.7</v>
      </c>
      <c r="C4" s="11">
        <f t="shared" ref="C4:C16" si="0">A5-A4</f>
        <v>1</v>
      </c>
      <c r="D4" s="1"/>
      <c r="E4" t="s">
        <v>138</v>
      </c>
      <c r="F4" s="30">
        <v>96.334999999999994</v>
      </c>
    </row>
    <row r="5" spans="1:8">
      <c r="A5" s="1">
        <v>46028</v>
      </c>
      <c r="B5">
        <v>3.66</v>
      </c>
      <c r="C5" s="11">
        <f t="shared" si="0"/>
        <v>1</v>
      </c>
      <c r="D5" s="1"/>
      <c r="E5" t="s">
        <v>140</v>
      </c>
      <c r="F5" s="30">
        <v>96.344999999999999</v>
      </c>
    </row>
    <row r="6" spans="1:8">
      <c r="A6" s="1">
        <v>46029</v>
      </c>
      <c r="B6">
        <v>3.65</v>
      </c>
      <c r="C6" s="11">
        <f t="shared" si="0"/>
        <v>1</v>
      </c>
      <c r="D6" s="1"/>
    </row>
    <row r="7" spans="1:8">
      <c r="A7" s="1">
        <v>46030</v>
      </c>
      <c r="B7">
        <v>3.64</v>
      </c>
      <c r="C7" s="11">
        <f t="shared" si="0"/>
        <v>1</v>
      </c>
      <c r="D7" s="1"/>
      <c r="E7" t="s">
        <v>135</v>
      </c>
    </row>
    <row r="8" spans="1:8">
      <c r="A8" s="1">
        <v>46031</v>
      </c>
      <c r="B8">
        <v>3.64</v>
      </c>
      <c r="C8" s="11">
        <f t="shared" si="0"/>
        <v>3</v>
      </c>
      <c r="D8" s="1"/>
      <c r="E8" t="s">
        <v>140</v>
      </c>
      <c r="F8" s="30">
        <v>96.37</v>
      </c>
    </row>
    <row r="9" spans="1:8">
      <c r="A9" s="1">
        <v>46034</v>
      </c>
      <c r="B9">
        <v>3.64</v>
      </c>
      <c r="C9" s="11">
        <f t="shared" si="0"/>
        <v>1</v>
      </c>
      <c r="D9" s="1"/>
      <c r="E9" t="s">
        <v>143</v>
      </c>
      <c r="F9" s="30">
        <v>96.525000000000006</v>
      </c>
    </row>
    <row r="10" spans="1:8">
      <c r="A10" s="1">
        <v>46035</v>
      </c>
      <c r="B10">
        <v>3.65</v>
      </c>
      <c r="C10" s="11">
        <f t="shared" si="0"/>
        <v>1</v>
      </c>
      <c r="D10" s="1"/>
      <c r="E10" t="s">
        <v>144</v>
      </c>
      <c r="F10" s="30">
        <v>96.685000000000002</v>
      </c>
    </row>
    <row r="11" spans="1:8">
      <c r="A11" s="1">
        <v>46036</v>
      </c>
      <c r="B11">
        <v>3.64</v>
      </c>
      <c r="C11" s="11">
        <f t="shared" si="0"/>
        <v>1</v>
      </c>
      <c r="D11" s="1"/>
    </row>
    <row r="12" spans="1:8">
      <c r="A12" s="1">
        <v>46037</v>
      </c>
      <c r="B12">
        <v>3.66</v>
      </c>
      <c r="C12" s="11">
        <f t="shared" si="0"/>
        <v>1</v>
      </c>
      <c r="D12" s="1"/>
      <c r="E12" t="s">
        <v>134</v>
      </c>
    </row>
    <row r="13" spans="1:8">
      <c r="A13" s="1">
        <v>46038</v>
      </c>
      <c r="B13">
        <v>3.65</v>
      </c>
      <c r="C13" s="11">
        <f t="shared" si="0"/>
        <v>4</v>
      </c>
      <c r="D13" s="1"/>
      <c r="E13" t="s">
        <v>145</v>
      </c>
      <c r="F13" s="30">
        <v>3.524E-2</v>
      </c>
    </row>
    <row r="14" spans="1:8">
      <c r="A14" s="1">
        <v>46042</v>
      </c>
      <c r="B14">
        <v>3.64</v>
      </c>
      <c r="C14" s="11">
        <f t="shared" si="0"/>
        <v>1</v>
      </c>
      <c r="D14" s="1"/>
      <c r="E14" t="s">
        <v>146</v>
      </c>
      <c r="F14" s="30">
        <v>3.4369999999999998E-2</v>
      </c>
    </row>
    <row r="15" spans="1:8">
      <c r="A15" s="1">
        <v>46043</v>
      </c>
      <c r="B15">
        <v>3.63</v>
      </c>
      <c r="C15" s="11">
        <f t="shared" si="0"/>
        <v>1</v>
      </c>
      <c r="D15" s="1"/>
      <c r="E15" t="s">
        <v>147</v>
      </c>
      <c r="F15" s="30">
        <v>3.4660000000000003E-2</v>
      </c>
    </row>
    <row r="16" spans="1:8">
      <c r="A16" s="1">
        <v>46044</v>
      </c>
      <c r="B16">
        <v>3.64</v>
      </c>
      <c r="C16" s="11">
        <f t="shared" si="0"/>
        <v>1</v>
      </c>
      <c r="D16" s="1"/>
      <c r="E16" t="s">
        <v>148</v>
      </c>
      <c r="F16" s="30">
        <v>3.5790000000000002E-2</v>
      </c>
    </row>
    <row r="17" spans="1:6">
      <c r="A17" s="1">
        <v>46045</v>
      </c>
      <c r="B17">
        <v>3.65</v>
      </c>
      <c r="D17" s="1"/>
      <c r="E17" t="s">
        <v>149</v>
      </c>
      <c r="F17" s="30">
        <v>3.7100000000000001E-2</v>
      </c>
    </row>
    <row r="18" spans="1:6">
      <c r="E18" t="s">
        <v>150</v>
      </c>
      <c r="F18" s="30">
        <v>3.8830000000000003E-2</v>
      </c>
    </row>
    <row r="19" spans="1:6">
      <c r="E19" t="s">
        <v>151</v>
      </c>
      <c r="F19" s="30">
        <v>4.1099999999999998E-2</v>
      </c>
    </row>
    <row r="20" spans="1:6">
      <c r="E20" t="s">
        <v>152</v>
      </c>
      <c r="F20" s="30">
        <v>4.2070000000000003E-2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C635-7428-CC45-8FC1-6CDE05B00D0C}">
  <dimension ref="A2:O85"/>
  <sheetViews>
    <sheetView topLeftCell="A22" zoomScale="49" zoomScaleNormal="100" workbookViewId="0">
      <selection activeCell="V78" sqref="V78"/>
    </sheetView>
  </sheetViews>
  <sheetFormatPr defaultColWidth="15.69140625" defaultRowHeight="20" customHeight="1"/>
  <cols>
    <col min="1" max="1" width="3.69140625" style="17" customWidth="1"/>
    <col min="2" max="5" width="3.69140625" style="13" customWidth="1"/>
    <col min="6" max="6" width="15.69140625" style="3"/>
    <col min="7" max="7" width="15.69140625" style="7" customWidth="1"/>
    <col min="8" max="8" width="15.69140625" style="23" customWidth="1"/>
    <col min="9" max="9" width="28.53515625" style="3" bestFit="1" customWidth="1"/>
    <col min="10" max="11" width="28.53515625" style="3" customWidth="1"/>
    <col min="12" max="12" width="15.69140625" style="3" customWidth="1"/>
    <col min="13" max="16384" width="15.69140625" style="3"/>
  </cols>
  <sheetData>
    <row r="2" spans="1:11" ht="20" customHeight="1">
      <c r="A2" s="17" t="s">
        <v>52</v>
      </c>
      <c r="B2" s="13" t="s">
        <v>80</v>
      </c>
    </row>
    <row r="3" spans="1:11" ht="20" customHeight="1">
      <c r="C3" s="13" t="s">
        <v>81</v>
      </c>
    </row>
    <row r="4" spans="1:11" ht="20" customHeight="1">
      <c r="F4" s="3" t="s">
        <v>82</v>
      </c>
      <c r="G4" s="7" t="s">
        <v>1</v>
      </c>
      <c r="H4" s="23" t="s">
        <v>83</v>
      </c>
      <c r="I4" s="24" t="s">
        <v>84</v>
      </c>
      <c r="J4" s="25" t="s">
        <v>16</v>
      </c>
      <c r="K4" s="25"/>
    </row>
    <row r="5" spans="1:11" ht="20" customHeight="1">
      <c r="F5" s="3" t="s">
        <v>85</v>
      </c>
      <c r="G5" s="7">
        <f>1/12</f>
        <v>8.3333333333333329E-2</v>
      </c>
      <c r="H5" s="23">
        <v>3.78E-2</v>
      </c>
    </row>
    <row r="6" spans="1:11" ht="20" customHeight="1">
      <c r="F6" s="3" t="s">
        <v>86</v>
      </c>
      <c r="G6" s="7">
        <f>1.5/12</f>
        <v>0.125</v>
      </c>
      <c r="H6" s="23">
        <v>3.7100000000000001E-2</v>
      </c>
    </row>
    <row r="7" spans="1:11" ht="20" customHeight="1">
      <c r="F7" s="3" t="s">
        <v>87</v>
      </c>
      <c r="G7" s="7">
        <f>2/12</f>
        <v>0.16666666666666666</v>
      </c>
      <c r="H7" s="23">
        <v>3.7199999999999997E-2</v>
      </c>
    </row>
    <row r="8" spans="1:11" ht="20" customHeight="1">
      <c r="F8" s="3" t="s">
        <v>88</v>
      </c>
      <c r="G8" s="7">
        <f>3/12</f>
        <v>0.25</v>
      </c>
      <c r="H8" s="23">
        <v>3.6999999999999998E-2</v>
      </c>
    </row>
    <row r="9" spans="1:11" ht="20" customHeight="1">
      <c r="F9" s="3" t="s">
        <v>89</v>
      </c>
      <c r="G9" s="7">
        <f>4/12</f>
        <v>0.33333333333333331</v>
      </c>
      <c r="H9" s="23">
        <v>3.6700000000000003E-2</v>
      </c>
    </row>
    <row r="10" spans="1:11" ht="20" customHeight="1">
      <c r="F10" s="3" t="s">
        <v>90</v>
      </c>
      <c r="G10" s="7">
        <f>6/12</f>
        <v>0.5</v>
      </c>
      <c r="H10" s="23">
        <v>3.61E-2</v>
      </c>
    </row>
    <row r="11" spans="1:11" ht="20" customHeight="1">
      <c r="F11" s="3" t="s">
        <v>91</v>
      </c>
      <c r="G11" s="7">
        <v>1</v>
      </c>
      <c r="H11" s="23">
        <v>3.5299999999999998E-2</v>
      </c>
    </row>
    <row r="12" spans="1:11" ht="20" customHeight="1">
      <c r="F12" s="3" t="s">
        <v>92</v>
      </c>
      <c r="G12" s="7">
        <v>2</v>
      </c>
      <c r="H12" s="23">
        <v>3.5999999999999997E-2</v>
      </c>
    </row>
    <row r="13" spans="1:11" ht="20" customHeight="1">
      <c r="F13" s="3" t="s">
        <v>93</v>
      </c>
      <c r="G13" s="7">
        <v>3</v>
      </c>
      <c r="H13" s="23">
        <v>3.6700000000000003E-2</v>
      </c>
    </row>
    <row r="14" spans="1:11" ht="20" customHeight="1">
      <c r="F14" s="3" t="s">
        <v>94</v>
      </c>
      <c r="G14" s="7">
        <v>5</v>
      </c>
      <c r="H14" s="23">
        <v>3.8399999999999997E-2</v>
      </c>
    </row>
    <row r="15" spans="1:11" ht="20" customHeight="1">
      <c r="F15" s="3" t="s">
        <v>95</v>
      </c>
      <c r="G15" s="7">
        <v>7</v>
      </c>
      <c r="H15" s="23">
        <v>4.0300000000000002E-2</v>
      </c>
    </row>
    <row r="16" spans="1:11" ht="20" customHeight="1">
      <c r="F16" s="3" t="s">
        <v>96</v>
      </c>
      <c r="G16" s="7">
        <v>10</v>
      </c>
      <c r="H16" s="23">
        <v>4.24E-2</v>
      </c>
    </row>
    <row r="17" spans="1:15" ht="20" customHeight="1">
      <c r="F17" s="3" t="s">
        <v>97</v>
      </c>
      <c r="G17" s="7">
        <v>20</v>
      </c>
      <c r="H17" s="23">
        <v>4.7800000000000002E-2</v>
      </c>
    </row>
    <row r="18" spans="1:15" ht="20" customHeight="1">
      <c r="F18" s="3" t="s">
        <v>98</v>
      </c>
      <c r="G18" s="7">
        <v>30</v>
      </c>
      <c r="H18" s="23">
        <v>4.82E-2</v>
      </c>
    </row>
    <row r="19" spans="1:15" ht="20" customHeight="1">
      <c r="O19" s="3" t="s">
        <v>99</v>
      </c>
    </row>
    <row r="20" spans="1:15" ht="20" customHeight="1">
      <c r="O20" s="3" t="s">
        <v>100</v>
      </c>
    </row>
    <row r="21" spans="1:15" ht="20" customHeight="1">
      <c r="A21" s="17" t="s">
        <v>52</v>
      </c>
      <c r="B21" s="13" t="s">
        <v>101</v>
      </c>
    </row>
    <row r="22" spans="1:15" s="13" customFormat="1" ht="20" customHeight="1">
      <c r="A22" s="17"/>
      <c r="F22" s="13" t="s">
        <v>102</v>
      </c>
      <c r="G22" s="26" t="s">
        <v>103</v>
      </c>
      <c r="H22" s="27" t="s">
        <v>104</v>
      </c>
      <c r="I22" s="25" t="s">
        <v>105</v>
      </c>
      <c r="J22" s="25" t="s">
        <v>106</v>
      </c>
      <c r="K22" s="25" t="s">
        <v>17</v>
      </c>
      <c r="L22" s="13" t="s">
        <v>107</v>
      </c>
      <c r="M22" s="13" t="s">
        <v>74</v>
      </c>
    </row>
    <row r="23" spans="1:15" ht="20" customHeight="1">
      <c r="F23" s="3">
        <v>0.5</v>
      </c>
      <c r="G23" s="10">
        <f>1/(1+VLOOKUP(F23,$G$5:$H$18,2,0)*F23)</f>
        <v>0.98227002603015579</v>
      </c>
      <c r="H23" s="23">
        <f>_xlfn.XLOOKUP(F23,$G$5:$G$18,$H$5:$H$18,"",0)</f>
        <v>3.61E-2</v>
      </c>
      <c r="I23" s="23">
        <f t="shared" ref="I23:I42" si="0">-LN(G23)/F23</f>
        <v>3.5778065671479814E-2</v>
      </c>
      <c r="J23" s="23">
        <f t="shared" ref="J23:J42" si="1">2*(G23^(-1/(2*F23))-1)</f>
        <v>3.6099999999999799E-2</v>
      </c>
      <c r="K23" s="23">
        <f>I23</f>
        <v>3.5778065671479814E-2</v>
      </c>
    </row>
    <row r="24" spans="1:15" ht="20" customHeight="1">
      <c r="F24" s="3">
        <v>1</v>
      </c>
      <c r="G24" s="10">
        <v>0.9656197455319292</v>
      </c>
      <c r="H24" s="23">
        <f>_xlfn.XLOOKUP(F24,$G$5:$G$18,$H$5:$H$18,"",0)</f>
        <v>3.5299999999999998E-2</v>
      </c>
      <c r="I24" s="23">
        <f t="shared" si="0"/>
        <v>3.498516043116412E-2</v>
      </c>
      <c r="J24" s="23">
        <f t="shared" si="1"/>
        <v>3.5292942810635886E-2</v>
      </c>
      <c r="K24" s="23">
        <f>(I24*F24-I23*F23)/(F24-F23)</f>
        <v>3.4192255190848425E-2</v>
      </c>
      <c r="L24" s="28">
        <f>100*H24/2*SUM($G$23:G24)+100*G24</f>
        <v>100</v>
      </c>
      <c r="M24" s="3">
        <f t="shared" ref="M24:M42" si="2">L24-100</f>
        <v>0</v>
      </c>
    </row>
    <row r="25" spans="1:15" ht="20" customHeight="1">
      <c r="F25" s="3">
        <v>1.5</v>
      </c>
      <c r="G25" s="10">
        <f>EXP((F26-F25)/(F26-F24)*LN(G24)+(F25-F24)/(F26-F24)*LN(G26))</f>
        <v>0.94820801919335018</v>
      </c>
      <c r="H25" s="23">
        <f>AVERAGE(H24,H26)</f>
        <v>3.5650000000000001E-2</v>
      </c>
      <c r="I25" s="23">
        <f t="shared" si="0"/>
        <v>3.5454247512935126E-2</v>
      </c>
      <c r="J25" s="23">
        <f t="shared" si="1"/>
        <v>3.5770363609975764E-2</v>
      </c>
      <c r="K25" s="23">
        <f t="shared" ref="K25:K42" si="3">(I25*F25-I24*F24)/(F25-F24)</f>
        <v>3.6392421676477132E-2</v>
      </c>
    </row>
    <row r="26" spans="1:15" ht="20" customHeight="1">
      <c r="F26" s="3">
        <v>2</v>
      </c>
      <c r="G26" s="10">
        <v>0.93111025517326396</v>
      </c>
      <c r="H26" s="23">
        <f>_xlfn.XLOOKUP(F26,$G$5:$G$18,$H$5:$H$18,"",0)</f>
        <v>3.5999999999999997E-2</v>
      </c>
      <c r="I26" s="23">
        <f t="shared" si="0"/>
        <v>3.5688791053820605E-2</v>
      </c>
      <c r="J26" s="23">
        <f t="shared" si="1"/>
        <v>3.600911600391532E-2</v>
      </c>
      <c r="K26" s="23">
        <f t="shared" si="3"/>
        <v>3.6392421676477049E-2</v>
      </c>
      <c r="L26" s="28">
        <f>100*H26/2*SUM($G$23:G26)+100*G26</f>
        <v>99.999999999998053</v>
      </c>
      <c r="M26" s="3">
        <f t="shared" si="2"/>
        <v>-1.9468870959826745E-12</v>
      </c>
    </row>
    <row r="27" spans="1:15" ht="20" customHeight="1">
      <c r="F27" s="3">
        <v>2.5</v>
      </c>
      <c r="G27" s="10">
        <f>EXP((F28-F27)/(F28-F26)*LN(G26)+(F27-F26)/(F28-F26)*LN(G28))</f>
        <v>0.91366834717248313</v>
      </c>
      <c r="H27" s="23">
        <f>AVERAGE(H28,H26)</f>
        <v>3.635E-2</v>
      </c>
      <c r="I27" s="23">
        <f t="shared" si="0"/>
        <v>3.6115052820222912E-2</v>
      </c>
      <c r="J27" s="23">
        <f t="shared" si="1"/>
        <v>3.6443098670926766E-2</v>
      </c>
      <c r="K27" s="23">
        <f t="shared" si="3"/>
        <v>3.7820099885832154E-2</v>
      </c>
    </row>
    <row r="28" spans="1:15" ht="20" customHeight="1">
      <c r="F28" s="3">
        <v>3</v>
      </c>
      <c r="G28" s="10">
        <v>0.89655316756183379</v>
      </c>
      <c r="H28" s="23">
        <f>_xlfn.XLOOKUP(F28,$G$5:$G$18,$H$5:$H$18,"",0)</f>
        <v>3.6700000000000003E-2</v>
      </c>
      <c r="I28" s="23">
        <f t="shared" si="0"/>
        <v>3.6399227331157795E-2</v>
      </c>
      <c r="J28" s="23">
        <f t="shared" si="1"/>
        <v>3.6732471839365122E-2</v>
      </c>
      <c r="K28" s="23">
        <f t="shared" si="3"/>
        <v>3.7820099885832181E-2</v>
      </c>
      <c r="L28" s="28">
        <f>100*H28/2*SUM($G$23:G28)+100*G28</f>
        <v>100.00000000000001</v>
      </c>
      <c r="M28" s="3">
        <f t="shared" si="2"/>
        <v>0</v>
      </c>
    </row>
    <row r="29" spans="1:15" ht="20" customHeight="1">
      <c r="F29" s="3">
        <v>3.5</v>
      </c>
      <c r="G29" s="10">
        <f>EXP(($F$32-F29)/($F$32-$F$28)*LN($G$28)+(F29-$F$28)/($F$32-$F$28)*LN($G$32))</f>
        <v>0.87845203860205401</v>
      </c>
      <c r="H29" s="23">
        <f>($F$32-F29)/($F$32-$F$28)*$H$28+(F29-$F$28)/($F$32-$F$28)*$H$32</f>
        <v>3.7124999999999998E-2</v>
      </c>
      <c r="I29" s="23">
        <f t="shared" si="0"/>
        <v>3.7026847855131613E-2</v>
      </c>
      <c r="J29" s="23">
        <f t="shared" si="1"/>
        <v>3.7371719685971527E-2</v>
      </c>
      <c r="K29" s="23">
        <f t="shared" si="3"/>
        <v>4.0792570998974542E-2</v>
      </c>
    </row>
    <row r="30" spans="1:15" ht="20" customHeight="1">
      <c r="F30" s="3">
        <v>4</v>
      </c>
      <c r="G30" s="10">
        <f>EXP(($F$32-F30)/($F$32-$F$28)*LN($G$28)+(F30-$F$28)/($F$32-$F$28)*LN($G$32))</f>
        <v>0.86071636579308963</v>
      </c>
      <c r="H30" s="23">
        <f t="shared" ref="H30:H31" si="4">($F$32-F30)/($F$32-$F$28)*$H$28+(F30-$F$28)/($F$32-$F$28)*$H$32</f>
        <v>3.755E-2</v>
      </c>
      <c r="I30" s="23">
        <f t="shared" si="0"/>
        <v>3.7497563248112001E-2</v>
      </c>
      <c r="J30" s="23">
        <f t="shared" si="1"/>
        <v>3.7851287233554132E-2</v>
      </c>
      <c r="K30" s="23">
        <f t="shared" si="3"/>
        <v>4.0792570998974709E-2</v>
      </c>
    </row>
    <row r="31" spans="1:15" ht="20" customHeight="1">
      <c r="F31" s="3">
        <v>4.5</v>
      </c>
      <c r="G31" s="10">
        <f>EXP(($F$32-F31)/($F$32-$F$28)*LN($G$28)+(F31-$F$28)/($F$32-$F$28)*LN($G$32))</f>
        <v>0.84333877068918384</v>
      </c>
      <c r="H31" s="23">
        <f t="shared" si="4"/>
        <v>3.7975000000000002E-2</v>
      </c>
      <c r="I31" s="23">
        <f t="shared" si="0"/>
        <v>3.7863675220430076E-2</v>
      </c>
      <c r="J31" s="23">
        <f t="shared" si="1"/>
        <v>3.8224362256350286E-2</v>
      </c>
      <c r="K31" s="23">
        <f t="shared" si="3"/>
        <v>4.0792570998974709E-2</v>
      </c>
    </row>
    <row r="32" spans="1:15" ht="20" customHeight="1">
      <c r="F32" s="3">
        <v>5</v>
      </c>
      <c r="G32" s="10">
        <v>0.82631202381309932</v>
      </c>
      <c r="H32" s="23">
        <f>_xlfn.XLOOKUP(F32,$G$5:$G$18,$H$5:$H$18,"",0)</f>
        <v>3.8399999999999997E-2</v>
      </c>
      <c r="I32" s="23">
        <f t="shared" si="0"/>
        <v>3.815656479828454E-2</v>
      </c>
      <c r="J32" s="23">
        <f t="shared" si="1"/>
        <v>3.8522871449891749E-2</v>
      </c>
      <c r="K32" s="23">
        <f t="shared" si="3"/>
        <v>4.0792570998974709E-2</v>
      </c>
      <c r="L32" s="28">
        <f>100*H32/2*SUM($G$23:G32)+100*G32</f>
        <v>99.999999999665988</v>
      </c>
      <c r="M32" s="3">
        <f t="shared" si="2"/>
        <v>-3.340119292261079E-10</v>
      </c>
    </row>
    <row r="33" spans="1:13" ht="20" customHeight="1">
      <c r="F33" s="3">
        <v>5.5</v>
      </c>
      <c r="G33" s="10">
        <f>EXP(($F$36-F33)/($F$36-$F$32)*LN($G$32)+(F33-$F$32)/($F$36-$F$32)*LN($G$36))</f>
        <v>0.80781260439657998</v>
      </c>
      <c r="H33" s="23">
        <f>($F$36-F33)/($F$36-$F$32)*$H$32+(F33-$F$32)/($F$36-$F$32)*$H$36</f>
        <v>3.8875E-2</v>
      </c>
      <c r="I33" s="23">
        <f t="shared" si="0"/>
        <v>3.8804576838476261E-2</v>
      </c>
      <c r="J33" s="23">
        <f t="shared" si="1"/>
        <v>3.9183472145866816E-2</v>
      </c>
      <c r="K33" s="23">
        <f t="shared" si="3"/>
        <v>4.5284697240393468E-2</v>
      </c>
    </row>
    <row r="34" spans="1:13" ht="20" customHeight="1">
      <c r="F34" s="3">
        <v>6</v>
      </c>
      <c r="G34" s="10">
        <f>EXP(($F$36-F34)/($F$36-$F$32)*LN($G$32)+(F34-$F$32)/($F$36-$F$32)*LN($G$36))</f>
        <v>0.78972734876914485</v>
      </c>
      <c r="H34" s="23">
        <f t="shared" ref="H34:H35" si="5">($F$36-F34)/($F$36-$F$32)*$H$32+(F34-$F$32)/($F$36-$F$32)*$H$36</f>
        <v>3.9349999999999996E-2</v>
      </c>
      <c r="I34" s="23">
        <f t="shared" si="0"/>
        <v>3.9344586871969359E-2</v>
      </c>
      <c r="J34" s="23">
        <f t="shared" si="1"/>
        <v>3.9734136251103003E-2</v>
      </c>
      <c r="K34" s="23">
        <f t="shared" si="3"/>
        <v>4.5284697240393412E-2</v>
      </c>
    </row>
    <row r="35" spans="1:13" ht="20" customHeight="1">
      <c r="F35" s="3">
        <v>6.5</v>
      </c>
      <c r="G35" s="10">
        <f>EXP(($F$36-F35)/($F$36-$F$32)*LN($G$32)+(F35-$F$32)/($F$36-$F$32)*LN($G$36))</f>
        <v>0.77204698465903632</v>
      </c>
      <c r="H35" s="23">
        <f t="shared" si="5"/>
        <v>3.9824999999999999E-2</v>
      </c>
      <c r="I35" s="23">
        <f t="shared" si="0"/>
        <v>3.9801518438771215E-2</v>
      </c>
      <c r="J35" s="23">
        <f t="shared" si="1"/>
        <v>4.0200198946132915E-2</v>
      </c>
      <c r="K35" s="23">
        <f t="shared" si="3"/>
        <v>4.5284697240393468E-2</v>
      </c>
    </row>
    <row r="36" spans="1:13" ht="20" customHeight="1">
      <c r="F36" s="3">
        <v>7</v>
      </c>
      <c r="G36" s="10">
        <v>0.75476244738150899</v>
      </c>
      <c r="H36" s="23">
        <f>_xlfn.XLOOKUP(F36,$G$5:$G$18,$H$5:$H$18,"",0)</f>
        <v>4.0300000000000002E-2</v>
      </c>
      <c r="I36" s="23">
        <f t="shared" si="0"/>
        <v>4.0193174067458502E-2</v>
      </c>
      <c r="J36" s="23">
        <f t="shared" si="1"/>
        <v>4.0599766013812211E-2</v>
      </c>
      <c r="K36" s="23">
        <f t="shared" si="3"/>
        <v>4.5284697240393301E-2</v>
      </c>
      <c r="L36" s="28">
        <f>100*H36/2*SUM($G$23:G36)+100*G36</f>
        <v>99.999999999855817</v>
      </c>
      <c r="M36" s="3">
        <f t="shared" si="2"/>
        <v>-1.4418333194043953E-10</v>
      </c>
    </row>
    <row r="37" spans="1:13" ht="20" customHeight="1">
      <c r="F37" s="3">
        <v>7.5</v>
      </c>
      <c r="G37" s="10">
        <f>EXP(($F$42-F37)/($F$42-$F$36)*LN($G$36)+(F37-$F$36)/($F$42-$F$36)*LN($G$42))</f>
        <v>0.73688103891876211</v>
      </c>
      <c r="H37" s="23">
        <f>($F$42-F37)/($F$42-$F$36)*$H$36+(F37-$F$36)/($F$42-$F$36)*$H$42</f>
        <v>4.0650000000000006E-2</v>
      </c>
      <c r="I37" s="23">
        <f t="shared" si="0"/>
        <v>4.0710508321930967E-2</v>
      </c>
      <c r="J37" s="23">
        <f t="shared" si="1"/>
        <v>4.1127670365933344E-2</v>
      </c>
      <c r="K37" s="23">
        <f t="shared" si="3"/>
        <v>4.795318788454539E-2</v>
      </c>
    </row>
    <row r="38" spans="1:13" ht="20" customHeight="1">
      <c r="F38" s="3">
        <v>8</v>
      </c>
      <c r="G38" s="10">
        <f>EXP(($F$42-F38)/($F$42-$F$36)*LN($G$36)+(F38-$F$36)/($F$42-$F$36)*LN($G$42))</f>
        <v>0.71942326675339718</v>
      </c>
      <c r="H38" s="23">
        <f t="shared" ref="H38:H41" si="6">($F$42-F38)/($F$42-$F$36)*$H$36+(F38-$F$36)/($F$42-$F$36)*$H$42</f>
        <v>4.1000000000000002E-2</v>
      </c>
      <c r="I38" s="23">
        <f t="shared" si="0"/>
        <v>4.1163175794594352E-2</v>
      </c>
      <c r="J38" s="23">
        <f t="shared" si="1"/>
        <v>4.1589698702225064E-2</v>
      </c>
      <c r="K38" s="23">
        <f t="shared" si="3"/>
        <v>4.7953187884545168E-2</v>
      </c>
    </row>
    <row r="39" spans="1:13" ht="20" customHeight="1">
      <c r="F39" s="3">
        <v>8.5</v>
      </c>
      <c r="G39" s="10">
        <f>EXP(($F$42-F39)/($F$42-$F$36)*LN($G$36)+(F39-$F$36)/($F$42-$F$36)*LN($G$42))</f>
        <v>0.70237909433192713</v>
      </c>
      <c r="H39" s="23">
        <f t="shared" si="6"/>
        <v>4.1349999999999998E-2</v>
      </c>
      <c r="I39" s="23">
        <f t="shared" si="0"/>
        <v>4.1562588270473814E-2</v>
      </c>
      <c r="J39" s="23">
        <f t="shared" si="1"/>
        <v>4.1997457615013278E-2</v>
      </c>
      <c r="K39" s="23">
        <f t="shared" si="3"/>
        <v>4.7953187884545168E-2</v>
      </c>
    </row>
    <row r="40" spans="1:13" ht="20" customHeight="1">
      <c r="F40" s="3">
        <v>9</v>
      </c>
      <c r="G40" s="10">
        <f>EXP(($F$42-F40)/($F$42-$F$36)*LN($G$36)+(F40-$F$36)/($F$42-$F$36)*LN($G$42))</f>
        <v>0.68573872288125937</v>
      </c>
      <c r="H40" s="23">
        <f t="shared" si="6"/>
        <v>4.1700000000000001E-2</v>
      </c>
      <c r="I40" s="23">
        <f t="shared" si="0"/>
        <v>4.1917621582366671E-2</v>
      </c>
      <c r="J40" s="23">
        <f t="shared" si="1"/>
        <v>4.2359978350922312E-2</v>
      </c>
      <c r="K40" s="23">
        <f t="shared" si="3"/>
        <v>4.7953187884545279E-2</v>
      </c>
    </row>
    <row r="41" spans="1:13" ht="20" customHeight="1">
      <c r="F41" s="3">
        <v>9.5</v>
      </c>
      <c r="G41" s="10">
        <f>EXP(($F$42-F41)/($F$42-$F$36)*LN($G$36)+(F41-$F$36)/($F$42-$F$36)*LN($G$42))</f>
        <v>0.6694925857753361</v>
      </c>
      <c r="H41" s="23">
        <f t="shared" si="6"/>
        <v>4.2050000000000004E-2</v>
      </c>
      <c r="I41" s="23">
        <f t="shared" si="0"/>
        <v>4.2235282966691857E-2</v>
      </c>
      <c r="J41" s="23">
        <f t="shared" si="1"/>
        <v>4.268439356279341E-2</v>
      </c>
      <c r="K41" s="23">
        <f t="shared" si="3"/>
        <v>4.7953187884545168E-2</v>
      </c>
    </row>
    <row r="42" spans="1:13" ht="20" customHeight="1">
      <c r="F42" s="3">
        <v>10</v>
      </c>
      <c r="G42" s="10">
        <v>0.65363134303523707</v>
      </c>
      <c r="H42" s="23">
        <f>_xlfn.XLOOKUP(F42,$G$5:$G$18,$H$5:$H$18,"",0)</f>
        <v>4.24E-2</v>
      </c>
      <c r="I42" s="23">
        <f t="shared" si="0"/>
        <v>4.2521178212584526E-2</v>
      </c>
      <c r="J42" s="23">
        <f t="shared" si="1"/>
        <v>4.2976411312407148E-2</v>
      </c>
      <c r="K42" s="23">
        <f t="shared" si="3"/>
        <v>4.7953187884545279E-2</v>
      </c>
      <c r="L42" s="28">
        <f>100*H42/2*SUM($G$23:G42)+100*G42</f>
        <v>100.0000000000245</v>
      </c>
      <c r="M42" s="3">
        <f t="shared" si="2"/>
        <v>2.4499513529008254E-11</v>
      </c>
    </row>
    <row r="44" spans="1:13" ht="20" customHeight="1">
      <c r="A44" s="17" t="s">
        <v>52</v>
      </c>
      <c r="B44" s="13" t="s">
        <v>108</v>
      </c>
    </row>
    <row r="45" spans="1:13" s="13" customFormat="1" ht="20" customHeight="1">
      <c r="A45" s="17"/>
      <c r="F45" s="13" t="s">
        <v>102</v>
      </c>
      <c r="G45" s="26" t="s">
        <v>103</v>
      </c>
      <c r="H45" s="27" t="s">
        <v>104</v>
      </c>
      <c r="I45" s="25" t="s">
        <v>105</v>
      </c>
      <c r="J45" s="25" t="s">
        <v>106</v>
      </c>
      <c r="K45" s="25" t="s">
        <v>17</v>
      </c>
    </row>
    <row r="46" spans="1:13" ht="20" customHeight="1">
      <c r="F46" s="3" cm="1">
        <f t="array" ref="F46:F85">_xlfn.SEQUENCE(40,1,0.25,0.25)</f>
        <v>0.25</v>
      </c>
      <c r="G46" s="10">
        <f>1/(1+H46/2)^(2*F46)</f>
        <v>0.99087639662191229</v>
      </c>
      <c r="H46" s="23">
        <f>VLOOKUP(F46,$G$5:$H$18,2,0)</f>
        <v>3.6999999999999998E-2</v>
      </c>
      <c r="I46" s="23">
        <f>-LN(G46)/F46</f>
        <v>3.6661913369446707E-2</v>
      </c>
      <c r="J46" s="23">
        <f>2*(G46^(-1/(2*F46))-1)</f>
        <v>3.6999999999999922E-2</v>
      </c>
      <c r="K46" s="23">
        <f>I46</f>
        <v>3.6661913369446707E-2</v>
      </c>
    </row>
    <row r="47" spans="1:13" ht="20" customHeight="1">
      <c r="F47" s="3">
        <v>0.5</v>
      </c>
      <c r="G47" s="10">
        <f>IFERROR(VLOOKUP(F47,$F$23:$G$42,2,0),"")</f>
        <v>0.98227002603015579</v>
      </c>
      <c r="H47" s="23">
        <f>_xlfn.XLOOKUP(F47,$G$5:$G$18,$H$5:$H$18,"",0)</f>
        <v>3.61E-2</v>
      </c>
      <c r="I47" s="23">
        <f t="shared" ref="I47:I85" si="7">-LN(G47)/F47</f>
        <v>3.5778065671479814E-2</v>
      </c>
      <c r="J47" s="23">
        <f t="shared" ref="J47:J85" si="8">2*(G47^(-1/(2*F47))-1)</f>
        <v>3.6099999999999799E-2</v>
      </c>
      <c r="K47" s="23">
        <f>(I47*F47-I46*F46)/(F47-F46)</f>
        <v>3.4894217973512921E-2</v>
      </c>
    </row>
    <row r="48" spans="1:13" ht="20" customHeight="1">
      <c r="F48" s="3">
        <v>0.75</v>
      </c>
      <c r="G48" s="10">
        <f>EXP((F49-F48)/(F49-F47)*LN(G47)+(F48-F47)/(F49-F47)*LN(G49))</f>
        <v>0.97390930408271614</v>
      </c>
      <c r="H48" s="23">
        <f>AVERAGE(H47,H49)</f>
        <v>3.5699999999999996E-2</v>
      </c>
      <c r="I48" s="23">
        <f t="shared" si="7"/>
        <v>3.5249462177936043E-2</v>
      </c>
      <c r="J48" s="23">
        <f t="shared" si="8"/>
        <v>3.5561926323436133E-2</v>
      </c>
      <c r="K48" s="23">
        <f t="shared" ref="K48:K85" si="9">(I48*F48-I47*F47)/(F48-F47)</f>
        <v>3.4192255190848508E-2</v>
      </c>
    </row>
    <row r="49" spans="6:11" ht="20" customHeight="1">
      <c r="F49" s="3">
        <v>1</v>
      </c>
      <c r="G49" s="10">
        <f>IFERROR(VLOOKUP(F49,$F$23:$G$42,2,0),"")</f>
        <v>0.9656197455319292</v>
      </c>
      <c r="H49" s="23">
        <f>_xlfn.XLOOKUP(F49,$G$5:$G$18,$H$5:$H$18,"",0)</f>
        <v>3.5299999999999998E-2</v>
      </c>
      <c r="I49" s="23">
        <f t="shared" si="7"/>
        <v>3.498516043116412E-2</v>
      </c>
      <c r="J49" s="23">
        <f t="shared" si="8"/>
        <v>3.5292942810635886E-2</v>
      </c>
      <c r="K49" s="23">
        <f t="shared" si="9"/>
        <v>3.4192255190848342E-2</v>
      </c>
    </row>
    <row r="50" spans="6:11" ht="20" customHeight="1">
      <c r="F50" s="3">
        <v>1.25</v>
      </c>
      <c r="G50" s="10">
        <f>EXP((F51-F50)/(F51-F49)*LN(G49)+(F50-F49)/(F51-F49)*LN(G51))</f>
        <v>0.95687427920538104</v>
      </c>
      <c r="H50" s="23">
        <f>((F50-$F$49)*$H$53+($F$53-F50)*$H$49)/($F$53-$F$49)</f>
        <v>3.5475E-2</v>
      </c>
      <c r="I50" s="23">
        <f t="shared" si="7"/>
        <v>3.5266612680226697E-2</v>
      </c>
      <c r="J50" s="23">
        <f t="shared" si="8"/>
        <v>3.5579381853018788E-2</v>
      </c>
      <c r="K50" s="23">
        <f t="shared" si="9"/>
        <v>3.6392421676476994E-2</v>
      </c>
    </row>
    <row r="51" spans="6:11" ht="20" customHeight="1">
      <c r="F51" s="3">
        <v>1.5</v>
      </c>
      <c r="G51" s="10">
        <f>IFERROR(VLOOKUP(F51,$F$23:$G$42,2,0),"")</f>
        <v>0.94820801919335018</v>
      </c>
      <c r="H51" s="23">
        <f t="shared" ref="H51:H52" si="10">((F51-$F$49)*$H$53+($F$53-F51)*$H$49)/($F$53-$F$49)</f>
        <v>3.5650000000000001E-2</v>
      </c>
      <c r="I51" s="23">
        <f t="shared" si="7"/>
        <v>3.5454247512935126E-2</v>
      </c>
      <c r="J51" s="23">
        <f t="shared" si="8"/>
        <v>3.5770363609975764E-2</v>
      </c>
      <c r="K51" s="23">
        <f t="shared" si="9"/>
        <v>3.6392421676477271E-2</v>
      </c>
    </row>
    <row r="52" spans="6:11" ht="20" customHeight="1">
      <c r="F52" s="3">
        <v>1.75</v>
      </c>
      <c r="G52" s="10">
        <f>EXP((F53-F52)/(F53-F51)*LN(G51)+(F52-F51)/(F53-F51)*LN(G53))</f>
        <v>0.93962024813669032</v>
      </c>
      <c r="H52" s="23">
        <f t="shared" si="10"/>
        <v>3.5824999999999996E-2</v>
      </c>
      <c r="I52" s="23">
        <f t="shared" si="7"/>
        <v>3.558827239344111E-2</v>
      </c>
      <c r="J52" s="23">
        <f t="shared" si="8"/>
        <v>3.5906790120921794E-2</v>
      </c>
      <c r="K52" s="23">
        <f t="shared" si="9"/>
        <v>3.6392421676477021E-2</v>
      </c>
    </row>
    <row r="53" spans="6:11" ht="20" customHeight="1">
      <c r="F53" s="3">
        <v>2</v>
      </c>
      <c r="G53" s="10">
        <f>IFERROR(VLOOKUP(F53,$F$23:$G$42,2,0),"")</f>
        <v>0.93111025517326396</v>
      </c>
      <c r="H53" s="23">
        <f>_xlfn.XLOOKUP(F53,$G$5:$G$18,$H$5:$H$18,"",0)</f>
        <v>3.5999999999999997E-2</v>
      </c>
      <c r="I53" s="23">
        <f t="shared" si="7"/>
        <v>3.5688791053820605E-2</v>
      </c>
      <c r="J53" s="23">
        <f t="shared" si="8"/>
        <v>3.600911600391532E-2</v>
      </c>
      <c r="K53" s="23">
        <f t="shared" si="9"/>
        <v>3.6392421676477077E-2</v>
      </c>
    </row>
    <row r="54" spans="6:11" ht="20" customHeight="1">
      <c r="F54" s="3">
        <v>2.25</v>
      </c>
      <c r="G54" s="10">
        <f>EXP((F55-F54)/(F55-F53)*LN(G53)+(F54-F53)/(F55-F53)*LN(G55))</f>
        <v>0.92234807306108957</v>
      </c>
      <c r="H54" s="23">
        <f>((F54-$F$53)*$H$57+($F$57-F54)*$H$53)/($F$57-$F$53)</f>
        <v>3.6174999999999999E-2</v>
      </c>
      <c r="I54" s="23">
        <f t="shared" si="7"/>
        <v>3.5925603146266347E-2</v>
      </c>
      <c r="J54" s="23">
        <f t="shared" si="8"/>
        <v>3.6250206066394064E-2</v>
      </c>
      <c r="K54" s="23">
        <f t="shared" si="9"/>
        <v>3.7820099885832292E-2</v>
      </c>
    </row>
    <row r="55" spans="6:11" ht="20" customHeight="1">
      <c r="F55" s="3">
        <v>2.5</v>
      </c>
      <c r="G55" s="10">
        <f>IFERROR(VLOOKUP(F55,$F$23:$G$42,2,0),"")</f>
        <v>0.91366834717248313</v>
      </c>
      <c r="H55" s="23">
        <f t="shared" ref="H55:H56" si="11">((F55-$F$53)*$H$57+($F$57-F55)*$H$53)/($F$57-$F$53)</f>
        <v>3.635E-2</v>
      </c>
      <c r="I55" s="23">
        <f t="shared" si="7"/>
        <v>3.6115052820222912E-2</v>
      </c>
      <c r="J55" s="23">
        <f t="shared" si="8"/>
        <v>3.6443098670926766E-2</v>
      </c>
      <c r="K55" s="23">
        <f t="shared" si="9"/>
        <v>3.7820099885832015E-2</v>
      </c>
    </row>
    <row r="56" spans="6:11" ht="20" customHeight="1">
      <c r="F56" s="3">
        <v>2.75</v>
      </c>
      <c r="G56" s="10">
        <f>EXP((F57-F56)/(F57-F55)*LN(G55)+(F56-F55)/(F57-F55)*LN(G57))</f>
        <v>0.90507030155589296</v>
      </c>
      <c r="H56" s="23">
        <f t="shared" si="11"/>
        <v>3.6525000000000002E-2</v>
      </c>
      <c r="I56" s="23">
        <f t="shared" si="7"/>
        <v>3.6270057098914656E-2</v>
      </c>
      <c r="J56" s="23">
        <f t="shared" si="8"/>
        <v>3.6600933483918574E-2</v>
      </c>
      <c r="K56" s="23">
        <f t="shared" si="9"/>
        <v>3.782009988583207E-2</v>
      </c>
    </row>
    <row r="57" spans="6:11" ht="20" customHeight="1">
      <c r="F57" s="3">
        <v>3</v>
      </c>
      <c r="G57" s="10">
        <f>IFERROR(VLOOKUP(F57,$F$23:$G$42,2,0),"")</f>
        <v>0.89655316756183379</v>
      </c>
      <c r="H57" s="23">
        <f>_xlfn.XLOOKUP(F57,$G$5:$G$18,$H$5:$H$18,"",0)</f>
        <v>3.6700000000000003E-2</v>
      </c>
      <c r="I57" s="23">
        <f t="shared" si="7"/>
        <v>3.6399227331157795E-2</v>
      </c>
      <c r="J57" s="23">
        <f t="shared" si="8"/>
        <v>3.6732471839365122E-2</v>
      </c>
      <c r="K57" s="23">
        <f t="shared" si="9"/>
        <v>3.7820099885832292E-2</v>
      </c>
    </row>
    <row r="58" spans="6:11" ht="20" customHeight="1">
      <c r="F58" s="3">
        <v>3.25</v>
      </c>
      <c r="G58" s="10">
        <f>EXP((F59-F58)/(F59-F57)*LN(G57)+(F58-F57)/(F59-F57)*LN(G59))</f>
        <v>0.88745645400764417</v>
      </c>
      <c r="H58" s="23">
        <f>((F58-$F$57)*$H$65+($F$65-F58)*$H$57)/($F$65-$F$57)</f>
        <v>3.6912500000000001E-2</v>
      </c>
      <c r="I58" s="23">
        <f t="shared" si="7"/>
        <v>3.6737176844066764E-2</v>
      </c>
      <c r="J58" s="23">
        <f t="shared" si="8"/>
        <v>3.7076657291264858E-2</v>
      </c>
      <c r="K58" s="23">
        <f t="shared" si="9"/>
        <v>4.0792570998974431E-2</v>
      </c>
    </row>
    <row r="59" spans="6:11" ht="20" customHeight="1">
      <c r="F59" s="3">
        <v>3.5</v>
      </c>
      <c r="G59" s="10">
        <f>IFERROR(VLOOKUP(F59,$F$23:$G$42,2,0),"")</f>
        <v>0.87845203860205401</v>
      </c>
      <c r="H59" s="23">
        <f t="shared" ref="H59:H64" si="12">((F59-$F$57)*$H$65+($F$65-F59)*$H$57)/($F$65-$F$57)</f>
        <v>3.7124999999999998E-2</v>
      </c>
      <c r="I59" s="23">
        <f t="shared" si="7"/>
        <v>3.7026847855131613E-2</v>
      </c>
      <c r="J59" s="23">
        <f t="shared" si="8"/>
        <v>3.7371719685971527E-2</v>
      </c>
      <c r="K59" s="23">
        <f t="shared" si="9"/>
        <v>4.0792570998974653E-2</v>
      </c>
    </row>
    <row r="60" spans="6:11" ht="20" customHeight="1">
      <c r="F60" s="3">
        <v>3.75</v>
      </c>
      <c r="G60" s="10">
        <f>EXP((F61-F60)/(F61-F59)*LN(G59)+(F60-F59)/(F61-F59)*LN(G61))</f>
        <v>0.86953898485869563</v>
      </c>
      <c r="H60" s="23">
        <f t="shared" si="12"/>
        <v>3.7337500000000003E-2</v>
      </c>
      <c r="I60" s="23">
        <f t="shared" si="7"/>
        <v>3.7277896064721136E-2</v>
      </c>
      <c r="J60" s="23">
        <f t="shared" si="8"/>
        <v>3.7627474998611632E-2</v>
      </c>
      <c r="K60" s="23">
        <f t="shared" si="9"/>
        <v>4.0792570998974487E-2</v>
      </c>
    </row>
    <row r="61" spans="6:11" ht="20" customHeight="1">
      <c r="F61" s="3">
        <v>4</v>
      </c>
      <c r="G61" s="10">
        <f>IFERROR(VLOOKUP(F61,$F$23:$G$42,2,0),"")</f>
        <v>0.86071636579308963</v>
      </c>
      <c r="H61" s="23">
        <f t="shared" si="12"/>
        <v>3.755E-2</v>
      </c>
      <c r="I61" s="23">
        <f t="shared" si="7"/>
        <v>3.7497563248112001E-2</v>
      </c>
      <c r="J61" s="23">
        <f t="shared" si="8"/>
        <v>3.7851287233554132E-2</v>
      </c>
      <c r="K61" s="23">
        <f t="shared" si="9"/>
        <v>4.0792570998974931E-2</v>
      </c>
    </row>
    <row r="62" spans="6:11" ht="20" customHeight="1">
      <c r="F62" s="3">
        <v>4.25</v>
      </c>
      <c r="G62" s="10">
        <f>EXP((F63-F62)/(F63-F61)*LN(G61)+(F62-F61)/(F63-F61)*LN(G63))</f>
        <v>0.85198326382623624</v>
      </c>
      <c r="H62" s="23">
        <f t="shared" si="12"/>
        <v>3.7762499999999997E-2</v>
      </c>
      <c r="I62" s="23">
        <f t="shared" si="7"/>
        <v>3.7691387233456872E-2</v>
      </c>
      <c r="J62" s="23">
        <f t="shared" si="8"/>
        <v>3.8048789032561814E-2</v>
      </c>
      <c r="K62" s="23">
        <f t="shared" si="9"/>
        <v>4.079257099897482E-2</v>
      </c>
    </row>
    <row r="63" spans="6:11" ht="20" customHeight="1">
      <c r="F63" s="3">
        <v>4.5</v>
      </c>
      <c r="G63" s="10">
        <f>IFERROR(VLOOKUP(F63,$F$23:$G$42,2,0),"")</f>
        <v>0.84333877068918384</v>
      </c>
      <c r="H63" s="23">
        <f t="shared" si="12"/>
        <v>3.7975000000000002E-2</v>
      </c>
      <c r="I63" s="23">
        <f t="shared" si="7"/>
        <v>3.7863675220430076E-2</v>
      </c>
      <c r="J63" s="23">
        <f t="shared" si="8"/>
        <v>3.8224362256350286E-2</v>
      </c>
      <c r="K63" s="23">
        <f t="shared" si="9"/>
        <v>4.0792570998974598E-2</v>
      </c>
    </row>
    <row r="64" spans="6:11" ht="20" customHeight="1">
      <c r="F64" s="3">
        <v>4.75</v>
      </c>
      <c r="G64" s="10">
        <f>EXP((F65-F64)/(F65-F63)*LN(G63)+(F64-F63)/(F65-F63)*LN(G65))</f>
        <v>0.83478198732856634</v>
      </c>
      <c r="H64" s="23">
        <f t="shared" si="12"/>
        <v>3.8187499999999999E-2</v>
      </c>
      <c r="I64" s="23">
        <f t="shared" si="7"/>
        <v>3.8017827629827174E-2</v>
      </c>
      <c r="J64" s="23">
        <f t="shared" si="8"/>
        <v>3.8381466908954831E-2</v>
      </c>
      <c r="K64" s="23">
        <f t="shared" si="9"/>
        <v>4.079257099897482E-2</v>
      </c>
    </row>
    <row r="65" spans="6:11" ht="20" customHeight="1">
      <c r="F65" s="3">
        <v>5</v>
      </c>
      <c r="G65" s="10">
        <f>IFERROR(VLOOKUP(F65,$F$23:$G$42,2,0),"")</f>
        <v>0.82631202381309932</v>
      </c>
      <c r="H65" s="23">
        <f>_xlfn.XLOOKUP(F65,$G$5:$G$18,$H$5:$H$18,"",0)</f>
        <v>3.8399999999999997E-2</v>
      </c>
      <c r="I65" s="23">
        <f t="shared" si="7"/>
        <v>3.815656479828454E-2</v>
      </c>
      <c r="J65" s="23">
        <f t="shared" si="8"/>
        <v>3.8522871449891749E-2</v>
      </c>
      <c r="K65" s="23">
        <f t="shared" si="9"/>
        <v>4.0792570998974598E-2</v>
      </c>
    </row>
    <row r="66" spans="6:11" ht="20" customHeight="1">
      <c r="F66" s="3">
        <v>5.25</v>
      </c>
      <c r="G66" s="10">
        <f>EXP((F67-F66)/(F67-F65)*LN(G65)+(F66-F65)/(F67-F65)*LN(G67))</f>
        <v>0.81700995587610103</v>
      </c>
      <c r="H66" s="23">
        <f>((F66-$F$65)*$H$73+($F$73-F66)*$H$65)/($F$73-$F$65)</f>
        <v>3.8637499999999998E-2</v>
      </c>
      <c r="I66" s="23">
        <f t="shared" si="7"/>
        <v>3.8495999676480201E-2</v>
      </c>
      <c r="J66" s="23">
        <f t="shared" si="8"/>
        <v>3.886887369165315E-2</v>
      </c>
      <c r="K66" s="23">
        <f t="shared" si="9"/>
        <v>4.5284697240393412E-2</v>
      </c>
    </row>
    <row r="67" spans="6:11" ht="20" customHeight="1">
      <c r="F67" s="3">
        <v>5.5</v>
      </c>
      <c r="G67" s="10">
        <f>IFERROR(VLOOKUP(F67,$F$23:$G$42,2,0),"")</f>
        <v>0.80781260439657998</v>
      </c>
      <c r="H67" s="23">
        <f t="shared" ref="H67:H72" si="13">((F67-$F$65)*$H$73+($F$73-F67)*$H$65)/($F$73-$F$65)</f>
        <v>3.8875E-2</v>
      </c>
      <c r="I67" s="23">
        <f t="shared" si="7"/>
        <v>3.8804576838476261E-2</v>
      </c>
      <c r="J67" s="23">
        <f t="shared" si="8"/>
        <v>3.9183472145866816E-2</v>
      </c>
      <c r="K67" s="23">
        <f t="shared" si="9"/>
        <v>4.5284697240393523E-2</v>
      </c>
    </row>
    <row r="68" spans="6:11" ht="20" customHeight="1">
      <c r="F68" s="3">
        <v>5.75</v>
      </c>
      <c r="G68" s="10">
        <f>EXP((F69-F68)/(F69-F67)*LN(G67)+(F68-F67)/(F69-F67)*LN(G69))</f>
        <v>0.79871879054671624</v>
      </c>
      <c r="H68" s="23">
        <f t="shared" si="13"/>
        <v>3.9112499999999994E-2</v>
      </c>
      <c r="I68" s="23">
        <f t="shared" si="7"/>
        <v>3.9086321203777002E-2</v>
      </c>
      <c r="J68" s="23">
        <f t="shared" si="8"/>
        <v>3.947075660713173E-2</v>
      </c>
      <c r="K68" s="23">
        <f t="shared" si="9"/>
        <v>4.5284697240393301E-2</v>
      </c>
    </row>
    <row r="69" spans="6:11" ht="20" customHeight="1">
      <c r="F69" s="3">
        <v>6</v>
      </c>
      <c r="G69" s="10">
        <f>IFERROR(VLOOKUP(F69,$F$23:$G$42,2,0),"")</f>
        <v>0.78972734876914485</v>
      </c>
      <c r="H69" s="23">
        <f t="shared" si="13"/>
        <v>3.9349999999999996E-2</v>
      </c>
      <c r="I69" s="23">
        <f t="shared" si="7"/>
        <v>3.9344586871969359E-2</v>
      </c>
      <c r="J69" s="23">
        <f t="shared" si="8"/>
        <v>3.9734136251103003E-2</v>
      </c>
      <c r="K69" s="23">
        <f t="shared" si="9"/>
        <v>4.5284697240393523E-2</v>
      </c>
    </row>
    <row r="70" spans="6:11" ht="20" customHeight="1">
      <c r="F70" s="3">
        <v>6.25</v>
      </c>
      <c r="G70" s="10">
        <f>EXP((F71-F70)/(F71-F69)*LN(G69)+(F70-F69)/(F71-F69)*LN(G71))</f>
        <v>0.78083712662756588</v>
      </c>
      <c r="H70" s="23">
        <f t="shared" si="13"/>
        <v>3.9587499999999998E-2</v>
      </c>
      <c r="I70" s="23">
        <f t="shared" si="7"/>
        <v>3.9582191286706328E-2</v>
      </c>
      <c r="J70" s="23">
        <f t="shared" si="8"/>
        <v>3.9976475563872071E-2</v>
      </c>
      <c r="K70" s="23">
        <f t="shared" si="9"/>
        <v>4.5284697240393634E-2</v>
      </c>
    </row>
    <row r="71" spans="6:11" ht="20" customHeight="1">
      <c r="F71" s="3">
        <v>6.5</v>
      </c>
      <c r="G71" s="10">
        <f>IFERROR(VLOOKUP(F71,$F$23:$G$42,2,0),"")</f>
        <v>0.77204698465903632</v>
      </c>
      <c r="H71" s="23">
        <f t="shared" si="13"/>
        <v>3.9824999999999999E-2</v>
      </c>
      <c r="I71" s="23">
        <f t="shared" si="7"/>
        <v>3.9801518438771215E-2</v>
      </c>
      <c r="J71" s="23">
        <f t="shared" si="8"/>
        <v>4.0200198946132915E-2</v>
      </c>
      <c r="K71" s="23">
        <f t="shared" si="9"/>
        <v>4.5284697240393301E-2</v>
      </c>
    </row>
    <row r="72" spans="6:11" ht="20" customHeight="1">
      <c r="F72" s="3">
        <v>6.75</v>
      </c>
      <c r="G72" s="10">
        <f>EXP((F73-F72)/(F73-F71)*LN(G71)+(F72-F71)/(F73-F71)*LN(G73))</f>
        <v>0.76335579622792449</v>
      </c>
      <c r="H72" s="23">
        <f t="shared" si="13"/>
        <v>4.0062500000000001E-2</v>
      </c>
      <c r="I72" s="23">
        <f t="shared" si="7"/>
        <v>4.0004599135127585E-2</v>
      </c>
      <c r="J72" s="23">
        <f t="shared" si="8"/>
        <v>4.0407372102726491E-2</v>
      </c>
      <c r="K72" s="23">
        <f t="shared" si="9"/>
        <v>4.5284697240393301E-2</v>
      </c>
    </row>
    <row r="73" spans="6:11" ht="20" customHeight="1">
      <c r="F73" s="3">
        <v>7</v>
      </c>
      <c r="G73" s="10">
        <f>IFERROR(VLOOKUP(F73,$F$23:$G$42,2,0),"")</f>
        <v>0.75476244738150899</v>
      </c>
      <c r="H73" s="23">
        <f>_xlfn.XLOOKUP(F73,$G$5:$G$18,$H$5:$H$18,"",0)</f>
        <v>4.0300000000000002E-2</v>
      </c>
      <c r="I73" s="23">
        <f t="shared" si="7"/>
        <v>4.0193174067458502E-2</v>
      </c>
      <c r="J73" s="23">
        <f t="shared" si="8"/>
        <v>4.0599766013812211E-2</v>
      </c>
      <c r="K73" s="23">
        <f t="shared" si="9"/>
        <v>4.5284697240393301E-2</v>
      </c>
    </row>
    <row r="74" spans="6:11" ht="20" customHeight="1">
      <c r="F74" s="3">
        <v>7.25</v>
      </c>
      <c r="G74" s="10">
        <f>EXP((F75-F74)/(F75-F73)*LN(G73)+(F74-F73)/(F75-F73)*LN(G75))</f>
        <v>0.74576815188324708</v>
      </c>
      <c r="H74" s="23">
        <f>((F74-$F$73)*$H$85+($F$85-F74)*$H$73)/($F$85-$F$73)</f>
        <v>4.0475000000000004E-2</v>
      </c>
      <c r="I74" s="23">
        <f t="shared" si="7"/>
        <v>4.0460760750806332E-2</v>
      </c>
      <c r="J74" s="23">
        <f t="shared" si="8"/>
        <v>4.0872802940380204E-2</v>
      </c>
      <c r="K74" s="23">
        <f t="shared" si="9"/>
        <v>4.795318788454539E-2</v>
      </c>
    </row>
    <row r="75" spans="6:11" ht="20" customHeight="1">
      <c r="F75" s="3">
        <v>7.5</v>
      </c>
      <c r="G75" s="10">
        <f>IFERROR(VLOOKUP(F75,$F$23:$G$42,2,0),"")</f>
        <v>0.73688103891876211</v>
      </c>
      <c r="H75" s="23">
        <f t="shared" ref="H75:H84" si="14">((F75-$F$73)*$H$85+($F$85-F75)*$H$73)/($F$85-$F$73)</f>
        <v>4.0649999999999999E-2</v>
      </c>
      <c r="I75" s="23">
        <f t="shared" si="7"/>
        <v>4.0710508321930967E-2</v>
      </c>
      <c r="J75" s="23">
        <f t="shared" si="8"/>
        <v>4.1127670365933344E-2</v>
      </c>
      <c r="K75" s="23">
        <f t="shared" si="9"/>
        <v>4.795318788454539E-2</v>
      </c>
    </row>
    <row r="76" spans="6:11" ht="20" customHeight="1">
      <c r="F76" s="3">
        <v>7.75</v>
      </c>
      <c r="G76" s="10">
        <f>EXP((F77-F76)/(F77-F75)*LN(G75)+(F76-F75)/(F77-F75)*LN(G77))</f>
        <v>0.72809983122342026</v>
      </c>
      <c r="H76" s="23">
        <f t="shared" si="14"/>
        <v>4.0825E-2</v>
      </c>
      <c r="I76" s="23">
        <f t="shared" si="7"/>
        <v>4.0944143146531414E-2</v>
      </c>
      <c r="J76" s="23">
        <f t="shared" si="8"/>
        <v>4.1366123546030309E-2</v>
      </c>
      <c r="K76" s="23">
        <f t="shared" si="9"/>
        <v>4.7953187884544946E-2</v>
      </c>
    </row>
    <row r="77" spans="6:11" ht="20" customHeight="1">
      <c r="F77" s="3">
        <v>8</v>
      </c>
      <c r="G77" s="10">
        <f>IFERROR(VLOOKUP(F77,$F$23:$G$42,2,0),"")</f>
        <v>0.71942326675339718</v>
      </c>
      <c r="H77" s="23">
        <f t="shared" si="14"/>
        <v>4.1000000000000002E-2</v>
      </c>
      <c r="I77" s="23">
        <f t="shared" si="7"/>
        <v>4.1163175794594352E-2</v>
      </c>
      <c r="J77" s="23">
        <f t="shared" si="8"/>
        <v>4.1589698702225064E-2</v>
      </c>
      <c r="K77" s="23">
        <f t="shared" si="9"/>
        <v>4.795318788454539E-2</v>
      </c>
    </row>
    <row r="78" spans="6:11" ht="20" customHeight="1">
      <c r="F78" s="3">
        <v>8.25</v>
      </c>
      <c r="G78" s="10">
        <f>EXP((F79-F78)/(F79-F77)*LN(G77)+(F78-F77)/(F79-F77)*LN(G79))</f>
        <v>0.71085009850429615</v>
      </c>
      <c r="H78" s="23">
        <f t="shared" si="14"/>
        <v>4.1174999999999996E-2</v>
      </c>
      <c r="I78" s="23">
        <f t="shared" si="7"/>
        <v>4.1368933736714075E-2</v>
      </c>
      <c r="J78" s="23">
        <f t="shared" si="8"/>
        <v>4.1799746154301598E-2</v>
      </c>
      <c r="K78" s="23">
        <f t="shared" si="9"/>
        <v>4.7953187884545168E-2</v>
      </c>
    </row>
    <row r="79" spans="6:11" ht="20" customHeight="1">
      <c r="F79" s="3">
        <v>8.5</v>
      </c>
      <c r="G79" s="10">
        <f>IFERROR(VLOOKUP(F79,$F$23:$G$42,2,0),"")</f>
        <v>0.70237909433192713</v>
      </c>
      <c r="H79" s="23">
        <f t="shared" si="14"/>
        <v>4.1350000000000005E-2</v>
      </c>
      <c r="I79" s="23">
        <f t="shared" si="7"/>
        <v>4.1562588270473814E-2</v>
      </c>
      <c r="J79" s="23">
        <f t="shared" si="8"/>
        <v>4.1997457615013278E-2</v>
      </c>
      <c r="K79" s="23">
        <f t="shared" si="9"/>
        <v>4.7953187884545168E-2</v>
      </c>
    </row>
    <row r="80" spans="6:11" ht="20" customHeight="1">
      <c r="F80" s="3">
        <v>8.75</v>
      </c>
      <c r="G80" s="10">
        <f>EXP((F81-F80)/(F81-F79)*LN(G79)+(F80-F79)/(F81-F79)*LN(G81))</f>
        <v>0.69400903677522197</v>
      </c>
      <c r="H80" s="23">
        <f t="shared" si="14"/>
        <v>4.1524999999999999E-2</v>
      </c>
      <c r="I80" s="23">
        <f t="shared" si="7"/>
        <v>4.1745176830875842E-2</v>
      </c>
      <c r="J80" s="23">
        <f t="shared" si="8"/>
        <v>4.2183888812999726E-2</v>
      </c>
      <c r="K80" s="23">
        <f t="shared" si="9"/>
        <v>4.7953187884544946E-2</v>
      </c>
    </row>
    <row r="81" spans="6:11" ht="20" customHeight="1">
      <c r="F81" s="3">
        <v>9</v>
      </c>
      <c r="G81" s="10">
        <f>IFERROR(VLOOKUP(F81,$F$23:$G$42,2,0),"")</f>
        <v>0.68573872288125937</v>
      </c>
      <c r="H81" s="23">
        <f t="shared" si="14"/>
        <v>4.1699999999999994E-2</v>
      </c>
      <c r="I81" s="23">
        <f t="shared" si="7"/>
        <v>4.1917621582366671E-2</v>
      </c>
      <c r="J81" s="23">
        <f t="shared" si="8"/>
        <v>4.2359978350922312E-2</v>
      </c>
      <c r="K81" s="23">
        <f t="shared" si="9"/>
        <v>4.7953187884545612E-2</v>
      </c>
    </row>
    <row r="82" spans="6:11" ht="20" customHeight="1">
      <c r="F82" s="3">
        <v>9.25</v>
      </c>
      <c r="G82" s="10">
        <f>EXP((F83-F82)/(F83-F81)*LN(G81)+(F82-F81)/(F83-F81)*LN(G83))</f>
        <v>0.67756696403237593</v>
      </c>
      <c r="H82" s="23">
        <f t="shared" si="14"/>
        <v>4.1874999999999996E-2</v>
      </c>
      <c r="I82" s="23">
        <f t="shared" si="7"/>
        <v>4.2080744995939064E-2</v>
      </c>
      <c r="J82" s="23">
        <f t="shared" si="8"/>
        <v>4.2526563510021376E-2</v>
      </c>
      <c r="K82" s="23">
        <f t="shared" si="9"/>
        <v>4.7953187884545168E-2</v>
      </c>
    </row>
    <row r="83" spans="6:11" ht="20" customHeight="1">
      <c r="F83" s="3">
        <v>9.5</v>
      </c>
      <c r="G83" s="10">
        <f>IFERROR(VLOOKUP(F83,$F$23:$G$42,2,0),"")</f>
        <v>0.6694925857753361</v>
      </c>
      <c r="H83" s="23">
        <f t="shared" si="14"/>
        <v>4.2049999999999997E-2</v>
      </c>
      <c r="I83" s="23">
        <f t="shared" si="7"/>
        <v>4.2235282966691857E-2</v>
      </c>
      <c r="J83" s="23">
        <f t="shared" si="8"/>
        <v>4.268439356279341E-2</v>
      </c>
      <c r="K83" s="23">
        <f t="shared" si="9"/>
        <v>4.7953187884545168E-2</v>
      </c>
    </row>
    <row r="84" spans="6:11" ht="20" customHeight="1">
      <c r="F84" s="3">
        <v>9.75</v>
      </c>
      <c r="G84" s="10">
        <f>EXP((F85-F84)/(F85-F83)*LN(G83)+(F84-F83)/(F85-F83)*LN(G85))</f>
        <v>0.66151442765253921</v>
      </c>
      <c r="H84" s="23">
        <f t="shared" si="14"/>
        <v>4.2224999999999992E-2</v>
      </c>
      <c r="I84" s="23">
        <f t="shared" si="7"/>
        <v>4.2381895913303491E-2</v>
      </c>
      <c r="J84" s="23">
        <f t="shared" si="8"/>
        <v>4.2834141040425155E-2</v>
      </c>
      <c r="K84" s="23">
        <f t="shared" si="9"/>
        <v>4.7953187884545612E-2</v>
      </c>
    </row>
    <row r="85" spans="6:11" ht="20" customHeight="1">
      <c r="F85" s="3">
        <v>10</v>
      </c>
      <c r="G85" s="10">
        <f>IFERROR(VLOOKUP(F85,$F$23:$G$42,2,0),"")</f>
        <v>0.65363134303523707</v>
      </c>
      <c r="H85" s="23">
        <f>_xlfn.XLOOKUP(F85,$G$5:$G$18,$H$5:$H$18,"",0)</f>
        <v>4.24E-2</v>
      </c>
      <c r="I85" s="23">
        <f t="shared" si="7"/>
        <v>4.2521178212584526E-2</v>
      </c>
      <c r="J85" s="23">
        <f t="shared" si="8"/>
        <v>4.2976411312407148E-2</v>
      </c>
      <c r="K85" s="23">
        <f t="shared" si="9"/>
        <v>4.7953187884544946E-2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OIS vs Treasury</vt:lpstr>
      <vt:lpstr>SOFR Swap Bootstrap ( &lt;1Y)</vt:lpstr>
      <vt:lpstr>OIS DF Log Linear</vt:lpstr>
      <vt:lpstr>Market Data</vt:lpstr>
      <vt:lpstr>Treasury DF Log Linear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이영우</dc:creator>
  <cp:lastModifiedBy>수린 김</cp:lastModifiedBy>
  <dcterms:created xsi:type="dcterms:W3CDTF">2026-01-25T03:30:12Z</dcterms:created>
  <dcterms:modified xsi:type="dcterms:W3CDTF">2026-02-12T14:06:24Z</dcterms:modified>
</cp:coreProperties>
</file>